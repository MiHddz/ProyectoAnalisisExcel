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Datos" sheetId="2" state="visible" r:id="rId2"/>
    <sheet xmlns:r="http://schemas.openxmlformats.org/officeDocument/2006/relationships" name="Config" sheetId="3" state="visible" r:id="rId3"/>
    <sheet xmlns:r="http://schemas.openxmlformats.org/officeDocument/2006/relationships" name="Motor" sheetId="4" state="visible" r:id="rId4"/>
  </sheets>
  <definedNames>
    <definedName name="cMed">Config!$F$6</definedName>
    <definedName name="cMed2">Config!$F$7</definedName>
    <definedName name="cFecha">Config!$F$8</definedName>
    <definedName name="cCat1">Config!$F$9</definedName>
    <definedName name="cCat2">Config!$F$10</definedName>
    <definedName name="cEtapa">Config!$F$11</definedName>
    <definedName name="cDepto">Config!$F$12</definedName>
    <definedName name="cCosto">Config!$F$13</definedName>
    <definedName name="nFilas">Config!$C$16</definedName>
    <definedName name="fMin">Config!$C$17</definedName>
    <definedName name="fMax">Config!$C$18</definedName>
    <definedName name="gran">Config!$C$19</definedName>
    <definedName name="conHora">Config!$C$20</definedName>
    <definedName name="total">Config!$C$21</definedName>
    <definedName name="n1">Config!$C$22</definedName>
    <definedName name="n2">Config!$C$23</definedName>
    <definedName name="dona2">Config!$C$24</definedName>
    <definedName name="mIni">Config!$C$25</definedName>
    <definedName name="nomMed">Config!$C$26</definedName>
    <definedName name="tBase">Config!$C$27</definedName>
    <definedName name="fTexto">Config!$C$29</definedName>
    <definedName name="gIdx">Config!$C$28</definedName>
    <definedName name="rMed">INDEX(Datos!$A$2:$AN$1048576,1,MAX(1,cMed)):INDEX(Datos!$A$2:$AN$1048576,MAX(1,nFilas),MAX(1,cMed))</definedName>
    <definedName name="rMed2">INDEX(Datos!$A$2:$AN$1048576,1,MAX(1,cMed2)):INDEX(Datos!$A$2:$AN$1048576,MAX(1,nFilas),MAX(1,cMed2))</definedName>
    <definedName name="rFecha">INDEX(Datos!$A$2:$AN$1048576,1,MAX(1,cFecha)):INDEX(Datos!$A$2:$AN$1048576,MAX(1,nFilas),MAX(1,cFecha))</definedName>
    <definedName name="rCat1">INDEX(Datos!$A$2:$AN$1048576,1,MAX(1,cCat1)):INDEX(Datos!$A$2:$AN$1048576,MAX(1,nFilas),MAX(1,cCat1))</definedName>
    <definedName name="rCat2">INDEX(Datos!$A$2:$AN$1048576,1,MAX(1,cCat2)):INDEX(Datos!$A$2:$AN$1048576,MAX(1,nFilas),MAX(1,cCat2))</definedName>
    <definedName name="rEtapa">INDEX(Datos!$A$2:$AN$1048576,1,MAX(1,cEtapa)):INDEX(Datos!$A$2:$AN$1048576,MAX(1,nFilas),MAX(1,cEtapa))</definedName>
    <definedName name="rDepto">INDEX(Datos!$A$2:$AN$1048576,1,MAX(1,cDepto)):INDEX(Datos!$A$2:$AN$1048576,MAX(1,nFilas),MAX(1,cDepto))</definedName>
    <definedName name="rCosto">INDEX(Datos!$A$2:$AN$1048576,1,MAX(1,cCosto)):INDEX(Datos!$A$2:$AN$1048576,MAX(1,nFilas),MAX(1,cCosto))</definedName>
    <definedName name="_xlnm.Print_Area" localSheetId="0">'Dashboard'!$A$1:$Q$158</definedName>
  </definedNames>
  <calcPr calcId="124519" fullCalcOnLoad="1"/>
</workbook>
</file>

<file path=xl/styles.xml><?xml version="1.0" encoding="utf-8"?>
<styleSheet xmlns="http://schemas.openxmlformats.org/spreadsheetml/2006/main">
  <numFmts count="40">
    <numFmt numFmtId="164" formatCode="yyyy-mm-dd h:mm:ss"/>
    <numFmt numFmtId="165" formatCode="dd/mm/yyyy hh:mm"/>
    <numFmt numFmtId="166" formatCode="dd/mm/yyyy"/>
    <numFmt numFmtId="167" formatCode="#,##0.##"/>
    <numFmt numFmtId="168" formatCode="0.000"/>
    <numFmt numFmtId="169" formatCode="0.0%"/>
    <numFmt numFmtId="170" formatCode="[&gt;=1000000]#,##0.0,,&quot;M&quot;;[&gt;=1000]#,##0.0,&quot;K&quot;;#,##0"/>
    <numFmt numFmtId="171" formatCode="&quot;SAP&quot;;&quot;SAP&quot;;&quot;SAP&quot;;&quot;SAP&quot;"/>
    <numFmt numFmtId="172" formatCode="&quot;LAG&quot;;&quot;LAG&quot;;&quot;LAG&quot;;&quot;LAG&quot;"/>
    <numFmt numFmtId="173" formatCode="&quot;ATL&quot;;&quot;ATL&quot;;&quot;ATL&quot;;&quot;ATL&quot;"/>
    <numFmt numFmtId="174" formatCode="&quot;MAG&quot;;&quot;MAG&quot;;&quot;MAG&quot;;&quot;MAG&quot;"/>
    <numFmt numFmtId="175" formatCode="&quot;CES&quot;;&quot;CES&quot;;&quot;CES&quot;;&quot;CES&quot;"/>
    <numFmt numFmtId="176" formatCode="&quot;COR&quot;;&quot;COR&quot;;&quot;COR&quot;;&quot;COR&quot;"/>
    <numFmt numFmtId="177" formatCode="&quot;SUC&quot;;&quot;SUC&quot;;&quot;SUC&quot;;&quot;SUC&quot;"/>
    <numFmt numFmtId="178" formatCode="&quot;BOL&quot;;&quot;BOL&quot;;&quot;BOL&quot;;&quot;BOL&quot;"/>
    <numFmt numFmtId="179" formatCode="&quot;NSA&quot;;&quot;NSA&quot;;&quot;NSA&quot;;&quot;NSA&quot;"/>
    <numFmt numFmtId="180" formatCode="&quot;CHO&quot;;&quot;CHO&quot;;&quot;CHO&quot;;&quot;CHO&quot;"/>
    <numFmt numFmtId="181" formatCode="&quot;ANT&quot;;&quot;ANT&quot;;&quot;ANT&quot;;&quot;ANT&quot;"/>
    <numFmt numFmtId="182" formatCode="&quot;SAN&quot;;&quot;SAN&quot;;&quot;SAN&quot;;&quot;SAN&quot;"/>
    <numFmt numFmtId="183" formatCode="&quot;ARA&quot;;&quot;ARA&quot;;&quot;ARA&quot;;&quot;ARA&quot;"/>
    <numFmt numFmtId="184" formatCode="&quot;RIS&quot;;&quot;RIS&quot;;&quot;RIS&quot;;&quot;RIS&quot;"/>
    <numFmt numFmtId="185" formatCode="&quot;CAL&quot;;&quot;CAL&quot;;&quot;CAL&quot;;&quot;CAL&quot;"/>
    <numFmt numFmtId="186" formatCode="&quot;CUN&quot;;&quot;CUN&quot;;&quot;CUN&quot;;&quot;CUN&quot;"/>
    <numFmt numFmtId="187" formatCode="&quot;BOY&quot;;&quot;BOY&quot;;&quot;BOY&quot;;&quot;BOY&quot;"/>
    <numFmt numFmtId="188" formatCode="&quot;CAS&quot;;&quot;CAS&quot;;&quot;CAS&quot;;&quot;CAS&quot;"/>
    <numFmt numFmtId="189" formatCode="&quot;VIC&quot;;&quot;VIC&quot;;&quot;VIC&quot;;&quot;VIC&quot;"/>
    <numFmt numFmtId="190" formatCode="&quot;VAC&quot;;&quot;VAC&quot;;&quot;VAC&quot;;&quot;VAC&quot;"/>
    <numFmt numFmtId="191" formatCode="&quot;QUI&quot;;&quot;QUI&quot;;&quot;QUI&quot;;&quot;QUI&quot;"/>
    <numFmt numFmtId="192" formatCode="&quot;TOL&quot;;&quot;TOL&quot;;&quot;TOL&quot;;&quot;TOL&quot;"/>
    <numFmt numFmtId="193" formatCode="&quot;BOG&quot;;&quot;BOG&quot;;&quot;BOG&quot;;&quot;BOG&quot;"/>
    <numFmt numFmtId="194" formatCode="&quot;MET&quot;;&quot;MET&quot;;&quot;MET&quot;;&quot;MET&quot;"/>
    <numFmt numFmtId="195" formatCode="&quot;GUA&quot;;&quot;GUA&quot;;&quot;GUA&quot;;&quot;GUA&quot;"/>
    <numFmt numFmtId="196" formatCode="&quot;CAU&quot;;&quot;CAU&quot;;&quot;CAU&quot;;&quot;CAU&quot;"/>
    <numFmt numFmtId="197" formatCode="&quot;HUI&quot;;&quot;HUI&quot;;&quot;HUI&quot;;&quot;HUI&quot;"/>
    <numFmt numFmtId="198" formatCode="&quot;CAQ&quot;;&quot;CAQ&quot;;&quot;CAQ&quot;;&quot;CAQ&quot;"/>
    <numFmt numFmtId="199" formatCode="&quot;GUV&quot;;&quot;GUV&quot;;&quot;GUV&quot;;&quot;GUV&quot;"/>
    <numFmt numFmtId="200" formatCode="&quot;VAU&quot;;&quot;VAU&quot;;&quot;VAU&quot;;&quot;VAU&quot;"/>
    <numFmt numFmtId="201" formatCode="&quot;NAR&quot;;&quot;NAR&quot;;&quot;NAR&quot;;&quot;NAR&quot;"/>
    <numFmt numFmtId="202" formatCode="&quot;PUT&quot;;&quot;PUT&quot;;&quot;PUT&quot;;&quot;PUT&quot;"/>
    <numFmt numFmtId="203" formatCode="&quot;AMA&quot;;&quot;AMA&quot;;&quot;AMA&quot;;&quot;AMA&quot;"/>
  </numFmts>
  <fonts count="21">
    <font>
      <name val="Calibri"/>
      <family val="2"/>
      <color theme="1"/>
      <sz val="11"/>
      <scheme val="minor"/>
    </font>
    <font>
      <name val="Arial"/>
      <b val="1"/>
      <color rgb="00FFFFFF"/>
      <sz val="10"/>
    </font>
    <font>
      <name val="Arial"/>
      <b val="1"/>
      <color rgb="000B0B0B"/>
      <sz val="16"/>
    </font>
    <font>
      <name val="Arial"/>
      <color rgb="0052514E"/>
      <sz val="9"/>
    </font>
    <font>
      <name val="Arial"/>
      <b val="1"/>
      <color rgb="00FFFFFF"/>
      <sz val="9"/>
    </font>
    <font>
      <name val="Arial"/>
      <b val="1"/>
      <color rgb="000B0B0B"/>
      <sz val="10"/>
    </font>
    <font>
      <name val="Arial"/>
      <color rgb="0052514E"/>
      <sz val="10"/>
    </font>
    <font>
      <name val="Arial"/>
      <color rgb="000B0B0B"/>
      <sz val="10"/>
    </font>
    <font>
      <name val="Arial"/>
      <color rgb="008A8984"/>
      <sz val="9"/>
    </font>
    <font>
      <name val="Arial"/>
      <b val="1"/>
      <color rgb="000B0B0B"/>
      <sz val="11"/>
    </font>
    <font>
      <name val="Arial"/>
      <b val="1"/>
      <color rgb="0052514E"/>
      <sz val="8"/>
    </font>
    <font>
      <name val="Arial"/>
      <color rgb="008A8984"/>
      <sz val="8"/>
    </font>
    <font>
      <name val="Arial"/>
      <b val="1"/>
      <color rgb="000B0B0B"/>
      <sz val="20"/>
    </font>
    <font>
      <name val="Arial"/>
      <b val="1"/>
      <color rgb="000B0B0B"/>
      <sz val="22"/>
    </font>
    <font>
      <name val="Arial"/>
      <b val="1"/>
      <color rgb="000B0B0B"/>
      <sz val="12"/>
    </font>
    <font>
      <name val="Arial"/>
      <color rgb="000B0B0B"/>
      <sz val="9"/>
    </font>
    <font>
      <name val="Arial"/>
      <b val="1"/>
      <color rgb="000B0B0B"/>
      <sz val="9"/>
    </font>
    <font>
      <name val="Arial"/>
      <b val="1"/>
      <color rgb="000B0B0B"/>
      <sz val="8"/>
    </font>
    <font>
      <name val="Arial"/>
      <color rgb="000B0B0B"/>
      <sz val="8"/>
    </font>
    <font>
      <name val="Arial"/>
      <color rgb="000B0B0B"/>
      <sz val="11"/>
    </font>
    <font>
      <name val="Arial"/>
      <color rgb="0052514E"/>
      <sz val="8"/>
    </font>
  </fonts>
  <fills count="7">
    <fill>
      <patternFill/>
    </fill>
    <fill>
      <patternFill patternType="gray125"/>
    </fill>
    <fill>
      <patternFill patternType="solid">
        <fgColor rgb="002A78D6"/>
      </patternFill>
    </fill>
    <fill>
      <patternFill patternType="solid">
        <fgColor rgb="00FFF2B3"/>
      </patternFill>
    </fill>
    <fill>
      <patternFill patternType="solid">
        <fgColor rgb="00F4F4F2"/>
      </patternFill>
    </fill>
    <fill>
      <patternFill patternType="solid">
        <fgColor rgb="00FFFFFF"/>
      </patternFill>
    </fill>
    <fill>
      <patternFill patternType="solid">
        <fgColor rgb="00F0EFEC"/>
      </patternFill>
    </fill>
  </fills>
  <borders count="24">
    <border>
      <left/>
      <right/>
      <top/>
      <bottom/>
      <diagonal/>
    </border>
    <border>
      <bottom style="hair">
        <color rgb="00E6E5E1"/>
      </bottom>
    </border>
    <border>
      <left style="thin">
        <color rgb="00E6E5E1"/>
      </left>
      <top style="thin">
        <color rgb="00E6E5E1"/>
      </top>
    </border>
    <border>
      <top style="thin">
        <color rgb="00E6E5E1"/>
      </top>
    </border>
    <border>
      <right style="thin">
        <color rgb="00E6E5E1"/>
      </right>
      <top style="thin">
        <color rgb="00E6E5E1"/>
      </top>
    </border>
    <border>
      <left style="thin">
        <color rgb="00E6E5E1"/>
      </left>
    </border>
    <border/>
    <border>
      <right style="thin">
        <color rgb="00E6E5E1"/>
      </right>
    </border>
    <border>
      <left style="thin">
        <color rgb="00E6E5E1"/>
      </left>
      <bottom style="thin">
        <color rgb="00E6E5E1"/>
      </bottom>
    </border>
    <border>
      <bottom style="thin">
        <color rgb="00E6E5E1"/>
      </bottom>
    </border>
    <border>
      <right style="thin">
        <color rgb="00E6E5E1"/>
      </right>
      <bottom style="thin">
        <color rgb="00E6E5E1"/>
      </bottom>
    </border>
    <border>
      <left style="thin">
        <color rgb="00E6E5E1"/>
      </left>
      <right style="thin">
        <color rgb="00E6E5E1"/>
      </right>
      <top style="thin">
        <color rgb="00E6E5E1"/>
      </top>
    </border>
    <border>
      <left/>
      <right/>
      <top style="thin">
        <color rgb="00E6E5E1"/>
      </top>
      <bottom/>
      <diagonal/>
    </border>
    <border>
      <left/>
      <right style="thin">
        <color rgb="00E6E5E1"/>
      </right>
      <top style="thin">
        <color rgb="00E6E5E1"/>
      </top>
      <bottom/>
      <diagonal/>
    </border>
    <border>
      <left style="thin">
        <color rgb="00E6E5E1"/>
      </left>
      <right style="thin">
        <color rgb="00E6E5E1"/>
      </right>
    </border>
    <border>
      <left style="thin">
        <color rgb="00E6E5E1"/>
      </left>
      <right/>
      <top/>
      <bottom/>
      <diagonal/>
    </border>
    <border>
      <left/>
      <right style="thin">
        <color rgb="00E6E5E1"/>
      </right>
      <top/>
      <bottom/>
      <diagonal/>
    </border>
    <border>
      <left style="thin">
        <color rgb="00E6E5E1"/>
      </left>
      <right style="thin">
        <color rgb="00E6E5E1"/>
      </right>
      <bottom style="thin">
        <color rgb="00E6E5E1"/>
      </bottom>
    </border>
    <border>
      <left/>
      <right/>
      <top/>
      <bottom style="thin">
        <color rgb="00E6E5E1"/>
      </bottom>
      <diagonal/>
    </border>
    <border>
      <left/>
      <right style="thin">
        <color rgb="00E6E5E1"/>
      </right>
      <top/>
      <bottom style="thin">
        <color rgb="00E6E5E1"/>
      </bottom>
      <diagonal/>
    </border>
    <border>
      <bottom style="thin">
        <color rgb="008A8984"/>
      </bottom>
    </border>
    <border>
      <left style="medium">
        <color rgb="00FFFFFF"/>
      </left>
      <right style="medium">
        <color rgb="00FFFFFF"/>
      </right>
      <top style="medium">
        <color rgb="00FFFFFF"/>
      </top>
    </border>
    <border>
      <left style="medium">
        <color rgb="00FFFFFF"/>
      </left>
      <right style="medium">
        <color rgb="00FFFFFF"/>
      </right>
      <bottom style="medium">
        <color rgb="00FFFFFF"/>
      </bottom>
    </border>
    <border>
      <left style="thin">
        <color rgb="00FFFFFF"/>
      </left>
      <right style="thin">
        <color rgb="00FFFFFF"/>
      </right>
      <top style="thin">
        <color rgb="00FFFFFF"/>
      </top>
      <bottom style="thin">
        <color rgb="00FFFFFF"/>
      </bottom>
    </border>
  </borders>
  <cellStyleXfs count="1">
    <xf numFmtId="0" fontId="0" fillId="0" borderId="0"/>
  </cellStyleXfs>
  <cellXfs count="95">
    <xf numFmtId="0" fontId="0" fillId="0" borderId="0" pivotButton="0" quotePrefix="0" xfId="0"/>
    <xf numFmtId="0" fontId="0" fillId="4" borderId="0" pivotButton="0" quotePrefix="0" xfId="0"/>
    <xf numFmtId="0" fontId="12" fillId="4" borderId="0" pivotButton="0" quotePrefix="0" xfId="0"/>
    <xf numFmtId="0" fontId="3" fillId="4" borderId="0" pivotButton="0" quotePrefix="0" xfId="0"/>
    <xf numFmtId="0" fontId="10" fillId="5" borderId="11" applyAlignment="1" pivotButton="0" quotePrefix="0" xfId="0">
      <alignment vertical="bottom" shrinkToFit="1" indent="1"/>
    </xf>
    <xf numFmtId="0" fontId="0" fillId="0" borderId="12" pivotButton="0" quotePrefix="0" xfId="0"/>
    <xf numFmtId="0" fontId="0" fillId="0" borderId="13" pivotButton="0" quotePrefix="0" xfId="0"/>
    <xf numFmtId="170" fontId="13" fillId="5" borderId="14" applyAlignment="1" pivotButton="0" quotePrefix="0" xfId="0">
      <alignment horizontal="left" vertical="center" shrinkToFit="1" indent="1"/>
    </xf>
    <xf numFmtId="0" fontId="0" fillId="0" borderId="16" pivotButton="0" quotePrefix="0" xfId="0"/>
    <xf numFmtId="49" fontId="13" fillId="5" borderId="14" applyAlignment="1" pivotButton="0" quotePrefix="0" xfId="0">
      <alignment horizontal="left" vertical="center" shrinkToFit="1" indent="1"/>
    </xf>
    <xf numFmtId="0" fontId="0" fillId="0" borderId="15" pivotButton="0" quotePrefix="0" xfId="0"/>
    <xf numFmtId="0" fontId="3" fillId="5" borderId="17" applyAlignment="1" pivotButton="0" quotePrefix="0" xfId="0">
      <alignment vertical="top" shrinkToFit="1" indent="1"/>
    </xf>
    <xf numFmtId="0" fontId="0" fillId="0" borderId="18" pivotButton="0" quotePrefix="0" xfId="0"/>
    <xf numFmtId="0" fontId="0" fillId="0" borderId="19" pivotButton="0" quotePrefix="0" xfId="0"/>
    <xf numFmtId="0" fontId="14" fillId="5" borderId="2" applyAlignment="1" pivotButton="0" quotePrefix="0" xfId="0">
      <alignment vertical="bottom" indent="1"/>
    </xf>
    <xf numFmtId="0" fontId="0" fillId="5" borderId="3" pivotButton="0" quotePrefix="0" xfId="0"/>
    <xf numFmtId="0" fontId="0" fillId="5" borderId="4" pivotButton="0" quotePrefix="0" xfId="0"/>
    <xf numFmtId="0" fontId="3" fillId="5" borderId="5" applyAlignment="1" pivotButton="0" quotePrefix="0" xfId="0">
      <alignment indent="1"/>
    </xf>
    <xf numFmtId="0" fontId="0" fillId="5" borderId="6" pivotButton="0" quotePrefix="0" xfId="0"/>
    <xf numFmtId="0" fontId="0" fillId="5" borderId="7" pivotButton="0" quotePrefix="0" xfId="0"/>
    <xf numFmtId="0" fontId="0" fillId="5" borderId="5" pivotButton="0" quotePrefix="0" xfId="0"/>
    <xf numFmtId="0" fontId="0" fillId="5" borderId="8" pivotButton="0" quotePrefix="0" xfId="0"/>
    <xf numFmtId="0" fontId="0" fillId="5" borderId="9" pivotButton="0" quotePrefix="0" xfId="0"/>
    <xf numFmtId="0" fontId="0" fillId="5" borderId="10" pivotButton="0" quotePrefix="0" xfId="0"/>
    <xf numFmtId="0" fontId="10" fillId="5" borderId="20" applyAlignment="1" pivotButton="0" quotePrefix="0" xfId="0">
      <alignment horizontal="left"/>
    </xf>
    <xf numFmtId="0" fontId="10" fillId="5" borderId="20" applyAlignment="1" pivotButton="0" quotePrefix="0" xfId="0">
      <alignment horizontal="center"/>
    </xf>
    <xf numFmtId="170" fontId="15" fillId="5" borderId="5" applyAlignment="1" pivotButton="0" quotePrefix="0" xfId="0">
      <alignment horizontal="left" shrinkToFit="1"/>
    </xf>
    <xf numFmtId="170" fontId="15" fillId="5" borderId="6" applyAlignment="1" pivotButton="0" quotePrefix="0" xfId="0">
      <alignment horizontal="center" shrinkToFit="1"/>
    </xf>
    <xf numFmtId="170" fontId="16" fillId="5" borderId="6" applyAlignment="1" pivotButton="0" quotePrefix="0" xfId="0">
      <alignment horizontal="center" shrinkToFit="1"/>
    </xf>
    <xf numFmtId="171" fontId="17" fillId="6" borderId="21" applyAlignment="1" pivotButton="0" quotePrefix="0" xfId="0">
      <alignment horizontal="center" vertical="bottom"/>
    </xf>
    <xf numFmtId="172" fontId="17" fillId="6" borderId="21" applyAlignment="1" pivotButton="0" quotePrefix="0" xfId="0">
      <alignment horizontal="center" vertical="bottom"/>
    </xf>
    <xf numFmtId="170" fontId="18" fillId="6" borderId="22" applyAlignment="1" pivotButton="0" quotePrefix="0" xfId="0">
      <alignment horizontal="center" vertical="top" shrinkToFit="1"/>
    </xf>
    <xf numFmtId="0" fontId="10" fillId="5" borderId="20" applyAlignment="1" pivotButton="0" quotePrefix="0" xfId="0">
      <alignment horizontal="right"/>
    </xf>
    <xf numFmtId="173" fontId="17" fillId="6" borderId="21" applyAlignment="1" pivotButton="0" quotePrefix="0" xfId="0">
      <alignment horizontal="center" vertical="bottom"/>
    </xf>
    <xf numFmtId="174" fontId="17" fillId="6" borderId="21" applyAlignment="1" pivotButton="0" quotePrefix="0" xfId="0">
      <alignment horizontal="center" vertical="bottom"/>
    </xf>
    <xf numFmtId="175" fontId="17" fillId="6" borderId="21" applyAlignment="1" pivotButton="0" quotePrefix="0" xfId="0">
      <alignment horizontal="center" vertical="bottom"/>
    </xf>
    <xf numFmtId="0" fontId="9" fillId="5" borderId="5" applyAlignment="1" pivotButton="0" quotePrefix="0" xfId="0">
      <alignment vertical="center" indent="1"/>
    </xf>
    <xf numFmtId="170" fontId="19" fillId="5" borderId="6" applyAlignment="1" pivotButton="0" quotePrefix="0" xfId="0">
      <alignment vertical="center"/>
    </xf>
    <xf numFmtId="9" fontId="6" fillId="5" borderId="7" applyAlignment="1" pivotButton="0" quotePrefix="0" xfId="0">
      <alignment vertical="center"/>
    </xf>
    <xf numFmtId="176" fontId="17" fillId="6" borderId="21" applyAlignment="1" pivotButton="0" quotePrefix="0" xfId="0">
      <alignment horizontal="center" vertical="bottom"/>
    </xf>
    <xf numFmtId="177" fontId="17" fillId="6" borderId="21" applyAlignment="1" pivotButton="0" quotePrefix="0" xfId="0">
      <alignment horizontal="center" vertical="bottom"/>
    </xf>
    <xf numFmtId="178" fontId="17" fillId="6" borderId="21" applyAlignment="1" pivotButton="0" quotePrefix="0" xfId="0">
      <alignment horizontal="center" vertical="bottom"/>
    </xf>
    <xf numFmtId="179" fontId="17" fillId="6" borderId="21" applyAlignment="1" pivotButton="0" quotePrefix="0" xfId="0">
      <alignment horizontal="center" vertical="bottom"/>
    </xf>
    <xf numFmtId="180" fontId="17" fillId="6" borderId="21" applyAlignment="1" pivotButton="0" quotePrefix="0" xfId="0">
      <alignment horizontal="center" vertical="bottom"/>
    </xf>
    <xf numFmtId="181" fontId="17" fillId="6" borderId="21" applyAlignment="1" pivotButton="0" quotePrefix="0" xfId="0">
      <alignment horizontal="center" vertical="bottom"/>
    </xf>
    <xf numFmtId="182" fontId="17" fillId="6" borderId="21" applyAlignment="1" pivotButton="0" quotePrefix="0" xfId="0">
      <alignment horizontal="center" vertical="bottom"/>
    </xf>
    <xf numFmtId="183" fontId="17" fillId="6" borderId="21" applyAlignment="1" pivotButton="0" quotePrefix="0" xfId="0">
      <alignment horizontal="center" vertical="bottom"/>
    </xf>
    <xf numFmtId="184" fontId="17" fillId="6" borderId="21" applyAlignment="1" pivotButton="0" quotePrefix="0" xfId="0">
      <alignment horizontal="center" vertical="bottom"/>
    </xf>
    <xf numFmtId="185" fontId="17" fillId="6" borderId="21" applyAlignment="1" pivotButton="0" quotePrefix="0" xfId="0">
      <alignment horizontal="center" vertical="bottom"/>
    </xf>
    <xf numFmtId="186" fontId="17" fillId="6" borderId="21" applyAlignment="1" pivotButton="0" quotePrefix="0" xfId="0">
      <alignment horizontal="center" vertical="bottom"/>
    </xf>
    <xf numFmtId="187" fontId="17" fillId="6" borderId="21" applyAlignment="1" pivotButton="0" quotePrefix="0" xfId="0">
      <alignment horizontal="center" vertical="bottom"/>
    </xf>
    <xf numFmtId="188" fontId="17" fillId="6" borderId="21" applyAlignment="1" pivotButton="0" quotePrefix="0" xfId="0">
      <alignment horizontal="center" vertical="bottom"/>
    </xf>
    <xf numFmtId="189" fontId="17" fillId="6" borderId="21" applyAlignment="1" pivotButton="0" quotePrefix="0" xfId="0">
      <alignment horizontal="center" vertical="bottom"/>
    </xf>
    <xf numFmtId="190" fontId="17" fillId="6" borderId="21" applyAlignment="1" pivotButton="0" quotePrefix="0" xfId="0">
      <alignment horizontal="center" vertical="bottom"/>
    </xf>
    <xf numFmtId="191" fontId="17" fillId="6" borderId="21" applyAlignment="1" pivotButton="0" quotePrefix="0" xfId="0">
      <alignment horizontal="center" vertical="bottom"/>
    </xf>
    <xf numFmtId="192" fontId="17" fillId="6" borderId="21" applyAlignment="1" pivotButton="0" quotePrefix="0" xfId="0">
      <alignment horizontal="center" vertical="bottom"/>
    </xf>
    <xf numFmtId="193" fontId="17" fillId="6" borderId="21" applyAlignment="1" pivotButton="0" quotePrefix="0" xfId="0">
      <alignment horizontal="center" vertical="bottom"/>
    </xf>
    <xf numFmtId="194" fontId="17" fillId="6" borderId="21" applyAlignment="1" pivotButton="0" quotePrefix="0" xfId="0">
      <alignment horizontal="center" vertical="bottom"/>
    </xf>
    <xf numFmtId="195" fontId="17" fillId="6" borderId="21" applyAlignment="1" pivotButton="0" quotePrefix="0" xfId="0">
      <alignment horizontal="center" vertical="bottom"/>
    </xf>
    <xf numFmtId="196" fontId="17" fillId="6" borderId="21" applyAlignment="1" pivotButton="0" quotePrefix="0" xfId="0">
      <alignment horizontal="center" vertical="bottom"/>
    </xf>
    <xf numFmtId="197" fontId="17" fillId="6" borderId="21" applyAlignment="1" pivotButton="0" quotePrefix="0" xfId="0">
      <alignment horizontal="center" vertical="bottom"/>
    </xf>
    <xf numFmtId="198" fontId="17" fillId="6" borderId="21" applyAlignment="1" pivotButton="0" quotePrefix="0" xfId="0">
      <alignment horizontal="center" vertical="bottom"/>
    </xf>
    <xf numFmtId="199" fontId="17" fillId="6" borderId="21" applyAlignment="1" pivotButton="0" quotePrefix="0" xfId="0">
      <alignment horizontal="center" vertical="bottom"/>
    </xf>
    <xf numFmtId="200" fontId="17" fillId="6" borderId="21" applyAlignment="1" pivotButton="0" quotePrefix="0" xfId="0">
      <alignment horizontal="center" vertical="bottom"/>
    </xf>
    <xf numFmtId="201" fontId="17" fillId="6" borderId="21" applyAlignment="1" pivotButton="0" quotePrefix="0" xfId="0">
      <alignment horizontal="center" vertical="bottom"/>
    </xf>
    <xf numFmtId="202" fontId="17" fillId="6" borderId="21" applyAlignment="1" pivotButton="0" quotePrefix="0" xfId="0">
      <alignment horizontal="center" vertical="bottom"/>
    </xf>
    <xf numFmtId="203" fontId="17" fillId="6" borderId="21" applyAlignment="1" pivotButton="0" quotePrefix="0" xfId="0">
      <alignment horizontal="center" vertical="bottom"/>
    </xf>
    <xf numFmtId="170" fontId="10" fillId="5" borderId="5" applyAlignment="1" pivotButton="0" quotePrefix="0" xfId="0">
      <alignment horizontal="right" vertical="center"/>
    </xf>
    <xf numFmtId="170" fontId="10" fillId="5" borderId="6" applyAlignment="1" pivotButton="0" quotePrefix="0" xfId="0">
      <alignment horizontal="center" vertical="center"/>
    </xf>
    <xf numFmtId="170" fontId="20" fillId="5" borderId="5" applyAlignment="1" pivotButton="0" quotePrefix="0" xfId="0">
      <alignment horizontal="right" vertical="center"/>
    </xf>
    <xf numFmtId="170" fontId="18" fillId="5" borderId="23" applyAlignment="1" pivotButton="0" quotePrefix="0" xfId="0">
      <alignment horizontal="center" vertical="center"/>
    </xf>
    <xf numFmtId="0" fontId="1" fillId="2" borderId="0" pivotButton="0" quotePrefix="0" xfId="0"/>
    <xf numFmtId="165" fontId="0" fillId="0" borderId="0" pivotButton="0" quotePrefix="0" xfId="0"/>
    <xf numFmtId="3" fontId="0"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1" pivotButton="0" quotePrefix="0" xfId="0"/>
    <xf numFmtId="0" fontId="6" fillId="0" borderId="1" pivotButton="0" quotePrefix="0" xfId="0"/>
    <xf numFmtId="0" fontId="7" fillId="3" borderId="1" pivotButton="0" quotePrefix="0" xfId="0"/>
    <xf numFmtId="0" fontId="8" fillId="0" borderId="1" pivotButton="0" quotePrefix="0" xfId="0"/>
    <xf numFmtId="0" fontId="9" fillId="0" borderId="0" pivotButton="0" quotePrefix="0" xfId="0"/>
    <xf numFmtId="0" fontId="7" fillId="0" borderId="0" pivotButton="0" quotePrefix="0" xfId="0"/>
    <xf numFmtId="3" fontId="6" fillId="0" borderId="0" pivotButton="0" quotePrefix="0" xfId="0"/>
    <xf numFmtId="166" fontId="6" fillId="0" borderId="0" pivotButton="0" quotePrefix="0" xfId="0"/>
    <xf numFmtId="0" fontId="6" fillId="0" borderId="0" pivotButton="0" quotePrefix="0" xfId="0"/>
    <xf numFmtId="167" fontId="6" fillId="0" borderId="0" pivotButton="0" quotePrefix="0" xfId="0"/>
    <xf numFmtId="0" fontId="10" fillId="0" borderId="0" pivotButton="0" quotePrefix="0" xfId="0"/>
    <xf numFmtId="0" fontId="11" fillId="0" borderId="0" pivotButton="0" quotePrefix="0" xfId="0"/>
    <xf numFmtId="168" fontId="11" fillId="0" borderId="0" pivotButton="0" quotePrefix="0" xfId="0"/>
    <xf numFmtId="1" fontId="11" fillId="0" borderId="0" pivotButton="0" quotePrefix="0" xfId="0"/>
    <xf numFmtId="0" fontId="5" fillId="0" borderId="0" pivotButton="0" quotePrefix="0" xfId="0"/>
    <xf numFmtId="166" fontId="0" fillId="0" borderId="0" pivotButton="0" quotePrefix="0" xfId="0"/>
    <xf numFmtId="167" fontId="0" fillId="0" borderId="0" pivotButton="0" quotePrefix="0" xfId="0"/>
    <xf numFmtId="169" fontId="0" fillId="0" borderId="0" pivotButton="0" quotePrefix="0" xfId="0"/>
  </cellXfs>
  <cellStyles count="1">
    <cellStyle name="Normal" xfId="0" builtinId="0" hidden="0"/>
  </cellStyles>
  <dxfs count="4">
    <dxf>
      <font>
        <name val="Arial"/>
        <b val="1"/>
        <color rgb="000CA30C"/>
        <sz val="9"/>
      </font>
    </dxf>
    <dxf>
      <font>
        <name val="Arial"/>
        <b val="1"/>
        <color rgb="00D03B3B"/>
        <sz val="9"/>
      </font>
    </dxf>
    <dxf>
      <font>
        <name val="Arial"/>
        <b val="1"/>
        <color rgb="00FFFFFF"/>
        <sz val="9"/>
      </font>
    </dxf>
    <dxf>
      <font>
        <name val="Arial"/>
        <b val="1"/>
        <color rgb="00FFFFFF"/>
        <sz val="8"/>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roundedCorners val="0"/>
  <style val="2"/>
  <chart>
    <plotArea>
      <scatterChart>
        <scatterStyle val="lineMarker"/>
        <ser>
          <idx val="0"/>
          <order val="0"/>
          <tx>
            <v>Tendencia</v>
          </tx>
          <spPr>
            <a:ln xmlns:a="http://schemas.openxmlformats.org/drawingml/2006/main" w="31750">
              <a:solidFill>
                <a:srgbClr val="2A78D6"/>
              </a:solidFill>
              <a:prstDash val="solid"/>
            </a:ln>
          </spPr>
          <marker>
            <symbol val="circle"/>
            <size val="6"/>
            <spPr>
              <a:solidFill xmlns:a="http://schemas.openxmlformats.org/drawingml/2006/main">
                <a:srgbClr val="2A78D6"/>
              </a:solidFill>
              <a:ln xmlns:a="http://schemas.openxmlformats.org/drawingml/2006/main">
                <a:solidFill>
                  <a:srgbClr val="FFFFFF"/>
                </a:solidFill>
                <a:prstDash val="solid"/>
              </a:ln>
            </spPr>
          </marker>
          <xVal>
            <numRef>
              <f>'Motor'!$AF$3:$AF$26</f>
            </numRef>
          </xVal>
          <yVal>
            <numRef>
              <f>'Motor'!$AE$3:$AE$26</f>
            </numRef>
          </yVal>
          <smooth val="0"/>
        </ser>
        <axId val="10"/>
        <axId val="20"/>
      </scatterChart>
      <valAx>
        <axId val="10"/>
        <scaling>
          <orientation val="minMax"/>
        </scaling>
        <delete val="0"/>
        <axPos val="l"/>
        <numFmt formatCode="mmm yy" sourceLinked="0"/>
        <majorTickMark val="none"/>
        <minorTickMark val="none"/>
        <spPr>
          <a:ln xmlns:a="http://schemas.openxmlformats.org/drawingml/2006/main" w="9525">
            <a:solidFill>
              <a:srgbClr val="E6E5E1"/>
            </a:solidFill>
            <a:prstDash val="solid"/>
          </a:ln>
        </spPr>
        <txPr>
          <a:bodyPr xmlns:a="http://schemas.openxmlformats.org/drawingml/2006/main"/>
          <a:p xmlns:a="http://schemas.openxmlformats.org/drawingml/2006/main">
            <a:pPr>
              <a:defRPr sz="800" b="0">
                <a:solidFill>
                  <a:srgbClr val="52514E"/>
                </a:solidFill>
                <a:latin typeface="Arial"/>
              </a:defRPr>
            </a:pPr>
            <a:r>
              <a:t/>
            </a:r>
            <a:endParaRPr sz="800" b="0">
              <a:solidFill>
                <a:srgbClr val="52514E"/>
              </a:solidFill>
              <a:latin typeface="Arial"/>
            </a:endParaRPr>
          </a:p>
        </txPr>
        <crossAx val="20"/>
      </valAx>
      <valAx>
        <axId val="20"/>
        <scaling>
          <orientation val="minMax"/>
          <min val="0"/>
        </scaling>
        <delete val="0"/>
        <axPos val="l"/>
        <majorGridlines>
          <spPr>
            <a:ln xmlns:a="http://schemas.openxmlformats.org/drawingml/2006/main" w="6350">
              <a:solidFill>
                <a:srgbClr val="E6E5E1"/>
              </a:solidFill>
              <a:prstDash val="solid"/>
            </a:ln>
          </spPr>
        </majorGridlines>
        <numFmt formatCode="[&gt;=1000000]#,##0.0,,&quot;M&quot;;[&gt;=1000]#,##0.0,&quot;K&quot;;#,##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52514E"/>
                </a:solidFill>
                <a:latin typeface="Arial"/>
              </a:defRPr>
            </a:pPr>
            <a:r>
              <a:t/>
            </a:r>
            <a:endParaRPr sz="800" b="0">
              <a:solidFill>
                <a:srgbClr val="52514E"/>
              </a:solidFill>
              <a:latin typeface="Arial"/>
            </a:endParaRPr>
          </a:p>
        </txPr>
        <crossAx val="10"/>
      </valAx>
    </plotArea>
    <plotVisOnly val="1"/>
    <dispBlanksAs val="gap"/>
  </chart>
  <spPr>
    <a:solidFill xmlns:a="http://schemas.openxmlformats.org/drawingml/2006/main">
      <a:srgbClr val="FFFFFF"/>
    </a:solidFill>
    <a:ln xmlns:a="http://schemas.openxmlformats.org/drawingml/2006/main">
      <a:noFill/>
      <a:prstDash val="solid"/>
    </a:ln>
  </spPr>
</chartSpace>
</file>

<file path=xl/charts/chart2.xml><?xml version="1.0" encoding="utf-8"?>
<chartSpace xmlns="http://schemas.openxmlformats.org/drawingml/2006/chart">
  <roundedCorners val="0"/>
  <style val="2"/>
  <chart>
    <plotArea>
      <barChart>
        <barDir val="bar"/>
        <grouping val="clustered"/>
        <ser>
          <idx val="0"/>
          <order val="0"/>
          <spPr>
            <a:solidFill xmlns:a="http://schemas.openxmlformats.org/drawingml/2006/main">
              <a:srgbClr val="2A78D6"/>
            </a:solidFill>
            <a:ln xmlns:a="http://schemas.openxmlformats.org/drawingml/2006/main">
              <a:noFill/>
              <a:prstDash val="solid"/>
            </a:ln>
          </spPr>
          <dLbls>
            <numFmt formatCode="#,##0;-#,##0;;"/>
            <txPr>
              <a:bodyPr xmlns:a="http://schemas.openxmlformats.org/drawingml/2006/main"/>
              <a:p xmlns:a="http://schemas.openxmlformats.org/drawingml/2006/main">
                <a:pPr>
                  <a:defRPr sz="800" b="0">
                    <a:solidFill>
                      <a:srgbClr val="0B0B0B"/>
                    </a:solidFill>
                    <a:latin typeface="Arial"/>
                  </a:defRPr>
                </a:pPr>
                <a:r>
                  <a:t/>
                </a:r>
                <a:endParaRPr sz="800" b="0">
                  <a:solidFill>
                    <a:srgbClr val="0B0B0B"/>
                  </a:solidFill>
                  <a:latin typeface="Arial"/>
                </a:endParaRPr>
              </a:p>
            </txPr>
            <dLblPos val="outEnd"/>
            <showLegendKey val="0"/>
            <showVal val="1"/>
            <showCatName val="0"/>
            <showSerName val="0"/>
            <showPercent val="0"/>
          </dLbls>
          <cat>
            <numRef>
              <f>'Motor'!$F$3:$F$12</f>
            </numRef>
          </cat>
          <val>
            <numRef>
              <f>'Motor'!$G$3:$G$12</f>
            </numRef>
          </val>
        </ser>
        <gapWidth val="45"/>
        <axId val="10"/>
        <axId val="100"/>
      </barChart>
      <catAx>
        <axId val="10"/>
        <scaling>
          <orientation val="maxMin"/>
        </scaling>
        <delete val="0"/>
        <axPos val="l"/>
        <majorTickMark val="none"/>
        <minorTickMark val="none"/>
        <spPr>
          <a:ln xmlns:a="http://schemas.openxmlformats.org/drawingml/2006/main" w="9525">
            <a:solidFill>
              <a:srgbClr val="E6E5E1"/>
            </a:solidFill>
            <a:prstDash val="solid"/>
          </a:ln>
        </spPr>
        <txPr>
          <a:bodyPr xmlns:a="http://schemas.openxmlformats.org/drawingml/2006/main"/>
          <a:p xmlns:a="http://schemas.openxmlformats.org/drawingml/2006/main">
            <a:pPr>
              <a:defRPr sz="800" b="0">
                <a:solidFill>
                  <a:srgbClr val="52514E"/>
                </a:solidFill>
                <a:latin typeface="Arial"/>
              </a:defRPr>
            </a:pPr>
            <a:r>
              <a:t/>
            </a:r>
            <a:endParaRPr sz="800" b="0">
              <a:solidFill>
                <a:srgbClr val="52514E"/>
              </a:solidFill>
              <a:latin typeface="Arial"/>
            </a:endParaRPr>
          </a:p>
        </txPr>
        <crossAx val="100"/>
        <lblOffset val="100"/>
      </catAx>
      <valAx>
        <axId val="100"/>
        <scaling>
          <orientation val="minMax"/>
          <min val="0"/>
        </scaling>
        <delete val="1"/>
        <axPos val="l"/>
        <majorTickMark val="none"/>
        <minorTickMark val="none"/>
        <spPr>
          <a:ln xmlns:a="http://schemas.openxmlformats.org/drawingml/2006/main" w="9525">
            <a:solidFill>
              <a:srgbClr val="E6E5E1"/>
            </a:solidFill>
            <a:prstDash val="solid"/>
          </a:ln>
        </spPr>
        <txPr>
          <a:bodyPr xmlns:a="http://schemas.openxmlformats.org/drawingml/2006/main"/>
          <a:p xmlns:a="http://schemas.openxmlformats.org/drawingml/2006/main">
            <a:pPr>
              <a:defRPr sz="800" b="0">
                <a:solidFill>
                  <a:srgbClr val="52514E"/>
                </a:solidFill>
                <a:latin typeface="Arial"/>
              </a:defRPr>
            </a:pPr>
            <a:r>
              <a:t/>
            </a:r>
            <a:endParaRPr sz="800" b="0">
              <a:solidFill>
                <a:srgbClr val="52514E"/>
              </a:solidFill>
              <a:latin typeface="Arial"/>
            </a:endParaRPr>
          </a:p>
        </txPr>
        <crossAx val="10"/>
      </valAx>
    </plotArea>
    <plotVisOnly val="1"/>
    <dispBlanksAs val="gap"/>
  </chart>
  <spPr>
    <a:solidFill xmlns:a="http://schemas.openxmlformats.org/drawingml/2006/main">
      <a:srgbClr val="FFFFFF"/>
    </a:solidFill>
    <a:ln xmlns:a="http://schemas.openxmlformats.org/drawingml/2006/main">
      <a:noFill/>
      <a:prstDash val="solid"/>
    </a:ln>
  </spPr>
</chartSpace>
</file>

<file path=xl/charts/chart3.xml><?xml version="1.0" encoding="utf-8"?>
<chartSpace xmlns="http://schemas.openxmlformats.org/drawingml/2006/chart">
  <style val="2"/>
  <chart>
    <plotArea>
      <doughnutChart>
        <varyColors val="1"/>
        <ser>
          <idx val="0"/>
          <order val="0"/>
          <tx>
            <strRef>
              <f>'Motor'!AH2</f>
            </strRef>
          </tx>
          <spPr>
            <a:ln xmlns:a="http://schemas.openxmlformats.org/drawingml/2006/main">
              <a:prstDash val="solid"/>
            </a:ln>
          </spPr>
          <dPt>
            <idx val="0"/>
            <spPr>
              <a:solidFill xmlns:a="http://schemas.openxmlformats.org/drawingml/2006/main">
                <a:srgbClr val="2A78D6"/>
              </a:solidFill>
              <a:ln xmlns:a="http://schemas.openxmlformats.org/drawingml/2006/main" w="25400">
                <a:solidFill>
                  <a:srgbClr val="FFFFFF"/>
                </a:solidFill>
                <a:prstDash val="solid"/>
              </a:ln>
            </spPr>
          </dPt>
          <dPt>
            <idx val="1"/>
            <spPr>
              <a:solidFill xmlns:a="http://schemas.openxmlformats.org/drawingml/2006/main">
                <a:srgbClr val="EB6834"/>
              </a:solidFill>
              <a:ln xmlns:a="http://schemas.openxmlformats.org/drawingml/2006/main" w="25400">
                <a:solidFill>
                  <a:srgbClr val="FFFFFF"/>
                </a:solidFill>
                <a:prstDash val="solid"/>
              </a:ln>
            </spPr>
          </dPt>
          <dPt>
            <idx val="2"/>
            <spPr>
              <a:solidFill xmlns:a="http://schemas.openxmlformats.org/drawingml/2006/main">
                <a:srgbClr val="1BAF7A"/>
              </a:solidFill>
              <a:ln xmlns:a="http://schemas.openxmlformats.org/drawingml/2006/main" w="25400">
                <a:solidFill>
                  <a:srgbClr val="FFFFFF"/>
                </a:solidFill>
                <a:prstDash val="solid"/>
              </a:ln>
            </spPr>
          </dPt>
          <dPt>
            <idx val="3"/>
            <spPr>
              <a:solidFill xmlns:a="http://schemas.openxmlformats.org/drawingml/2006/main">
                <a:srgbClr val="EDA100"/>
              </a:solidFill>
              <a:ln xmlns:a="http://schemas.openxmlformats.org/drawingml/2006/main" w="25400">
                <a:solidFill>
                  <a:srgbClr val="FFFFFF"/>
                </a:solidFill>
                <a:prstDash val="solid"/>
              </a:ln>
            </spPr>
          </dPt>
          <dPt>
            <idx val="4"/>
            <spPr>
              <a:solidFill xmlns:a="http://schemas.openxmlformats.org/drawingml/2006/main">
                <a:srgbClr val="E87BA4"/>
              </a:solidFill>
              <a:ln xmlns:a="http://schemas.openxmlformats.org/drawingml/2006/main" w="25400">
                <a:solidFill>
                  <a:srgbClr val="FFFFFF"/>
                </a:solidFill>
                <a:prstDash val="solid"/>
              </a:ln>
            </spPr>
          </dPt>
          <dPt>
            <idx val="5"/>
            <spPr>
              <a:solidFill xmlns:a="http://schemas.openxmlformats.org/drawingml/2006/main">
                <a:srgbClr val="B4B2AC"/>
              </a:solidFill>
              <a:ln xmlns:a="http://schemas.openxmlformats.org/drawingml/2006/main" w="25400">
                <a:solidFill>
                  <a:srgbClr val="FFFFFF"/>
                </a:solidFill>
                <a:prstDash val="solid"/>
              </a:ln>
            </spPr>
          </dPt>
          <dLbls>
            <numFmt formatCode="0%;;;"/>
            <txPr>
              <a:bodyPr xmlns:a="http://schemas.openxmlformats.org/drawingml/2006/main"/>
              <a:p xmlns:a="http://schemas.openxmlformats.org/drawingml/2006/main">
                <a:pPr>
                  <a:defRPr sz="800" b="1">
                    <a:solidFill>
                      <a:srgbClr val="0B0B0B"/>
                    </a:solidFill>
                    <a:latin typeface="Arial"/>
                  </a:defRPr>
                </a:pPr>
                <a:r>
                  <a:t/>
                </a:r>
                <a:endParaRPr sz="800" b="1">
                  <a:solidFill>
                    <a:srgbClr val="0B0B0B"/>
                  </a:solidFill>
                  <a:latin typeface="Arial"/>
                </a:endParaRPr>
              </a:p>
            </txPr>
            <showLegendKey val="0"/>
            <showVal val="0"/>
            <showCatName val="0"/>
            <showSerName val="0"/>
            <showPercent val="1"/>
          </dLbls>
          <cat>
            <numRef>
              <f>'Motor'!$AG$3:$AG$8</f>
            </numRef>
          </cat>
          <val>
            <numRef>
              <f>'Motor'!$AH$3:$AH$8</f>
            </numRef>
          </val>
        </ser>
        <firstSliceAng val="0"/>
        <holeSize val="60"/>
      </doughnutChart>
      <spPr>
        <a:ln xmlns:a="http://schemas.openxmlformats.org/drawingml/2006/main">
          <a:noFill/>
          <a:prstDash val="solid"/>
        </a:ln>
      </spPr>
    </plotArea>
    <legend>
      <legendPos val="r"/>
      <txPr>
        <a:bodyPr xmlns:a="http://schemas.openxmlformats.org/drawingml/2006/main"/>
        <a:p xmlns:a="http://schemas.openxmlformats.org/drawingml/2006/main">
          <a:pPr>
            <a:defRPr sz="900" b="0">
              <a:solidFill>
                <a:srgbClr val="52514E"/>
              </a:solidFill>
              <a:latin typeface="Arial"/>
            </a:defRPr>
          </a:pPr>
          <a:r>
            <a:t/>
          </a:r>
          <a:endParaRPr sz="900" b="0">
            <a:solidFill>
              <a:srgbClr val="52514E"/>
            </a:solidFill>
            <a:latin typeface="Arial"/>
          </a:endParaRPr>
        </a:p>
      </txPr>
    </legend>
    <plotVisOnly val="1"/>
    <dispBlanksAs val="gap"/>
  </chart>
  <spPr>
    <a:ln xmlns:a="http://schemas.openxmlformats.org/drawingml/2006/main">
      <a:noFill/>
      <a:prstDash val="solid"/>
    </a:ln>
  </spPr>
</chartSpace>
</file>

<file path=xl/charts/chart4.xml><?xml version="1.0" encoding="utf-8"?>
<chartSpace xmlns="http://schemas.openxmlformats.org/drawingml/2006/chart">
  <roundedCorners val="0"/>
  <style val="2"/>
  <chart>
    <plotArea>
      <barChart>
        <barDir val="col"/>
        <grouping val="stacked"/>
        <ser>
          <idx val="0"/>
          <order val="0"/>
          <tx>
            <strRef>
              <f>'Motor'!AM2</f>
            </strRef>
          </tx>
          <spPr>
            <a:solidFill xmlns:a="http://schemas.openxmlformats.org/drawingml/2006/main">
              <a:srgbClr val="2A78D6"/>
            </a:solidFill>
            <a:ln xmlns:a="http://schemas.openxmlformats.org/drawingml/2006/main" w="12700">
              <a:solidFill>
                <a:srgbClr val="FFFFFF"/>
              </a:solidFill>
              <a:prstDash val="solid"/>
            </a:ln>
          </spPr>
          <cat>
            <numRef>
              <f>'Motor'!$AL$3:$AL$14</f>
            </numRef>
          </cat>
          <val>
            <numRef>
              <f>'Motor'!$AM$3:$AM$14</f>
            </numRef>
          </val>
        </ser>
        <ser>
          <idx val="1"/>
          <order val="1"/>
          <tx>
            <strRef>
              <f>'Motor'!AN2</f>
            </strRef>
          </tx>
          <spPr>
            <a:solidFill xmlns:a="http://schemas.openxmlformats.org/drawingml/2006/main">
              <a:srgbClr val="EB6834"/>
            </a:solidFill>
            <a:ln xmlns:a="http://schemas.openxmlformats.org/drawingml/2006/main" w="12700">
              <a:solidFill>
                <a:srgbClr val="FFFFFF"/>
              </a:solidFill>
              <a:prstDash val="solid"/>
            </a:ln>
          </spPr>
          <cat>
            <numRef>
              <f>'Motor'!$AL$3:$AL$14</f>
            </numRef>
          </cat>
          <val>
            <numRef>
              <f>'Motor'!$AN$3:$AN$14</f>
            </numRef>
          </val>
        </ser>
        <ser>
          <idx val="2"/>
          <order val="2"/>
          <tx>
            <strRef>
              <f>'Motor'!AO2</f>
            </strRef>
          </tx>
          <spPr>
            <a:solidFill xmlns:a="http://schemas.openxmlformats.org/drawingml/2006/main">
              <a:srgbClr val="1BAF7A"/>
            </a:solidFill>
            <a:ln xmlns:a="http://schemas.openxmlformats.org/drawingml/2006/main" w="12700">
              <a:solidFill>
                <a:srgbClr val="FFFFFF"/>
              </a:solidFill>
              <a:prstDash val="solid"/>
            </a:ln>
          </spPr>
          <cat>
            <numRef>
              <f>'Motor'!$AL$3:$AL$14</f>
            </numRef>
          </cat>
          <val>
            <numRef>
              <f>'Motor'!$AO$3:$AO$14</f>
            </numRef>
          </val>
        </ser>
        <ser>
          <idx val="3"/>
          <order val="3"/>
          <tx>
            <strRef>
              <f>'Motor'!AP2</f>
            </strRef>
          </tx>
          <spPr>
            <a:solidFill xmlns:a="http://schemas.openxmlformats.org/drawingml/2006/main">
              <a:srgbClr val="EDA100"/>
            </a:solidFill>
            <a:ln xmlns:a="http://schemas.openxmlformats.org/drawingml/2006/main" w="12700">
              <a:solidFill>
                <a:srgbClr val="FFFFFF"/>
              </a:solidFill>
              <a:prstDash val="solid"/>
            </a:ln>
          </spPr>
          <cat>
            <numRef>
              <f>'Motor'!$AL$3:$AL$14</f>
            </numRef>
          </cat>
          <val>
            <numRef>
              <f>'Motor'!$AP$3:$AP$14</f>
            </numRef>
          </val>
        </ser>
        <ser>
          <idx val="4"/>
          <order val="4"/>
          <tx>
            <strRef>
              <f>'Motor'!AQ2</f>
            </strRef>
          </tx>
          <spPr>
            <a:solidFill xmlns:a="http://schemas.openxmlformats.org/drawingml/2006/main">
              <a:srgbClr val="B4B2AC"/>
            </a:solidFill>
            <a:ln xmlns:a="http://schemas.openxmlformats.org/drawingml/2006/main" w="12700">
              <a:solidFill>
                <a:srgbClr val="FFFFFF"/>
              </a:solidFill>
              <a:prstDash val="solid"/>
            </a:ln>
          </spPr>
          <cat>
            <numRef>
              <f>'Motor'!$AL$3:$AL$14</f>
            </numRef>
          </cat>
          <val>
            <numRef>
              <f>'Motor'!$AQ$3:$AQ$14</f>
            </numRef>
          </val>
        </ser>
        <gapWidth val="40"/>
        <overlap val="100"/>
        <axId val="10"/>
        <axId val="100"/>
      </barChart>
      <catAx>
        <axId val="10"/>
        <scaling>
          <orientation val="minMax"/>
        </scaling>
        <delete val="0"/>
        <axPos val="l"/>
        <majorTickMark val="none"/>
        <minorTickMark val="none"/>
        <spPr>
          <a:ln xmlns:a="http://schemas.openxmlformats.org/drawingml/2006/main" w="9525">
            <a:solidFill>
              <a:srgbClr val="E6E5E1"/>
            </a:solidFill>
            <a:prstDash val="solid"/>
          </a:ln>
        </spPr>
        <txPr>
          <a:bodyPr xmlns:a="http://schemas.openxmlformats.org/drawingml/2006/main"/>
          <a:p xmlns:a="http://schemas.openxmlformats.org/drawingml/2006/main">
            <a:pPr>
              <a:defRPr sz="800" b="0">
                <a:solidFill>
                  <a:srgbClr val="52514E"/>
                </a:solidFill>
                <a:latin typeface="Arial"/>
              </a:defRPr>
            </a:pPr>
            <a:r>
              <a:t/>
            </a:r>
            <a:endParaRPr sz="800" b="0">
              <a:solidFill>
                <a:srgbClr val="52514E"/>
              </a:solidFill>
              <a:latin typeface="Arial"/>
            </a:endParaRPr>
          </a:p>
        </txPr>
        <crossAx val="100"/>
        <lblOffset val="100"/>
      </catAx>
      <valAx>
        <axId val="100"/>
        <scaling>
          <orientation val="minMax"/>
          <min val="0"/>
        </scaling>
        <delete val="0"/>
        <axPos val="l"/>
        <majorGridlines>
          <spPr>
            <a:ln xmlns:a="http://schemas.openxmlformats.org/drawingml/2006/main" w="6350">
              <a:solidFill>
                <a:srgbClr val="E6E5E1"/>
              </a:solidFill>
              <a:prstDash val="solid"/>
            </a:ln>
          </spPr>
        </majorGridlines>
        <numFmt formatCode="[&gt;=1000000]#,##0.0,,&quot;M&quot;;[&gt;=1000]#,##0.0,&quot;K&quot;;#,##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52514E"/>
                </a:solidFill>
                <a:latin typeface="Arial"/>
              </a:defRPr>
            </a:pPr>
            <a:r>
              <a:t/>
            </a:r>
            <a:endParaRPr sz="800" b="0">
              <a:solidFill>
                <a:srgbClr val="52514E"/>
              </a:solidFill>
              <a:latin typeface="Arial"/>
            </a:endParaRPr>
          </a:p>
        </txPr>
        <crossAx val="10"/>
      </valAx>
    </plotArea>
    <legend>
      <legendPos val="t"/>
      <txPr>
        <a:bodyPr xmlns:a="http://schemas.openxmlformats.org/drawingml/2006/main"/>
        <a:p xmlns:a="http://schemas.openxmlformats.org/drawingml/2006/main">
          <a:pPr>
            <a:defRPr sz="900" b="0">
              <a:solidFill>
                <a:srgbClr val="52514E"/>
              </a:solidFill>
              <a:latin typeface="Arial"/>
            </a:defRPr>
          </a:pPr>
          <a:r>
            <a:t/>
          </a:r>
          <a:endParaRPr sz="900" b="0">
            <a:solidFill>
              <a:srgbClr val="52514E"/>
            </a:solidFill>
            <a:latin typeface="Arial"/>
          </a:endParaRPr>
        </a:p>
      </txPr>
    </legend>
    <plotVisOnly val="1"/>
    <dispBlanksAs val="gap"/>
  </chart>
  <spPr>
    <a:solidFill xmlns:a="http://schemas.openxmlformats.org/drawingml/2006/main">
      <a:srgbClr val="FFFFFF"/>
    </a:solidFill>
    <a:ln xmlns:a="http://schemas.openxmlformats.org/drawingml/2006/main">
      <a:noFill/>
      <a:prstDash val="solid"/>
    </a:ln>
  </spPr>
</chartSpace>
</file>

<file path=xl/charts/chart5.xml><?xml version="1.0" encoding="utf-8"?>
<chartSpace xmlns="http://schemas.openxmlformats.org/drawingml/2006/chart">
  <roundedCorners val="0"/>
  <style val="2"/>
  <chart>
    <plotArea>
      <barChart>
        <barDir val="bar"/>
        <grouping val="stacked"/>
        <ser>
          <idx val="0"/>
          <order val="0"/>
          <tx>
            <strRef>
              <f>'Motor'!BT2</f>
            </strRef>
          </tx>
          <spPr>
            <a:noFill xmlns:a="http://schemas.openxmlformats.org/drawingml/2006/main"/>
            <a:ln xmlns:a="http://schemas.openxmlformats.org/drawingml/2006/main">
              <a:noFill/>
              <a:prstDash val="solid"/>
            </a:ln>
          </spPr>
          <cat>
            <numRef>
              <f>'Motor'!$BS$3:$BS$8</f>
            </numRef>
          </cat>
          <val>
            <numRef>
              <f>'Motor'!$BT$3:$BT$8</f>
            </numRef>
          </val>
        </ser>
        <ser>
          <idx val="1"/>
          <order val="1"/>
          <tx>
            <strRef>
              <f>'Motor'!BU2</f>
            </strRef>
          </tx>
          <spPr>
            <a:solidFill xmlns:a="http://schemas.openxmlformats.org/drawingml/2006/main">
              <a:srgbClr val="1BAF7A"/>
            </a:solidFill>
            <a:ln xmlns:a="http://schemas.openxmlformats.org/drawingml/2006/main">
              <a:noFill/>
              <a:prstDash val="solid"/>
            </a:ln>
          </spPr>
          <dLbls>
            <numFmt formatCode="#,##0;-#,##0;;"/>
            <txPr>
              <a:bodyPr xmlns:a="http://schemas.openxmlformats.org/drawingml/2006/main"/>
              <a:p xmlns:a="http://schemas.openxmlformats.org/drawingml/2006/main">
                <a:pPr>
                  <a:defRPr sz="900" b="1">
                    <a:solidFill>
                      <a:srgbClr val="FFFFFF"/>
                    </a:solidFill>
                    <a:latin typeface="Arial"/>
                  </a:defRPr>
                </a:pPr>
                <a:r>
                  <a:t/>
                </a:r>
                <a:endParaRPr sz="900" b="1">
                  <a:solidFill>
                    <a:srgbClr val="FFFFFF"/>
                  </a:solidFill>
                  <a:latin typeface="Arial"/>
                </a:endParaRPr>
              </a:p>
            </txPr>
            <dLblPos val="ctr"/>
            <showLegendKey val="0"/>
            <showVal val="1"/>
            <showCatName val="0"/>
            <showSerName val="0"/>
            <showPercent val="0"/>
          </dLbls>
          <cat>
            <numRef>
              <f>'Motor'!$BS$3:$BS$8</f>
            </numRef>
          </cat>
          <val>
            <numRef>
              <f>'Motor'!$BU$3:$BU$8</f>
            </numRef>
          </val>
        </ser>
        <gapWidth val="15"/>
        <overlap val="100"/>
        <axId val="10"/>
        <axId val="100"/>
      </barChart>
      <catAx>
        <axId val="10"/>
        <scaling>
          <orientation val="maxMin"/>
        </scaling>
        <delete val="0"/>
        <axPos val="l"/>
        <majorTickMark val="none"/>
        <minorTickMark val="none"/>
        <spPr>
          <a:ln xmlns:a="http://schemas.openxmlformats.org/drawingml/2006/main" w="9525">
            <a:solidFill>
              <a:srgbClr val="E6E5E1"/>
            </a:solidFill>
            <a:prstDash val="solid"/>
          </a:ln>
        </spPr>
        <txPr>
          <a:bodyPr xmlns:a="http://schemas.openxmlformats.org/drawingml/2006/main"/>
          <a:p xmlns:a="http://schemas.openxmlformats.org/drawingml/2006/main">
            <a:pPr>
              <a:defRPr sz="800" b="0">
                <a:solidFill>
                  <a:srgbClr val="52514E"/>
                </a:solidFill>
                <a:latin typeface="Arial"/>
              </a:defRPr>
            </a:pPr>
            <a:r>
              <a:t/>
            </a:r>
            <a:endParaRPr sz="800" b="0">
              <a:solidFill>
                <a:srgbClr val="52514E"/>
              </a:solidFill>
              <a:latin typeface="Arial"/>
            </a:endParaRPr>
          </a:p>
        </txPr>
        <crossAx val="100"/>
        <lblOffset val="100"/>
      </catAx>
      <valAx>
        <axId val="100"/>
        <scaling>
          <orientation val="minMax"/>
        </scaling>
        <delete val="1"/>
        <axPos val="l"/>
        <majorTickMark val="none"/>
        <minorTickMark val="none"/>
        <spPr>
          <a:ln xmlns:a="http://schemas.openxmlformats.org/drawingml/2006/main" w="9525">
            <a:solidFill>
              <a:srgbClr val="E6E5E1"/>
            </a:solidFill>
            <a:prstDash val="solid"/>
          </a:ln>
        </spPr>
        <txPr>
          <a:bodyPr xmlns:a="http://schemas.openxmlformats.org/drawingml/2006/main"/>
          <a:p xmlns:a="http://schemas.openxmlformats.org/drawingml/2006/main">
            <a:pPr>
              <a:defRPr sz="800" b="0">
                <a:solidFill>
                  <a:srgbClr val="52514E"/>
                </a:solidFill>
                <a:latin typeface="Arial"/>
              </a:defRPr>
            </a:pPr>
            <a:r>
              <a:t/>
            </a:r>
            <a:endParaRPr sz="800" b="0">
              <a:solidFill>
                <a:srgbClr val="52514E"/>
              </a:solidFill>
              <a:latin typeface="Arial"/>
            </a:endParaRPr>
          </a:p>
        </txPr>
        <crossAx val="10"/>
      </valAx>
    </plotArea>
    <plotVisOnly val="1"/>
    <dispBlanksAs val="gap"/>
  </chart>
  <spPr>
    <a:solidFill xmlns:a="http://schemas.openxmlformats.org/drawingml/2006/main">
      <a:srgbClr val="FFFFFF"/>
    </a:solidFill>
    <a:ln xmlns:a="http://schemas.openxmlformats.org/drawingml/2006/main">
      <a:noFill/>
      <a:prstDash val="solid"/>
    </a:ln>
  </spPr>
</chartSpace>
</file>

<file path=xl/charts/chart6.xml><?xml version="1.0" encoding="utf-8"?>
<chartSpace xmlns="http://schemas.openxmlformats.org/drawingml/2006/chart">
  <roundedCorners val="0"/>
  <style val="2"/>
  <chart>
    <plotArea>
      <scatterChart>
        <scatterStyle val="marker"/>
        <ser>
          <idx val="0"/>
          <order val="0"/>
          <tx>
            <v>Registros</v>
          </tx>
          <spPr>
            <a:ln xmlns:a="http://schemas.openxmlformats.org/drawingml/2006/main">
              <a:noFill/>
              <a:prstDash val="solid"/>
            </a:ln>
          </spPr>
          <marker>
            <symbol val="circle"/>
            <size val="5"/>
            <spPr>
              <a:solidFill xmlns:a="http://schemas.openxmlformats.org/drawingml/2006/main">
                <a:srgbClr val="2A78D6"/>
              </a:solidFill>
              <a:ln xmlns:a="http://schemas.openxmlformats.org/drawingml/2006/main">
                <a:solidFill>
                  <a:srgbClr val="FFFFFF"/>
                </a:solidFill>
                <a:prstDash val="solid"/>
              </a:ln>
            </spPr>
          </marker>
          <xVal>
            <numRef>
              <f>'Motor'!$BX$3:$BX$5002</f>
            </numRef>
          </xVal>
          <yVal>
            <numRef>
              <f>'Motor'!$BY$3:$BY$5002</f>
            </numRef>
          </yVal>
        </ser>
        <axId val="10"/>
        <axId val="20"/>
      </scatterChart>
      <valAx>
        <axId val="10"/>
        <scaling>
          <orientation val="minMax"/>
        </scaling>
        <delete val="0"/>
        <axPos val="l"/>
        <numFmt formatCode="[&gt;=1000000]#,##0.0,,&quot;M&quot;;[&gt;=1000]#,##0.0,&quot;K&quot;;#,##0" sourceLinked="0"/>
        <majorTickMark val="none"/>
        <minorTickMark val="none"/>
        <spPr>
          <a:ln xmlns:a="http://schemas.openxmlformats.org/drawingml/2006/main" w="9525">
            <a:solidFill>
              <a:srgbClr val="E6E5E1"/>
            </a:solidFill>
            <a:prstDash val="solid"/>
          </a:ln>
        </spPr>
        <txPr>
          <a:bodyPr xmlns:a="http://schemas.openxmlformats.org/drawingml/2006/main"/>
          <a:p xmlns:a="http://schemas.openxmlformats.org/drawingml/2006/main">
            <a:pPr>
              <a:defRPr sz="800" b="0">
                <a:solidFill>
                  <a:srgbClr val="52514E"/>
                </a:solidFill>
                <a:latin typeface="Arial"/>
              </a:defRPr>
            </a:pPr>
            <a:r>
              <a:t/>
            </a:r>
            <a:endParaRPr sz="800" b="0">
              <a:solidFill>
                <a:srgbClr val="52514E"/>
              </a:solidFill>
              <a:latin typeface="Arial"/>
            </a:endParaRPr>
          </a:p>
        </txPr>
        <crossAx val="20"/>
      </valAx>
      <valAx>
        <axId val="20"/>
        <scaling>
          <orientation val="minMax"/>
        </scaling>
        <delete val="0"/>
        <axPos val="l"/>
        <majorGridlines>
          <spPr>
            <a:ln xmlns:a="http://schemas.openxmlformats.org/drawingml/2006/main" w="6350">
              <a:solidFill>
                <a:srgbClr val="E6E5E1"/>
              </a:solidFill>
              <a:prstDash val="solid"/>
            </a:ln>
          </spPr>
        </majorGridlines>
        <numFmt formatCode="[&gt;=1000000]#,##0.0,,&quot;M&quot;;[&gt;=1000]#,##0.0,&quot;K&quot;;#,##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52514E"/>
                </a:solidFill>
                <a:latin typeface="Arial"/>
              </a:defRPr>
            </a:pPr>
            <a:r>
              <a:t/>
            </a:r>
            <a:endParaRPr sz="800" b="0">
              <a:solidFill>
                <a:srgbClr val="52514E"/>
              </a:solidFill>
              <a:latin typeface="Arial"/>
            </a:endParaRPr>
          </a:p>
        </txPr>
        <crossAx val="10"/>
      </valAx>
    </plotArea>
    <plotVisOnly val="1"/>
    <dispBlanksAs val="gap"/>
  </chart>
  <spPr>
    <a:solidFill xmlns:a="http://schemas.openxmlformats.org/drawingml/2006/main">
      <a:srgbClr val="FFFFFF"/>
    </a:solidFill>
    <a:ln xmlns:a="http://schemas.openxmlformats.org/drawingml/2006/main">
      <a:noFill/>
      <a:prstDash val="solid"/>
    </a:ln>
  </spPr>
</chartSpace>
</file>

<file path=xl/charts/chart7.xml><?xml version="1.0" encoding="utf-8"?>
<chartSpace xmlns="http://schemas.openxmlformats.org/drawingml/2006/chart">
  <roundedCorners val="0"/>
  <style val="2"/>
  <chart>
    <plotArea>
      <barChart>
        <barDir val="bar"/>
        <grouping val="clustered"/>
        <ser>
          <idx val="0"/>
          <order val="0"/>
          <spPr>
            <a:solidFill xmlns:a="http://schemas.openxmlformats.org/drawingml/2006/main">
              <a:srgbClr val="6250D6"/>
            </a:solidFill>
            <a:ln xmlns:a="http://schemas.openxmlformats.org/drawingml/2006/main">
              <a:noFill/>
              <a:prstDash val="solid"/>
            </a:ln>
          </spPr>
          <dLbls>
            <numFmt formatCode="#,##0;-#,##0;;"/>
            <txPr>
              <a:bodyPr xmlns:a="http://schemas.openxmlformats.org/drawingml/2006/main"/>
              <a:p xmlns:a="http://schemas.openxmlformats.org/drawingml/2006/main">
                <a:pPr>
                  <a:defRPr sz="800" b="0">
                    <a:solidFill>
                      <a:srgbClr val="0B0B0B"/>
                    </a:solidFill>
                    <a:latin typeface="Arial"/>
                  </a:defRPr>
                </a:pPr>
                <a:r>
                  <a:t/>
                </a:r>
                <a:endParaRPr sz="800" b="0">
                  <a:solidFill>
                    <a:srgbClr val="0B0B0B"/>
                  </a:solidFill>
                  <a:latin typeface="Arial"/>
                </a:endParaRPr>
              </a:p>
            </txPr>
            <dLblPos val="outEnd"/>
            <showLegendKey val="0"/>
            <showVal val="1"/>
            <showCatName val="0"/>
            <showSerName val="0"/>
            <showPercent val="0"/>
          </dLbls>
          <cat>
            <numRef>
              <f>'Motor'!$O$3:$O$12</f>
            </numRef>
          </cat>
          <val>
            <numRef>
              <f>'Motor'!$P$3:$P$12</f>
            </numRef>
          </val>
        </ser>
        <gapWidth val="45"/>
        <axId val="10"/>
        <axId val="100"/>
      </barChart>
      <catAx>
        <axId val="10"/>
        <scaling>
          <orientation val="maxMin"/>
        </scaling>
        <delete val="0"/>
        <axPos val="l"/>
        <majorTickMark val="none"/>
        <minorTickMark val="none"/>
        <spPr>
          <a:ln xmlns:a="http://schemas.openxmlformats.org/drawingml/2006/main" w="9525">
            <a:solidFill>
              <a:srgbClr val="E6E5E1"/>
            </a:solidFill>
            <a:prstDash val="solid"/>
          </a:ln>
        </spPr>
        <txPr>
          <a:bodyPr xmlns:a="http://schemas.openxmlformats.org/drawingml/2006/main"/>
          <a:p xmlns:a="http://schemas.openxmlformats.org/drawingml/2006/main">
            <a:pPr>
              <a:defRPr sz="800" b="0">
                <a:solidFill>
                  <a:srgbClr val="52514E"/>
                </a:solidFill>
                <a:latin typeface="Arial"/>
              </a:defRPr>
            </a:pPr>
            <a:r>
              <a:t/>
            </a:r>
            <a:endParaRPr sz="800" b="0">
              <a:solidFill>
                <a:srgbClr val="52514E"/>
              </a:solidFill>
              <a:latin typeface="Arial"/>
            </a:endParaRPr>
          </a:p>
        </txPr>
        <crossAx val="100"/>
        <lblOffset val="100"/>
      </catAx>
      <valAx>
        <axId val="100"/>
        <scaling>
          <orientation val="minMax"/>
          <min val="0"/>
        </scaling>
        <delete val="1"/>
        <axPos val="l"/>
        <majorTickMark val="none"/>
        <minorTickMark val="none"/>
        <spPr>
          <a:ln xmlns:a="http://schemas.openxmlformats.org/drawingml/2006/main" w="9525">
            <a:solidFill>
              <a:srgbClr val="E6E5E1"/>
            </a:solidFill>
            <a:prstDash val="solid"/>
          </a:ln>
        </spPr>
        <txPr>
          <a:bodyPr xmlns:a="http://schemas.openxmlformats.org/drawingml/2006/main"/>
          <a:p xmlns:a="http://schemas.openxmlformats.org/drawingml/2006/main">
            <a:pPr>
              <a:defRPr sz="800" b="0">
                <a:solidFill>
                  <a:srgbClr val="52514E"/>
                </a:solidFill>
                <a:latin typeface="Arial"/>
              </a:defRPr>
            </a:pPr>
            <a:r>
              <a:t/>
            </a:r>
            <a:endParaRPr sz="800" b="0">
              <a:solidFill>
                <a:srgbClr val="52514E"/>
              </a:solidFill>
              <a:latin typeface="Arial"/>
            </a:endParaRPr>
          </a:p>
        </txPr>
        <crossAx val="10"/>
      </valAx>
    </plotArea>
    <plotVisOnly val="1"/>
    <dispBlanksAs val="gap"/>
  </chart>
  <spPr>
    <a:solidFill xmlns:a="http://schemas.openxmlformats.org/drawingml/2006/main">
      <a:srgbClr val="FFFFFF"/>
    </a:solidFill>
    <a:ln xmlns:a="http://schemas.openxmlformats.org/drawingml/2006/main">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s>
</file>

<file path=xl/drawings/drawing1.xml><?xml version="1.0" encoding="utf-8"?>
<wsDr xmlns="http://schemas.openxmlformats.org/drawingml/2006/spreadsheetDrawing">
  <oneCellAnchor>
    <from>
      <col>1</col>
      <colOff>0</colOff>
      <row>12</row>
      <rowOff>0</rowOff>
    </from>
    <ext cx="10515467" cy="3047961"/>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32</row>
      <rowOff>0</rowOff>
    </from>
    <ext cx="5100573" cy="3047961"/>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9</col>
      <colOff>0</colOff>
      <row>32</row>
      <rowOff>0</rowOff>
    </from>
    <ext cx="5100573" cy="3047961"/>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col>
      <colOff>0</colOff>
      <row>52</row>
      <rowOff>0</rowOff>
    </from>
    <ext cx="5100573" cy="3047961"/>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9</col>
      <colOff>0</colOff>
      <row>52</row>
      <rowOff>0</rowOff>
    </from>
    <ext cx="5100573" cy="3047961"/>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1</col>
      <colOff>0</colOff>
      <row>109</row>
      <rowOff>0</rowOff>
    </from>
    <ext cx="5100573" cy="3047961"/>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9</col>
      <colOff>0</colOff>
      <row>109</row>
      <rowOff>0</rowOff>
    </from>
    <ext cx="5100573" cy="3047961"/>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Q190"/>
  <sheetViews>
    <sheetView showGridLines="0" zoomScale="90" workbookViewId="0">
      <selection activeCell="A1" sqref="A1"/>
    </sheetView>
  </sheetViews>
  <sheetFormatPr baseColWidth="8" defaultRowHeight="15"/>
  <cols>
    <col width="2.5" customWidth="1" min="1" max="1"/>
    <col width="10.5" customWidth="1" min="2" max="2"/>
    <col width="10.5" customWidth="1" min="3" max="3"/>
    <col width="10.5" customWidth="1" min="4" max="4"/>
    <col width="10.5" customWidth="1" min="5" max="5"/>
    <col width="10.5" customWidth="1" min="6" max="6"/>
    <col width="10.5" customWidth="1" min="7" max="7"/>
    <col width="10.5" customWidth="1" min="8" max="8"/>
    <col width="2.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2.5" customWidth="1" min="17" max="17"/>
  </cols>
  <sheetData>
    <row r="1">
      <c r="A1" s="1" t="n"/>
      <c r="B1" s="1" t="n"/>
      <c r="C1" s="1" t="n"/>
      <c r="D1" s="1" t="n"/>
      <c r="E1" s="1" t="n"/>
      <c r="F1" s="1" t="n"/>
      <c r="G1" s="1" t="n"/>
      <c r="H1" s="1" t="n"/>
      <c r="I1" s="1" t="n"/>
      <c r="J1" s="1" t="n"/>
      <c r="K1" s="1" t="n"/>
      <c r="L1" s="1" t="n"/>
      <c r="M1" s="1" t="n"/>
      <c r="N1" s="1" t="n"/>
      <c r="O1" s="1" t="n"/>
      <c r="P1" s="1" t="n"/>
      <c r="Q1" s="1" t="n"/>
    </row>
    <row r="2" ht="30" customHeight="1">
      <c r="A2" s="1" t="n"/>
      <c r="B2" s="2" t="str">
        <f>IF(cMed&gt;0,"Dashboard de "&amp;nomMed,"Dashboard de análisis")</f>
        <v>Dashboard de Ventas</v>
      </c>
      <c r="C2" s="1" t="n"/>
      <c r="D2" s="1" t="n"/>
      <c r="E2" s="1" t="n"/>
      <c r="F2" s="1" t="n"/>
      <c r="G2" s="1" t="n"/>
      <c r="H2" s="1" t="n"/>
      <c r="I2" s="1" t="n"/>
      <c r="J2" s="1" t="n"/>
      <c r="K2" s="1" t="n"/>
      <c r="L2" s="1" t="n"/>
      <c r="M2" s="1" t="n"/>
      <c r="N2" s="1" t="n"/>
      <c r="O2" s="1" t="n"/>
      <c r="P2" s="1" t="n"/>
      <c r="Q2" s="1" t="n"/>
    </row>
    <row r="3">
      <c r="A3" s="1" t="n"/>
      <c r="B3" s="3" t="str">
        <f>IF(fTexto&lt;&gt;"","⚠ La columna «"&amp;fTexto&amp;"» parece fecha pero está guardada como texto: selecciónala y usa Datos › Texto en columnas › Fecha (DMA).  ","")&amp;"Pega tus datos en la hoja Datos (encabezados en la fila 1) · "&amp;FIXED(nFilas,0)&amp;" registros · columnas elegidas en la hoja Config"</f>
        <v>Pega tus datos en la hoja Datos (encabezados en la fila 1) · 2,400 registros · columnas elegidas en la hoja Config</v>
      </c>
      <c r="C3" s="1" t="n"/>
      <c r="D3" s="1" t="n"/>
      <c r="E3" s="1" t="n"/>
      <c r="F3" s="1" t="n"/>
      <c r="G3" s="1" t="n"/>
      <c r="H3" s="1" t="n"/>
      <c r="I3" s="1" t="n"/>
      <c r="J3" s="1" t="n"/>
      <c r="K3" s="1" t="n"/>
      <c r="L3" s="1" t="n"/>
      <c r="M3" s="1" t="n"/>
      <c r="N3" s="1" t="n"/>
      <c r="O3" s="1" t="n"/>
      <c r="P3" s="1" t="n"/>
      <c r="Q3" s="1" t="n"/>
    </row>
    <row r="4">
      <c r="A4" s="1" t="n"/>
      <c r="B4" s="1" t="n"/>
      <c r="C4" s="1" t="n"/>
      <c r="D4" s="1" t="n"/>
      <c r="E4" s="1" t="n"/>
      <c r="F4" s="1" t="n"/>
      <c r="G4" s="1" t="n"/>
      <c r="H4" s="1" t="n"/>
      <c r="I4" s="1" t="n"/>
      <c r="J4" s="1" t="n"/>
      <c r="K4" s="1" t="n"/>
      <c r="L4" s="1" t="n"/>
      <c r="M4" s="1" t="n"/>
      <c r="N4" s="1" t="n"/>
      <c r="O4" s="1" t="n"/>
      <c r="P4" s="1" t="n"/>
      <c r="Q4" s="1" t="n"/>
    </row>
    <row r="5" ht="18" customHeight="1">
      <c r="A5" s="1" t="n"/>
      <c r="B5" s="4" t="str">
        <f>IF(cMed&gt;0,UPPER(nomMed)&amp;" TOTAL","REGISTROS")</f>
        <v>VENTAS TOTAL</v>
      </c>
      <c r="C5" s="5" t="n"/>
      <c r="D5" s="6" t="n"/>
      <c r="E5" s="1" t="n"/>
      <c r="F5" s="4" t="str">
        <f>IF(cMed&gt;0,"REGISTROS",IF(cMed2&gt;0,"PROMEDIO "&amp;UPPER(Config!$E$7),IF(cCat2&gt;0,UPPER(Config!$E$10)&amp;" DISTINTOS","—")))</f>
        <v>REGISTROS</v>
      </c>
      <c r="G5" s="5" t="n"/>
      <c r="H5" s="6" t="n"/>
      <c r="I5" s="1" t="n"/>
      <c r="J5" s="4" t="str">
        <f>IF(cMed&gt;0,"PROMEDIO POR REGISTRO",IF(cEtapa&gt;0,"% "&amp;UPPER(Motor!$CB$14),"—"))</f>
        <v>PROMEDIO POR REGISTRO</v>
      </c>
      <c r="K5" s="5" t="n"/>
      <c r="L5" s="6" t="n"/>
      <c r="M5" s="1" t="n"/>
      <c r="N5" s="4" t="str">
        <f>IF(cCosto&gt;0,"MARGEN",IF(AND(cMed&gt;0,cEtapa&gt;0),"% "&amp;UPPER(Motor!$CB$14),IF(cCat1&gt;0,UPPER(Config!$E$9)&amp;" DISTINTOS","—")))</f>
        <v>MARGEN</v>
      </c>
      <c r="O5" s="5" t="n"/>
      <c r="P5" s="6" t="n"/>
      <c r="Q5" s="1" t="n"/>
    </row>
    <row r="6" ht="22" customHeight="1">
      <c r="A6" s="1" t="n"/>
      <c r="B6" s="7">
        <f>total</f>
        <v>2006391920</v>
      </c>
      <c r="D6" s="8" t="n"/>
      <c r="E6" s="1" t="n"/>
      <c r="F6" s="9" t="str">
        <f>IF(cMed&gt;0,IF(ABS(nFilas)&gt;=1000000,FIXED(nFilas/1000000,1)&amp;"M",IF(ABS(nFilas)&gt;=1000,FIXED(nFilas/1000,1)&amp;"K",FIXED(nFilas,IF(ABS(nFilas)&lt;100,1,0)))),IF(cMed2&gt;0,IF(ABS(Motor!$CB$11)&gt;=1000000,FIXED(Motor!$CB$11/1000000,1)&amp;"M",IF(ABS(Motor!$CB$11)&gt;=1000,FIXED(Motor!$CB$11/1000,1)&amp;"K",FIXED(Motor!$CB$11,IF(ABS(Motor!$CB$11)&lt;100,1,0)))),IF(cCat2&gt;0,IF(n2&gt;=40,n2&amp;"+",n2&amp;""),"")))</f>
        <v>2.4K</v>
      </c>
      <c r="H6" s="8" t="n"/>
      <c r="I6" s="1" t="n"/>
      <c r="J6" s="9" t="str">
        <f>IF(cMed&gt;0,IF(ABS(IFERROR(total/nFilas,0))&gt;=1000000,FIXED(IFERROR(total/nFilas,0)/1000000,1)&amp;"M",IF(ABS(IFERROR(total/nFilas,0))&gt;=1000,FIXED(IFERROR(total/nFilas,0)/1000,1)&amp;"K",FIXED(IFERROR(total/nFilas,0),IF(ABS(IFERROR(total/nFilas,0))&lt;100,1,0)))),IF(cEtapa&gt;0,ROUND(Motor!$CB$15*100,1)&amp;"%",""))</f>
        <v>836.0K</v>
      </c>
      <c r="L6" s="8" t="n"/>
      <c r="M6" s="1" t="n"/>
      <c r="N6" s="9" t="str">
        <f>IF(cCosto&gt;0,ROUND(Motor!$CB$10*100,1)&amp;"%",IF(AND(cMed&gt;0,cEtapa&gt;0),ROUND(Motor!$CB$15*100,1)&amp;"%",IF(cCat1&gt;0,IF(n1&gt;=40,n1&amp;"+",n1&amp;""),"")))</f>
        <v>34.9%</v>
      </c>
      <c r="P6" s="8" t="n"/>
      <c r="Q6" s="1" t="n"/>
    </row>
    <row r="7" ht="22" customHeight="1">
      <c r="A7" s="1" t="n"/>
      <c r="B7" s="10" t="n"/>
      <c r="D7" s="8" t="n"/>
      <c r="E7" s="1" t="n"/>
      <c r="F7" s="10" t="n"/>
      <c r="H7" s="8" t="n"/>
      <c r="I7" s="1" t="n"/>
      <c r="J7" s="10" t="n"/>
      <c r="L7" s="8" t="n"/>
      <c r="M7" s="1" t="n"/>
      <c r="N7" s="10" t="n"/>
      <c r="P7" s="8" t="n"/>
      <c r="Q7" s="1" t="n"/>
    </row>
    <row r="8" ht="18" customHeight="1">
      <c r="A8" s="1" t="n"/>
      <c r="B8" s="11" t="str">
        <f>IF(OR(cFecha=0,N(Motor!$CB$4)=0),"",IF(Motor!$CB$3&gt;=Motor!$CB$4,"▲ ","▼ ")&amp;ROUND(ABS(Motor!$CB$3/Motor!$CB$4-1)*100,1)&amp;"% · "&amp;Motor!$CB$9)</f>
        <v>▲ 7.6% · Sep 25 vs Ago 25</v>
      </c>
      <c r="C8" s="12" t="n"/>
      <c r="D8" s="13" t="n"/>
      <c r="E8" s="1" t="n"/>
      <c r="F8" s="11" t="str">
        <f>IF(cMed&gt;0,IF(OR(cFecha=0,N(Motor!$CB$6)=0),"",IF(Motor!$CB$5&gt;=Motor!$CB$6,"▲ ","▼ ")&amp;ROUND(ABS(Motor!$CB$5/Motor!$CB$6-1)*100,1)&amp;"% · "&amp;Motor!$CB$9),IF(cMed2&gt;0,IF(OR(cFecha=0,N(Motor!$CB$13)=0),"",IF(Motor!$CB$12&gt;=Motor!$CB$13,"▲ ","▼ ")&amp;ROUND(ABS(Motor!$CB$12/Motor!$CB$13-1)*100,1)&amp;"% · "&amp;Motor!$CB$9),""))</f>
        <v>▼ 18% · Sep 25 vs Ago 25</v>
      </c>
      <c r="G8" s="12" t="n"/>
      <c r="H8" s="13" t="n"/>
      <c r="I8" s="1" t="n"/>
      <c r="J8" s="11" t="str">
        <f>IF(cMed&gt;0,IF(OR(cFecha=0,N(IFERROR(Motor!$CB$4/Motor!$CB$6,0))=0),"",IF(IFERROR(Motor!$CB$3/Motor!$CB$5,0)&gt;=IFERROR(Motor!$CB$4/Motor!$CB$6,0),"▲ ","▼ ")&amp;ROUND(ABS(IFERROR(Motor!$CB$3/Motor!$CB$5,0)/IFERROR(Motor!$CB$4/Motor!$CB$6,0)-1)*100,1)&amp;"% · "&amp;Motor!$CB$9),IF(cEtapa&gt;0,IF(cFecha=0,"",IF(Motor!$CB$16&gt;=Motor!$CB$17,"▲ ","▼ ")&amp;ROUND(ABS(Motor!$CB$16-Motor!$CB$17)*100,1)&amp;" pp · "&amp;Motor!$CB$9),""))</f>
        <v>▲ 31.3% · Sep 25 vs Ago 25</v>
      </c>
      <c r="K8" s="12" t="n"/>
      <c r="L8" s="13" t="n"/>
      <c r="M8" s="1" t="n"/>
      <c r="N8" s="11" t="str">
        <f>IF(cCosto&gt;0,IF(cFecha=0,"",IF(cFecha=0,"",IF(IFERROR((Motor!$CB$3-Motor!$CB$7)/Motor!$CB$3,0)&gt;=IFERROR((Motor!$CB$4-Motor!$CB$8)/Motor!$CB$4,0),"▲ ","▼ ")&amp;ROUND(ABS(IFERROR((Motor!$CB$3-Motor!$CB$7)/Motor!$CB$3,0)-IFERROR((Motor!$CB$4-Motor!$CB$8)/Motor!$CB$4,0))*100,1)&amp;" pp · "&amp;Motor!$CB$9)),IF(AND(cMed&gt;0,cEtapa&gt;0),IF(cFecha=0,"",IF(Motor!$CB$16&gt;=Motor!$CB$17,"▲ ","▼ ")&amp;ROUND(ABS(Motor!$CB$16-Motor!$CB$17)*100,1)&amp;" pp · "&amp;Motor!$CB$9),""))</f>
        <v>▲ 2.1 pp · Sep 25 vs Ago 25</v>
      </c>
      <c r="O8" s="12" t="n"/>
      <c r="P8" s="13" t="n"/>
      <c r="Q8" s="1" t="n"/>
    </row>
    <row r="9">
      <c r="A9" s="1" t="n"/>
      <c r="B9" s="1" t="n"/>
      <c r="C9" s="1" t="n"/>
      <c r="D9" s="1" t="n"/>
      <c r="E9" s="1" t="n"/>
      <c r="F9" s="1" t="n"/>
      <c r="G9" s="1" t="n"/>
      <c r="H9" s="1" t="n"/>
      <c r="I9" s="1" t="n"/>
      <c r="J9" s="1" t="n"/>
      <c r="K9" s="1" t="n"/>
      <c r="L9" s="1" t="n"/>
      <c r="M9" s="1" t="n"/>
      <c r="N9" s="1" t="n"/>
      <c r="O9" s="1" t="n"/>
      <c r="P9" s="1" t="n"/>
      <c r="Q9" s="1" t="n"/>
    </row>
    <row r="10">
      <c r="A10" s="1" t="n"/>
      <c r="B10" s="1" t="n"/>
      <c r="C10" s="1" t="n"/>
      <c r="D10" s="1" t="n"/>
      <c r="E10" s="1" t="n"/>
      <c r="F10" s="1" t="n"/>
      <c r="G10" s="1" t="n"/>
      <c r="H10" s="1" t="n"/>
      <c r="I10" s="1" t="n"/>
      <c r="J10" s="1" t="n"/>
      <c r="K10" s="1" t="n"/>
      <c r="L10" s="1" t="n"/>
      <c r="M10" s="1" t="n"/>
      <c r="N10" s="1" t="n"/>
      <c r="O10" s="1" t="n"/>
      <c r="P10" s="1" t="n"/>
      <c r="Q10" s="1" t="n"/>
    </row>
    <row r="11" ht="22" customHeight="1">
      <c r="A11" s="1" t="n"/>
      <c r="B11" s="14" t="str">
        <f>"Tendencia de "&amp;nomMed</f>
        <v>Tendencia de Ventas</v>
      </c>
      <c r="C11" s="15" t="n"/>
      <c r="D11" s="15" t="n"/>
      <c r="E11" s="15" t="n"/>
      <c r="F11" s="15" t="n"/>
      <c r="G11" s="15" t="n"/>
      <c r="H11" s="15" t="n"/>
      <c r="I11" s="15" t="n"/>
      <c r="J11" s="15" t="n"/>
      <c r="K11" s="15" t="n"/>
      <c r="L11" s="15" t="n"/>
      <c r="M11" s="15" t="n"/>
      <c r="N11" s="15" t="n"/>
      <c r="O11" s="15" t="n"/>
      <c r="P11" s="16" t="n"/>
      <c r="Q11" s="1" t="n"/>
    </row>
    <row r="12">
      <c r="A12" s="1" t="n"/>
      <c r="B12" s="17" t="str">
        <f>IF(cFecha=0,"⚠ No hay columna de fecha: elígela en Config","Total por "&amp;LOWER(gran)&amp;" · se agrupa solo según el rango de fechas")</f>
        <v>Total por mes · se agrupa solo según el rango de fechas</v>
      </c>
      <c r="C12" s="18" t="n"/>
      <c r="D12" s="18" t="n"/>
      <c r="E12" s="18" t="n"/>
      <c r="F12" s="18" t="n"/>
      <c r="G12" s="18" t="n"/>
      <c r="H12" s="18" t="n"/>
      <c r="I12" s="18" t="n"/>
      <c r="J12" s="18" t="n"/>
      <c r="K12" s="18" t="n"/>
      <c r="L12" s="18" t="n"/>
      <c r="M12" s="18" t="n"/>
      <c r="N12" s="18" t="n"/>
      <c r="O12" s="18" t="n"/>
      <c r="P12" s="19" t="n"/>
      <c r="Q12" s="1" t="n"/>
    </row>
    <row r="13">
      <c r="A13" s="1" t="n"/>
      <c r="B13" s="20" t="n"/>
      <c r="C13" s="18" t="n"/>
      <c r="D13" s="18" t="n"/>
      <c r="E13" s="18" t="n"/>
      <c r="F13" s="18" t="n"/>
      <c r="G13" s="18" t="n"/>
      <c r="H13" s="18" t="n"/>
      <c r="I13" s="18" t="n"/>
      <c r="J13" s="18" t="n"/>
      <c r="K13" s="18" t="n"/>
      <c r="L13" s="18" t="n"/>
      <c r="M13" s="18" t="n"/>
      <c r="N13" s="18" t="n"/>
      <c r="O13" s="18" t="n"/>
      <c r="P13" s="19" t="n"/>
      <c r="Q13" s="1" t="n"/>
    </row>
    <row r="14">
      <c r="A14" s="1" t="n"/>
      <c r="B14" s="20" t="n"/>
      <c r="C14" s="18" t="n"/>
      <c r="D14" s="18" t="n"/>
      <c r="E14" s="18" t="n"/>
      <c r="F14" s="18" t="n"/>
      <c r="G14" s="18" t="n"/>
      <c r="H14" s="18" t="n"/>
      <c r="I14" s="18" t="n"/>
      <c r="J14" s="18" t="n"/>
      <c r="K14" s="18" t="n"/>
      <c r="L14" s="18" t="n"/>
      <c r="M14" s="18" t="n"/>
      <c r="N14" s="18" t="n"/>
      <c r="O14" s="18" t="n"/>
      <c r="P14" s="19" t="n"/>
      <c r="Q14" s="1" t="n"/>
    </row>
    <row r="15">
      <c r="A15" s="1" t="n"/>
      <c r="B15" s="20" t="n"/>
      <c r="C15" s="18" t="n"/>
      <c r="D15" s="18" t="n"/>
      <c r="E15" s="18" t="n"/>
      <c r="F15" s="18" t="n"/>
      <c r="G15" s="18" t="n"/>
      <c r="H15" s="18" t="n"/>
      <c r="I15" s="18" t="n"/>
      <c r="J15" s="18" t="n"/>
      <c r="K15" s="18" t="n"/>
      <c r="L15" s="18" t="n"/>
      <c r="M15" s="18" t="n"/>
      <c r="N15" s="18" t="n"/>
      <c r="O15" s="18" t="n"/>
      <c r="P15" s="19" t="n"/>
      <c r="Q15" s="1" t="n"/>
    </row>
    <row r="16">
      <c r="A16" s="1" t="n"/>
      <c r="B16" s="20" t="n"/>
      <c r="C16" s="18" t="n"/>
      <c r="D16" s="18" t="n"/>
      <c r="E16" s="18" t="n"/>
      <c r="F16" s="18" t="n"/>
      <c r="G16" s="18" t="n"/>
      <c r="H16" s="18" t="n"/>
      <c r="I16" s="18" t="n"/>
      <c r="J16" s="18" t="n"/>
      <c r="K16" s="18" t="n"/>
      <c r="L16" s="18" t="n"/>
      <c r="M16" s="18" t="n"/>
      <c r="N16" s="18" t="n"/>
      <c r="O16" s="18" t="n"/>
      <c r="P16" s="19" t="n"/>
      <c r="Q16" s="1" t="n"/>
    </row>
    <row r="17">
      <c r="A17" s="1" t="n"/>
      <c r="B17" s="20" t="n"/>
      <c r="C17" s="18" t="n"/>
      <c r="D17" s="18" t="n"/>
      <c r="E17" s="18" t="n"/>
      <c r="F17" s="18" t="n"/>
      <c r="G17" s="18" t="n"/>
      <c r="H17" s="18" t="n"/>
      <c r="I17" s="18" t="n"/>
      <c r="J17" s="18" t="n"/>
      <c r="K17" s="18" t="n"/>
      <c r="L17" s="18" t="n"/>
      <c r="M17" s="18" t="n"/>
      <c r="N17" s="18" t="n"/>
      <c r="O17" s="18" t="n"/>
      <c r="P17" s="19" t="n"/>
      <c r="Q17" s="1" t="n"/>
    </row>
    <row r="18">
      <c r="A18" s="1" t="n"/>
      <c r="B18" s="20" t="n"/>
      <c r="C18" s="18" t="n"/>
      <c r="D18" s="18" t="n"/>
      <c r="E18" s="18" t="n"/>
      <c r="F18" s="18" t="n"/>
      <c r="G18" s="18" t="n"/>
      <c r="H18" s="18" t="n"/>
      <c r="I18" s="18" t="n"/>
      <c r="J18" s="18" t="n"/>
      <c r="K18" s="18" t="n"/>
      <c r="L18" s="18" t="n"/>
      <c r="M18" s="18" t="n"/>
      <c r="N18" s="18" t="n"/>
      <c r="O18" s="18" t="n"/>
      <c r="P18" s="19" t="n"/>
      <c r="Q18" s="1" t="n"/>
    </row>
    <row r="19">
      <c r="A19" s="1" t="n"/>
      <c r="B19" s="20" t="n"/>
      <c r="C19" s="18" t="n"/>
      <c r="D19" s="18" t="n"/>
      <c r="E19" s="18" t="n"/>
      <c r="F19" s="18" t="n"/>
      <c r="G19" s="18" t="n"/>
      <c r="H19" s="18" t="n"/>
      <c r="I19" s="18" t="n"/>
      <c r="J19" s="18" t="n"/>
      <c r="K19" s="18" t="n"/>
      <c r="L19" s="18" t="n"/>
      <c r="M19" s="18" t="n"/>
      <c r="N19" s="18" t="n"/>
      <c r="O19" s="18" t="n"/>
      <c r="P19" s="19" t="n"/>
      <c r="Q19" s="1" t="n"/>
    </row>
    <row r="20">
      <c r="A20" s="1" t="n"/>
      <c r="B20" s="20" t="n"/>
      <c r="C20" s="18" t="n"/>
      <c r="D20" s="18" t="n"/>
      <c r="E20" s="18" t="n"/>
      <c r="F20" s="18" t="n"/>
      <c r="G20" s="18" t="n"/>
      <c r="H20" s="18" t="n"/>
      <c r="I20" s="18" t="n"/>
      <c r="J20" s="18" t="n"/>
      <c r="K20" s="18" t="n"/>
      <c r="L20" s="18" t="n"/>
      <c r="M20" s="18" t="n"/>
      <c r="N20" s="18" t="n"/>
      <c r="O20" s="18" t="n"/>
      <c r="P20" s="19" t="n"/>
      <c r="Q20" s="1" t="n"/>
    </row>
    <row r="21">
      <c r="A21" s="1" t="n"/>
      <c r="B21" s="20" t="n"/>
      <c r="C21" s="18" t="n"/>
      <c r="D21" s="18" t="n"/>
      <c r="E21" s="18" t="n"/>
      <c r="F21" s="18" t="n"/>
      <c r="G21" s="18" t="n"/>
      <c r="H21" s="18" t="n"/>
      <c r="I21" s="18" t="n"/>
      <c r="J21" s="18" t="n"/>
      <c r="K21" s="18" t="n"/>
      <c r="L21" s="18" t="n"/>
      <c r="M21" s="18" t="n"/>
      <c r="N21" s="18" t="n"/>
      <c r="O21" s="18" t="n"/>
      <c r="P21" s="19" t="n"/>
      <c r="Q21" s="1" t="n"/>
    </row>
    <row r="22">
      <c r="A22" s="1" t="n"/>
      <c r="B22" s="20" t="n"/>
      <c r="C22" s="18" t="n"/>
      <c r="D22" s="18" t="n"/>
      <c r="E22" s="18" t="n"/>
      <c r="F22" s="18" t="n"/>
      <c r="G22" s="18" t="n"/>
      <c r="H22" s="18" t="n"/>
      <c r="I22" s="18" t="n"/>
      <c r="J22" s="18" t="n"/>
      <c r="K22" s="18" t="n"/>
      <c r="L22" s="18" t="n"/>
      <c r="M22" s="18" t="n"/>
      <c r="N22" s="18" t="n"/>
      <c r="O22" s="18" t="n"/>
      <c r="P22" s="19" t="n"/>
      <c r="Q22" s="1" t="n"/>
    </row>
    <row r="23">
      <c r="A23" s="1" t="n"/>
      <c r="B23" s="20" t="n"/>
      <c r="C23" s="18" t="n"/>
      <c r="D23" s="18" t="n"/>
      <c r="E23" s="18" t="n"/>
      <c r="F23" s="18" t="n"/>
      <c r="G23" s="18" t="n"/>
      <c r="H23" s="18" t="n"/>
      <c r="I23" s="18" t="n"/>
      <c r="J23" s="18" t="n"/>
      <c r="K23" s="18" t="n"/>
      <c r="L23" s="18" t="n"/>
      <c r="M23" s="18" t="n"/>
      <c r="N23" s="18" t="n"/>
      <c r="O23" s="18" t="n"/>
      <c r="P23" s="19" t="n"/>
      <c r="Q23" s="1" t="n"/>
    </row>
    <row r="24">
      <c r="A24" s="1" t="n"/>
      <c r="B24" s="20" t="n"/>
      <c r="C24" s="18" t="n"/>
      <c r="D24" s="18" t="n"/>
      <c r="E24" s="18" t="n"/>
      <c r="F24" s="18" t="n"/>
      <c r="G24" s="18" t="n"/>
      <c r="H24" s="18" t="n"/>
      <c r="I24" s="18" t="n"/>
      <c r="J24" s="18" t="n"/>
      <c r="K24" s="18" t="n"/>
      <c r="L24" s="18" t="n"/>
      <c r="M24" s="18" t="n"/>
      <c r="N24" s="18" t="n"/>
      <c r="O24" s="18" t="n"/>
      <c r="P24" s="19" t="n"/>
      <c r="Q24" s="1" t="n"/>
    </row>
    <row r="25">
      <c r="A25" s="1" t="n"/>
      <c r="B25" s="20" t="n"/>
      <c r="C25" s="18" t="n"/>
      <c r="D25" s="18" t="n"/>
      <c r="E25" s="18" t="n"/>
      <c r="F25" s="18" t="n"/>
      <c r="G25" s="18" t="n"/>
      <c r="H25" s="18" t="n"/>
      <c r="I25" s="18" t="n"/>
      <c r="J25" s="18" t="n"/>
      <c r="K25" s="18" t="n"/>
      <c r="L25" s="18" t="n"/>
      <c r="M25" s="18" t="n"/>
      <c r="N25" s="18" t="n"/>
      <c r="O25" s="18" t="n"/>
      <c r="P25" s="19" t="n"/>
      <c r="Q25" s="1" t="n"/>
    </row>
    <row r="26">
      <c r="A26" s="1" t="n"/>
      <c r="B26" s="20" t="n"/>
      <c r="C26" s="18" t="n"/>
      <c r="D26" s="18" t="n"/>
      <c r="E26" s="18" t="n"/>
      <c r="F26" s="18" t="n"/>
      <c r="G26" s="18" t="n"/>
      <c r="H26" s="18" t="n"/>
      <c r="I26" s="18" t="n"/>
      <c r="J26" s="18" t="n"/>
      <c r="K26" s="18" t="n"/>
      <c r="L26" s="18" t="n"/>
      <c r="M26" s="18" t="n"/>
      <c r="N26" s="18" t="n"/>
      <c r="O26" s="18" t="n"/>
      <c r="P26" s="19" t="n"/>
      <c r="Q26" s="1" t="n"/>
    </row>
    <row r="27">
      <c r="A27" s="1" t="n"/>
      <c r="B27" s="20" t="n"/>
      <c r="C27" s="18" t="n"/>
      <c r="D27" s="18" t="n"/>
      <c r="E27" s="18" t="n"/>
      <c r="F27" s="18" t="n"/>
      <c r="G27" s="18" t="n"/>
      <c r="H27" s="18" t="n"/>
      <c r="I27" s="18" t="n"/>
      <c r="J27" s="18" t="n"/>
      <c r="K27" s="18" t="n"/>
      <c r="L27" s="18" t="n"/>
      <c r="M27" s="18" t="n"/>
      <c r="N27" s="18" t="n"/>
      <c r="O27" s="18" t="n"/>
      <c r="P27" s="19" t="n"/>
      <c r="Q27" s="1" t="n"/>
    </row>
    <row r="28">
      <c r="A28" s="1" t="n"/>
      <c r="B28" s="20" t="n"/>
      <c r="C28" s="18" t="n"/>
      <c r="D28" s="18" t="n"/>
      <c r="E28" s="18" t="n"/>
      <c r="F28" s="18" t="n"/>
      <c r="G28" s="18" t="n"/>
      <c r="H28" s="18" t="n"/>
      <c r="I28" s="18" t="n"/>
      <c r="J28" s="18" t="n"/>
      <c r="K28" s="18" t="n"/>
      <c r="L28" s="18" t="n"/>
      <c r="M28" s="18" t="n"/>
      <c r="N28" s="18" t="n"/>
      <c r="O28" s="18" t="n"/>
      <c r="P28" s="19" t="n"/>
      <c r="Q28" s="1" t="n"/>
    </row>
    <row r="29">
      <c r="A29" s="1" t="n"/>
      <c r="B29" s="21" t="n"/>
      <c r="C29" s="22" t="n"/>
      <c r="D29" s="22" t="n"/>
      <c r="E29" s="22" t="n"/>
      <c r="F29" s="22" t="n"/>
      <c r="G29" s="22" t="n"/>
      <c r="H29" s="22" t="n"/>
      <c r="I29" s="22" t="n"/>
      <c r="J29" s="22" t="n"/>
      <c r="K29" s="22" t="n"/>
      <c r="L29" s="22" t="n"/>
      <c r="M29" s="22" t="n"/>
      <c r="N29" s="22" t="n"/>
      <c r="O29" s="22" t="n"/>
      <c r="P29" s="23" t="n"/>
      <c r="Q29" s="1" t="n"/>
    </row>
    <row r="30">
      <c r="A30" s="1" t="n"/>
      <c r="B30" s="1" t="n"/>
      <c r="C30" s="1" t="n"/>
      <c r="D30" s="1" t="n"/>
      <c r="E30" s="1" t="n"/>
      <c r="F30" s="1" t="n"/>
      <c r="G30" s="1" t="n"/>
      <c r="H30" s="1" t="n"/>
      <c r="I30" s="1" t="n"/>
      <c r="J30" s="1" t="n"/>
      <c r="K30" s="1" t="n"/>
      <c r="L30" s="1" t="n"/>
      <c r="M30" s="1" t="n"/>
      <c r="N30" s="1" t="n"/>
      <c r="O30" s="1" t="n"/>
      <c r="P30" s="1" t="n"/>
      <c r="Q30" s="1" t="n"/>
    </row>
    <row r="31" ht="22" customHeight="1">
      <c r="A31" s="1" t="n"/>
      <c r="B31" s="14" t="str">
        <f>IF(cCat1&gt;0,"Ranking por "&amp;Config!$E$9,"Ranking")</f>
        <v>Ranking por Ciudad</v>
      </c>
      <c r="C31" s="15" t="n"/>
      <c r="D31" s="15" t="n"/>
      <c r="E31" s="15" t="n"/>
      <c r="F31" s="15" t="n"/>
      <c r="G31" s="15" t="n"/>
      <c r="H31" s="16" t="n"/>
      <c r="I31" s="1" t="n"/>
      <c r="J31" s="14" t="str">
        <f>"Participación por "&amp;IF(dona2,Config!$E$10,Config!$E$9)</f>
        <v>Participación por Categoría</v>
      </c>
      <c r="K31" s="15" t="n"/>
      <c r="L31" s="15" t="n"/>
      <c r="M31" s="15" t="n"/>
      <c r="N31" s="15" t="n"/>
      <c r="O31" s="15" t="n"/>
      <c r="P31" s="16" t="n"/>
      <c r="Q31" s="1" t="n"/>
    </row>
    <row r="32">
      <c r="A32" s="1" t="n"/>
      <c r="B32" s="17" t="str">
        <f>IF(cCat1=0,"⚠ Elige una categoría en Config","Top 10 por "&amp;nomMed&amp;" · líder: "&amp;Motor!$F$3)</f>
        <v>Top 10 por Ventas · líder: Bogotá</v>
      </c>
      <c r="C32" s="18" t="n"/>
      <c r="D32" s="18" t="n"/>
      <c r="E32" s="18" t="n"/>
      <c r="F32" s="18" t="n"/>
      <c r="G32" s="18" t="n"/>
      <c r="H32" s="19" t="n"/>
      <c r="I32" s="1" t="n"/>
      <c r="J32" s="17" t="str">
        <f>IF(cCat1=0,"⚠ Elige una categoría en Config","% de "&amp;nomMed&amp;" · top 5 + Otros")</f>
        <v>% de Ventas · top 5 + Otros</v>
      </c>
      <c r="K32" s="18" t="n"/>
      <c r="L32" s="18" t="n"/>
      <c r="M32" s="18" t="n"/>
      <c r="N32" s="18" t="n"/>
      <c r="O32" s="18" t="n"/>
      <c r="P32" s="19" t="n"/>
      <c r="Q32" s="1" t="n"/>
    </row>
    <row r="33">
      <c r="A33" s="1" t="n"/>
      <c r="B33" s="20" t="n"/>
      <c r="C33" s="18" t="n"/>
      <c r="D33" s="18" t="n"/>
      <c r="E33" s="18" t="n"/>
      <c r="F33" s="18" t="n"/>
      <c r="G33" s="18" t="n"/>
      <c r="H33" s="19" t="n"/>
      <c r="I33" s="1" t="n"/>
      <c r="J33" s="20" t="n"/>
      <c r="K33" s="18" t="n"/>
      <c r="L33" s="18" t="n"/>
      <c r="M33" s="18" t="n"/>
      <c r="N33" s="18" t="n"/>
      <c r="O33" s="18" t="n"/>
      <c r="P33" s="19" t="n"/>
      <c r="Q33" s="1" t="n"/>
    </row>
    <row r="34">
      <c r="A34" s="1" t="n"/>
      <c r="B34" s="20" t="n"/>
      <c r="C34" s="18" t="n"/>
      <c r="D34" s="18" t="n"/>
      <c r="E34" s="18" t="n"/>
      <c r="F34" s="18" t="n"/>
      <c r="G34" s="18" t="n"/>
      <c r="H34" s="19" t="n"/>
      <c r="I34" s="1" t="n"/>
      <c r="J34" s="20" t="n"/>
      <c r="K34" s="18" t="n"/>
      <c r="L34" s="18" t="n"/>
      <c r="M34" s="18" t="n"/>
      <c r="N34" s="18" t="n"/>
      <c r="O34" s="18" t="n"/>
      <c r="P34" s="19" t="n"/>
      <c r="Q34" s="1" t="n"/>
    </row>
    <row r="35">
      <c r="A35" s="1" t="n"/>
      <c r="B35" s="20" t="n"/>
      <c r="C35" s="18" t="n"/>
      <c r="D35" s="18" t="n"/>
      <c r="E35" s="18" t="n"/>
      <c r="F35" s="18" t="n"/>
      <c r="G35" s="18" t="n"/>
      <c r="H35" s="19" t="n"/>
      <c r="I35" s="1" t="n"/>
      <c r="J35" s="20" t="n"/>
      <c r="K35" s="18" t="n"/>
      <c r="L35" s="18" t="n"/>
      <c r="M35" s="18" t="n"/>
      <c r="N35" s="18" t="n"/>
      <c r="O35" s="18" t="n"/>
      <c r="P35" s="19" t="n"/>
      <c r="Q35" s="1" t="n"/>
    </row>
    <row r="36">
      <c r="A36" s="1" t="n"/>
      <c r="B36" s="20" t="n"/>
      <c r="C36" s="18" t="n"/>
      <c r="D36" s="18" t="n"/>
      <c r="E36" s="18" t="n"/>
      <c r="F36" s="18" t="n"/>
      <c r="G36" s="18" t="n"/>
      <c r="H36" s="19" t="n"/>
      <c r="I36" s="1" t="n"/>
      <c r="J36" s="20" t="n"/>
      <c r="K36" s="18" t="n"/>
      <c r="L36" s="18" t="n"/>
      <c r="M36" s="18" t="n"/>
      <c r="N36" s="18" t="n"/>
      <c r="O36" s="18" t="n"/>
      <c r="P36" s="19" t="n"/>
      <c r="Q36" s="1" t="n"/>
    </row>
    <row r="37">
      <c r="A37" s="1" t="n"/>
      <c r="B37" s="20" t="n"/>
      <c r="C37" s="18" t="n"/>
      <c r="D37" s="18" t="n"/>
      <c r="E37" s="18" t="n"/>
      <c r="F37" s="18" t="n"/>
      <c r="G37" s="18" t="n"/>
      <c r="H37" s="19" t="n"/>
      <c r="I37" s="1" t="n"/>
      <c r="J37" s="20" t="n"/>
      <c r="K37" s="18" t="n"/>
      <c r="L37" s="18" t="n"/>
      <c r="M37" s="18" t="n"/>
      <c r="N37" s="18" t="n"/>
      <c r="O37" s="18" t="n"/>
      <c r="P37" s="19" t="n"/>
      <c r="Q37" s="1" t="n"/>
    </row>
    <row r="38">
      <c r="A38" s="1" t="n"/>
      <c r="B38" s="20" t="n"/>
      <c r="C38" s="18" t="n"/>
      <c r="D38" s="18" t="n"/>
      <c r="E38" s="18" t="n"/>
      <c r="F38" s="18" t="n"/>
      <c r="G38" s="18" t="n"/>
      <c r="H38" s="19" t="n"/>
      <c r="I38" s="1" t="n"/>
      <c r="J38" s="20" t="n"/>
      <c r="K38" s="18" t="n"/>
      <c r="L38" s="18" t="n"/>
      <c r="M38" s="18" t="n"/>
      <c r="N38" s="18" t="n"/>
      <c r="O38" s="18" t="n"/>
      <c r="P38" s="19" t="n"/>
      <c r="Q38" s="1" t="n"/>
    </row>
    <row r="39">
      <c r="A39" s="1" t="n"/>
      <c r="B39" s="20" t="n"/>
      <c r="C39" s="18" t="n"/>
      <c r="D39" s="18" t="n"/>
      <c r="E39" s="18" t="n"/>
      <c r="F39" s="18" t="n"/>
      <c r="G39" s="18" t="n"/>
      <c r="H39" s="19" t="n"/>
      <c r="I39" s="1" t="n"/>
      <c r="J39" s="20" t="n"/>
      <c r="K39" s="18" t="n"/>
      <c r="L39" s="18" t="n"/>
      <c r="M39" s="18" t="n"/>
      <c r="N39" s="18" t="n"/>
      <c r="O39" s="18" t="n"/>
      <c r="P39" s="19" t="n"/>
      <c r="Q39" s="1" t="n"/>
    </row>
    <row r="40">
      <c r="A40" s="1" t="n"/>
      <c r="B40" s="20" t="n"/>
      <c r="C40" s="18" t="n"/>
      <c r="D40" s="18" t="n"/>
      <c r="E40" s="18" t="n"/>
      <c r="F40" s="18" t="n"/>
      <c r="G40" s="18" t="n"/>
      <c r="H40" s="19" t="n"/>
      <c r="I40" s="1" t="n"/>
      <c r="J40" s="20" t="n"/>
      <c r="K40" s="18" t="n"/>
      <c r="L40" s="18" t="n"/>
      <c r="M40" s="18" t="n"/>
      <c r="N40" s="18" t="n"/>
      <c r="O40" s="18" t="n"/>
      <c r="P40" s="19" t="n"/>
      <c r="Q40" s="1" t="n"/>
    </row>
    <row r="41">
      <c r="A41" s="1" t="n"/>
      <c r="B41" s="20" t="n"/>
      <c r="C41" s="18" t="n"/>
      <c r="D41" s="18" t="n"/>
      <c r="E41" s="18" t="n"/>
      <c r="F41" s="18" t="n"/>
      <c r="G41" s="18" t="n"/>
      <c r="H41" s="19" t="n"/>
      <c r="I41" s="1" t="n"/>
      <c r="J41" s="20" t="n"/>
      <c r="K41" s="18" t="n"/>
      <c r="L41" s="18" t="n"/>
      <c r="M41" s="18" t="n"/>
      <c r="N41" s="18" t="n"/>
      <c r="O41" s="18" t="n"/>
      <c r="P41" s="19" t="n"/>
      <c r="Q41" s="1" t="n"/>
    </row>
    <row r="42">
      <c r="A42" s="1" t="n"/>
      <c r="B42" s="20" t="n"/>
      <c r="C42" s="18" t="n"/>
      <c r="D42" s="18" t="n"/>
      <c r="E42" s="18" t="n"/>
      <c r="F42" s="18" t="n"/>
      <c r="G42" s="18" t="n"/>
      <c r="H42" s="19" t="n"/>
      <c r="I42" s="1" t="n"/>
      <c r="J42" s="20" t="n"/>
      <c r="K42" s="18" t="n"/>
      <c r="L42" s="18" t="n"/>
      <c r="M42" s="18" t="n"/>
      <c r="N42" s="18" t="n"/>
      <c r="O42" s="18" t="n"/>
      <c r="P42" s="19" t="n"/>
      <c r="Q42" s="1" t="n"/>
    </row>
    <row r="43">
      <c r="A43" s="1" t="n"/>
      <c r="B43" s="20" t="n"/>
      <c r="C43" s="18" t="n"/>
      <c r="D43" s="18" t="n"/>
      <c r="E43" s="18" t="n"/>
      <c r="F43" s="18" t="n"/>
      <c r="G43" s="18" t="n"/>
      <c r="H43" s="19" t="n"/>
      <c r="I43" s="1" t="n"/>
      <c r="J43" s="20" t="n"/>
      <c r="K43" s="18" t="n"/>
      <c r="L43" s="18" t="n"/>
      <c r="M43" s="18" t="n"/>
      <c r="N43" s="18" t="n"/>
      <c r="O43" s="18" t="n"/>
      <c r="P43" s="19" t="n"/>
      <c r="Q43" s="1" t="n"/>
    </row>
    <row r="44">
      <c r="A44" s="1" t="n"/>
      <c r="B44" s="20" t="n"/>
      <c r="C44" s="18" t="n"/>
      <c r="D44" s="18" t="n"/>
      <c r="E44" s="18" t="n"/>
      <c r="F44" s="18" t="n"/>
      <c r="G44" s="18" t="n"/>
      <c r="H44" s="19" t="n"/>
      <c r="I44" s="1" t="n"/>
      <c r="J44" s="20" t="n"/>
      <c r="K44" s="18" t="n"/>
      <c r="L44" s="18" t="n"/>
      <c r="M44" s="18" t="n"/>
      <c r="N44" s="18" t="n"/>
      <c r="O44" s="18" t="n"/>
      <c r="P44" s="19" t="n"/>
      <c r="Q44" s="1" t="n"/>
    </row>
    <row r="45">
      <c r="A45" s="1" t="n"/>
      <c r="B45" s="20" t="n"/>
      <c r="C45" s="18" t="n"/>
      <c r="D45" s="18" t="n"/>
      <c r="E45" s="18" t="n"/>
      <c r="F45" s="18" t="n"/>
      <c r="G45" s="18" t="n"/>
      <c r="H45" s="19" t="n"/>
      <c r="I45" s="1" t="n"/>
      <c r="J45" s="20" t="n"/>
      <c r="K45" s="18" t="n"/>
      <c r="L45" s="18" t="n"/>
      <c r="M45" s="18" t="n"/>
      <c r="N45" s="18" t="n"/>
      <c r="O45" s="18" t="n"/>
      <c r="P45" s="19" t="n"/>
      <c r="Q45" s="1" t="n"/>
    </row>
    <row r="46">
      <c r="A46" s="1" t="n"/>
      <c r="B46" s="20" t="n"/>
      <c r="C46" s="18" t="n"/>
      <c r="D46" s="18" t="n"/>
      <c r="E46" s="18" t="n"/>
      <c r="F46" s="18" t="n"/>
      <c r="G46" s="18" t="n"/>
      <c r="H46" s="19" t="n"/>
      <c r="I46" s="1" t="n"/>
      <c r="J46" s="20" t="n"/>
      <c r="K46" s="18" t="n"/>
      <c r="L46" s="18" t="n"/>
      <c r="M46" s="18" t="n"/>
      <c r="N46" s="18" t="n"/>
      <c r="O46" s="18" t="n"/>
      <c r="P46" s="19" t="n"/>
      <c r="Q46" s="1" t="n"/>
    </row>
    <row r="47">
      <c r="A47" s="1" t="n"/>
      <c r="B47" s="20" t="n"/>
      <c r="C47" s="18" t="n"/>
      <c r="D47" s="18" t="n"/>
      <c r="E47" s="18" t="n"/>
      <c r="F47" s="18" t="n"/>
      <c r="G47" s="18" t="n"/>
      <c r="H47" s="19" t="n"/>
      <c r="I47" s="1" t="n"/>
      <c r="J47" s="20" t="n"/>
      <c r="K47" s="18" t="n"/>
      <c r="L47" s="18" t="n"/>
      <c r="M47" s="18" t="n"/>
      <c r="N47" s="18" t="n"/>
      <c r="O47" s="18" t="n"/>
      <c r="P47" s="19" t="n"/>
      <c r="Q47" s="1" t="n"/>
    </row>
    <row r="48">
      <c r="A48" s="1" t="n"/>
      <c r="B48" s="20" t="n"/>
      <c r="C48" s="18" t="n"/>
      <c r="D48" s="18" t="n"/>
      <c r="E48" s="18" t="n"/>
      <c r="F48" s="18" t="n"/>
      <c r="G48" s="18" t="n"/>
      <c r="H48" s="19" t="n"/>
      <c r="I48" s="1" t="n"/>
      <c r="J48" s="20" t="n"/>
      <c r="K48" s="18" t="n"/>
      <c r="L48" s="18" t="n"/>
      <c r="M48" s="18" t="n"/>
      <c r="N48" s="18" t="n"/>
      <c r="O48" s="18" t="n"/>
      <c r="P48" s="19" t="n"/>
      <c r="Q48" s="1" t="n"/>
    </row>
    <row r="49">
      <c r="A49" s="1" t="n"/>
      <c r="B49" s="21" t="n"/>
      <c r="C49" s="22" t="n"/>
      <c r="D49" s="22" t="n"/>
      <c r="E49" s="22" t="n"/>
      <c r="F49" s="22" t="n"/>
      <c r="G49" s="22" t="n"/>
      <c r="H49" s="23" t="n"/>
      <c r="I49" s="1" t="n"/>
      <c r="J49" s="21" t="n"/>
      <c r="K49" s="22" t="n"/>
      <c r="L49" s="22" t="n"/>
      <c r="M49" s="22" t="n"/>
      <c r="N49" s="22" t="n"/>
      <c r="O49" s="22" t="n"/>
      <c r="P49" s="23" t="n"/>
      <c r="Q49" s="1" t="n"/>
    </row>
    <row r="50">
      <c r="A50" s="1" t="n"/>
      <c r="B50" s="1" t="n"/>
      <c r="C50" s="1" t="n"/>
      <c r="D50" s="1" t="n"/>
      <c r="E50" s="1" t="n"/>
      <c r="F50" s="1" t="n"/>
      <c r="G50" s="1" t="n"/>
      <c r="H50" s="1" t="n"/>
      <c r="I50" s="1" t="n"/>
      <c r="J50" s="1" t="n"/>
      <c r="K50" s="1" t="n"/>
      <c r="L50" s="1" t="n"/>
      <c r="M50" s="1" t="n"/>
      <c r="N50" s="1" t="n"/>
      <c r="O50" s="1" t="n"/>
      <c r="P50" s="1" t="n"/>
      <c r="Q50" s="1" t="n"/>
    </row>
    <row r="51" ht="22" customHeight="1">
      <c r="A51" s="1" t="n"/>
      <c r="B51" s="14" t="str">
        <f>"Composición mensual por "&amp;IF(cCat2&gt;0,Config!$E$10,Config!$E$9)</f>
        <v>Composición mensual por Categoría</v>
      </c>
      <c r="C51" s="15" t="n"/>
      <c r="D51" s="15" t="n"/>
      <c r="E51" s="15" t="n"/>
      <c r="F51" s="15" t="n"/>
      <c r="G51" s="15" t="n"/>
      <c r="H51" s="16" t="n"/>
      <c r="I51" s="1" t="n"/>
      <c r="J51" s="14" t="str">
        <f>"Embudo"&amp;IF(cEtapa&gt;0," por "&amp;Config!$E$11,"")</f>
        <v>Embudo por Etapa</v>
      </c>
      <c r="K51" s="15" t="n"/>
      <c r="L51" s="15" t="n"/>
      <c r="M51" s="15" t="n"/>
      <c r="N51" s="15" t="n"/>
      <c r="O51" s="15" t="n"/>
      <c r="P51" s="16" t="n"/>
      <c r="Q51" s="1" t="n"/>
    </row>
    <row r="52">
      <c r="A52" s="1" t="n"/>
      <c r="B52" s="17" t="str">
        <f>IF(cFecha=0,"⚠ Necesita columna de fecha (Config)","Últimos 12 meses · barras apiladas")</f>
        <v>Últimos 12 meses · barras apiladas</v>
      </c>
      <c r="C52" s="18" t="n"/>
      <c r="D52" s="18" t="n"/>
      <c r="E52" s="18" t="n"/>
      <c r="F52" s="18" t="n"/>
      <c r="G52" s="18" t="n"/>
      <c r="H52" s="19" t="n"/>
      <c r="I52" s="1" t="n"/>
      <c r="J52" s="17" t="str">
        <f>IF(cEtapa=0,"⚠ Elige la columna de Etapa en Config (ej. Visita, Carrito, Compra)","Registros por etapa, de mayor a menor · la última es el "&amp;ROUND(IFERROR(LOOKUP(2,1/(Motor!$BU$3:$BU$8&lt;&gt;""),Motor!$BU$3:$BU$8)/Motor!$BU$3,0)*100,1)&amp;"% de la primera")</f>
        <v>Registros por etapa, de mayor a menor · la última es el 23.6% de la primera</v>
      </c>
      <c r="K52" s="18" t="n"/>
      <c r="L52" s="18" t="n"/>
      <c r="M52" s="18" t="n"/>
      <c r="N52" s="18" t="n"/>
      <c r="O52" s="18" t="n"/>
      <c r="P52" s="19" t="n"/>
      <c r="Q52" s="1" t="n"/>
    </row>
    <row r="53">
      <c r="A53" s="1" t="n"/>
      <c r="B53" s="20" t="n"/>
      <c r="C53" s="18" t="n"/>
      <c r="D53" s="18" t="n"/>
      <c r="E53" s="18" t="n"/>
      <c r="F53" s="18" t="n"/>
      <c r="G53" s="18" t="n"/>
      <c r="H53" s="19" t="n"/>
      <c r="I53" s="1" t="n"/>
      <c r="J53" s="20" t="n"/>
      <c r="K53" s="18" t="n"/>
      <c r="L53" s="18" t="n"/>
      <c r="M53" s="18" t="n"/>
      <c r="N53" s="18" t="n"/>
      <c r="O53" s="18" t="n"/>
      <c r="P53" s="19" t="n"/>
      <c r="Q53" s="1" t="n"/>
    </row>
    <row r="54">
      <c r="A54" s="1" t="n"/>
      <c r="B54" s="20" t="n"/>
      <c r="C54" s="18" t="n"/>
      <c r="D54" s="18" t="n"/>
      <c r="E54" s="18" t="n"/>
      <c r="F54" s="18" t="n"/>
      <c r="G54" s="18" t="n"/>
      <c r="H54" s="19" t="n"/>
      <c r="I54" s="1" t="n"/>
      <c r="J54" s="20" t="n"/>
      <c r="K54" s="18" t="n"/>
      <c r="L54" s="18" t="n"/>
      <c r="M54" s="18" t="n"/>
      <c r="N54" s="18" t="n"/>
      <c r="O54" s="18" t="n"/>
      <c r="P54" s="19" t="n"/>
      <c r="Q54" s="1" t="n"/>
    </row>
    <row r="55">
      <c r="A55" s="1" t="n"/>
      <c r="B55" s="20" t="n"/>
      <c r="C55" s="18" t="n"/>
      <c r="D55" s="18" t="n"/>
      <c r="E55" s="18" t="n"/>
      <c r="F55" s="18" t="n"/>
      <c r="G55" s="18" t="n"/>
      <c r="H55" s="19" t="n"/>
      <c r="I55" s="1" t="n"/>
      <c r="J55" s="20" t="n"/>
      <c r="K55" s="18" t="n"/>
      <c r="L55" s="18" t="n"/>
      <c r="M55" s="18" t="n"/>
      <c r="N55" s="18" t="n"/>
      <c r="O55" s="18" t="n"/>
      <c r="P55" s="19" t="n"/>
      <c r="Q55" s="1" t="n"/>
    </row>
    <row r="56">
      <c r="A56" s="1" t="n"/>
      <c r="B56" s="20" t="n"/>
      <c r="C56" s="18" t="n"/>
      <c r="D56" s="18" t="n"/>
      <c r="E56" s="18" t="n"/>
      <c r="F56" s="18" t="n"/>
      <c r="G56" s="18" t="n"/>
      <c r="H56" s="19" t="n"/>
      <c r="I56" s="1" t="n"/>
      <c r="J56" s="20" t="n"/>
      <c r="K56" s="18" t="n"/>
      <c r="L56" s="18" t="n"/>
      <c r="M56" s="18" t="n"/>
      <c r="N56" s="18" t="n"/>
      <c r="O56" s="18" t="n"/>
      <c r="P56" s="19" t="n"/>
      <c r="Q56" s="1" t="n"/>
    </row>
    <row r="57">
      <c r="A57" s="1" t="n"/>
      <c r="B57" s="20" t="n"/>
      <c r="C57" s="18" t="n"/>
      <c r="D57" s="18" t="n"/>
      <c r="E57" s="18" t="n"/>
      <c r="F57" s="18" t="n"/>
      <c r="G57" s="18" t="n"/>
      <c r="H57" s="19" t="n"/>
      <c r="I57" s="1" t="n"/>
      <c r="J57" s="20" t="n"/>
      <c r="K57" s="18" t="n"/>
      <c r="L57" s="18" t="n"/>
      <c r="M57" s="18" t="n"/>
      <c r="N57" s="18" t="n"/>
      <c r="O57" s="18" t="n"/>
      <c r="P57" s="19" t="n"/>
      <c r="Q57" s="1" t="n"/>
    </row>
    <row r="58">
      <c r="A58" s="1" t="n"/>
      <c r="B58" s="20" t="n"/>
      <c r="C58" s="18" t="n"/>
      <c r="D58" s="18" t="n"/>
      <c r="E58" s="18" t="n"/>
      <c r="F58" s="18" t="n"/>
      <c r="G58" s="18" t="n"/>
      <c r="H58" s="19" t="n"/>
      <c r="I58" s="1" t="n"/>
      <c r="J58" s="20" t="n"/>
      <c r="K58" s="18" t="n"/>
      <c r="L58" s="18" t="n"/>
      <c r="M58" s="18" t="n"/>
      <c r="N58" s="18" t="n"/>
      <c r="O58" s="18" t="n"/>
      <c r="P58" s="19" t="n"/>
      <c r="Q58" s="1" t="n"/>
    </row>
    <row r="59">
      <c r="A59" s="1" t="n"/>
      <c r="B59" s="20" t="n"/>
      <c r="C59" s="18" t="n"/>
      <c r="D59" s="18" t="n"/>
      <c r="E59" s="18" t="n"/>
      <c r="F59" s="18" t="n"/>
      <c r="G59" s="18" t="n"/>
      <c r="H59" s="19" t="n"/>
      <c r="I59" s="1" t="n"/>
      <c r="J59" s="20" t="n"/>
      <c r="K59" s="18" t="n"/>
      <c r="L59" s="18" t="n"/>
      <c r="M59" s="18" t="n"/>
      <c r="N59" s="18" t="n"/>
      <c r="O59" s="18" t="n"/>
      <c r="P59" s="19" t="n"/>
      <c r="Q59" s="1" t="n"/>
    </row>
    <row r="60">
      <c r="A60" s="1" t="n"/>
      <c r="B60" s="20" t="n"/>
      <c r="C60" s="18" t="n"/>
      <c r="D60" s="18" t="n"/>
      <c r="E60" s="18" t="n"/>
      <c r="F60" s="18" t="n"/>
      <c r="G60" s="18" t="n"/>
      <c r="H60" s="19" t="n"/>
      <c r="I60" s="1" t="n"/>
      <c r="J60" s="20" t="n"/>
      <c r="K60" s="18" t="n"/>
      <c r="L60" s="18" t="n"/>
      <c r="M60" s="18" t="n"/>
      <c r="N60" s="18" t="n"/>
      <c r="O60" s="18" t="n"/>
      <c r="P60" s="19" t="n"/>
      <c r="Q60" s="1" t="n"/>
    </row>
    <row r="61">
      <c r="A61" s="1" t="n"/>
      <c r="B61" s="20" t="n"/>
      <c r="C61" s="18" t="n"/>
      <c r="D61" s="18" t="n"/>
      <c r="E61" s="18" t="n"/>
      <c r="F61" s="18" t="n"/>
      <c r="G61" s="18" t="n"/>
      <c r="H61" s="19" t="n"/>
      <c r="I61" s="1" t="n"/>
      <c r="J61" s="20" t="n"/>
      <c r="K61" s="18" t="n"/>
      <c r="L61" s="18" t="n"/>
      <c r="M61" s="18" t="n"/>
      <c r="N61" s="18" t="n"/>
      <c r="O61" s="18" t="n"/>
      <c r="P61" s="19" t="n"/>
      <c r="Q61" s="1" t="n"/>
    </row>
    <row r="62">
      <c r="A62" s="1" t="n"/>
      <c r="B62" s="20" t="n"/>
      <c r="C62" s="18" t="n"/>
      <c r="D62" s="18" t="n"/>
      <c r="E62" s="18" t="n"/>
      <c r="F62" s="18" t="n"/>
      <c r="G62" s="18" t="n"/>
      <c r="H62" s="19" t="n"/>
      <c r="I62" s="1" t="n"/>
      <c r="J62" s="20" t="n"/>
      <c r="K62" s="18" t="n"/>
      <c r="L62" s="18" t="n"/>
      <c r="M62" s="18" t="n"/>
      <c r="N62" s="18" t="n"/>
      <c r="O62" s="18" t="n"/>
      <c r="P62" s="19" t="n"/>
      <c r="Q62" s="1" t="n"/>
    </row>
    <row r="63">
      <c r="A63" s="1" t="n"/>
      <c r="B63" s="20" t="n"/>
      <c r="C63" s="18" t="n"/>
      <c r="D63" s="18" t="n"/>
      <c r="E63" s="18" t="n"/>
      <c r="F63" s="18" t="n"/>
      <c r="G63" s="18" t="n"/>
      <c r="H63" s="19" t="n"/>
      <c r="I63" s="1" t="n"/>
      <c r="J63" s="20" t="n"/>
      <c r="K63" s="18" t="n"/>
      <c r="L63" s="18" t="n"/>
      <c r="M63" s="18" t="n"/>
      <c r="N63" s="18" t="n"/>
      <c r="O63" s="18" t="n"/>
      <c r="P63" s="19" t="n"/>
      <c r="Q63" s="1" t="n"/>
    </row>
    <row r="64">
      <c r="A64" s="1" t="n"/>
      <c r="B64" s="20" t="n"/>
      <c r="C64" s="18" t="n"/>
      <c r="D64" s="18" t="n"/>
      <c r="E64" s="18" t="n"/>
      <c r="F64" s="18" t="n"/>
      <c r="G64" s="18" t="n"/>
      <c r="H64" s="19" t="n"/>
      <c r="I64" s="1" t="n"/>
      <c r="J64" s="20" t="n"/>
      <c r="K64" s="18" t="n"/>
      <c r="L64" s="18" t="n"/>
      <c r="M64" s="18" t="n"/>
      <c r="N64" s="18" t="n"/>
      <c r="O64" s="18" t="n"/>
      <c r="P64" s="19" t="n"/>
      <c r="Q64" s="1" t="n"/>
    </row>
    <row r="65">
      <c r="A65" s="1" t="n"/>
      <c r="B65" s="20" t="n"/>
      <c r="C65" s="18" t="n"/>
      <c r="D65" s="18" t="n"/>
      <c r="E65" s="18" t="n"/>
      <c r="F65" s="18" t="n"/>
      <c r="G65" s="18" t="n"/>
      <c r="H65" s="19" t="n"/>
      <c r="I65" s="1" t="n"/>
      <c r="J65" s="20" t="n"/>
      <c r="K65" s="18" t="n"/>
      <c r="L65" s="18" t="n"/>
      <c r="M65" s="18" t="n"/>
      <c r="N65" s="18" t="n"/>
      <c r="O65" s="18" t="n"/>
      <c r="P65" s="19" t="n"/>
      <c r="Q65" s="1" t="n"/>
    </row>
    <row r="66">
      <c r="A66" s="1" t="n"/>
      <c r="B66" s="20" t="n"/>
      <c r="C66" s="18" t="n"/>
      <c r="D66" s="18" t="n"/>
      <c r="E66" s="18" t="n"/>
      <c r="F66" s="18" t="n"/>
      <c r="G66" s="18" t="n"/>
      <c r="H66" s="19" t="n"/>
      <c r="I66" s="1" t="n"/>
      <c r="J66" s="20" t="n"/>
      <c r="K66" s="18" t="n"/>
      <c r="L66" s="18" t="n"/>
      <c r="M66" s="18" t="n"/>
      <c r="N66" s="18" t="n"/>
      <c r="O66" s="18" t="n"/>
      <c r="P66" s="19" t="n"/>
      <c r="Q66" s="1" t="n"/>
    </row>
    <row r="67">
      <c r="A67" s="1" t="n"/>
      <c r="B67" s="20" t="n"/>
      <c r="C67" s="18" t="n"/>
      <c r="D67" s="18" t="n"/>
      <c r="E67" s="18" t="n"/>
      <c r="F67" s="18" t="n"/>
      <c r="G67" s="18" t="n"/>
      <c r="H67" s="19" t="n"/>
      <c r="I67" s="1" t="n"/>
      <c r="J67" s="20" t="n"/>
      <c r="K67" s="18" t="n"/>
      <c r="L67" s="18" t="n"/>
      <c r="M67" s="18" t="n"/>
      <c r="N67" s="18" t="n"/>
      <c r="O67" s="18" t="n"/>
      <c r="P67" s="19" t="n"/>
      <c r="Q67" s="1" t="n"/>
    </row>
    <row r="68">
      <c r="A68" s="1" t="n"/>
      <c r="B68" s="20" t="n"/>
      <c r="C68" s="18" t="n"/>
      <c r="D68" s="18" t="n"/>
      <c r="E68" s="18" t="n"/>
      <c r="F68" s="18" t="n"/>
      <c r="G68" s="18" t="n"/>
      <c r="H68" s="19" t="n"/>
      <c r="I68" s="1" t="n"/>
      <c r="J68" s="20" t="n"/>
      <c r="K68" s="18" t="n"/>
      <c r="L68" s="18" t="n"/>
      <c r="M68" s="18" t="n"/>
      <c r="N68" s="18" t="n"/>
      <c r="O68" s="18" t="n"/>
      <c r="P68" s="19" t="n"/>
      <c r="Q68" s="1" t="n"/>
    </row>
    <row r="69">
      <c r="A69" s="1" t="n"/>
      <c r="B69" s="21" t="n"/>
      <c r="C69" s="22" t="n"/>
      <c r="D69" s="22" t="n"/>
      <c r="E69" s="22" t="n"/>
      <c r="F69" s="22" t="n"/>
      <c r="G69" s="22" t="n"/>
      <c r="H69" s="23" t="n"/>
      <c r="I69" s="1" t="n"/>
      <c r="J69" s="21" t="n"/>
      <c r="K69" s="22" t="n"/>
      <c r="L69" s="22" t="n"/>
      <c r="M69" s="22" t="n"/>
      <c r="N69" s="22" t="n"/>
      <c r="O69" s="22" t="n"/>
      <c r="P69" s="23" t="n"/>
      <c r="Q69" s="1" t="n"/>
    </row>
    <row r="70">
      <c r="A70" s="1" t="n"/>
      <c r="B70" s="1" t="n"/>
      <c r="C70" s="1" t="n"/>
      <c r="D70" s="1" t="n"/>
      <c r="E70" s="1" t="n"/>
      <c r="F70" s="1" t="n"/>
      <c r="G70" s="1" t="n"/>
      <c r="H70" s="1" t="n"/>
      <c r="I70" s="1" t="n"/>
      <c r="J70" s="1" t="n"/>
      <c r="K70" s="1" t="n"/>
      <c r="L70" s="1" t="n"/>
      <c r="M70" s="1" t="n"/>
      <c r="N70" s="1" t="n"/>
      <c r="O70" s="1" t="n"/>
      <c r="P70" s="1" t="n"/>
      <c r="Q70" s="1" t="n"/>
    </row>
    <row r="71" ht="22" customHeight="1">
      <c r="A71" s="1" t="n"/>
      <c r="B71" s="14" t="str">
        <f>"Matriz: "&amp;IF(cCat1&gt;0,Config!$E$9,"categoría")&amp;" × mes"</f>
        <v>Matriz: Ciudad × mes</v>
      </c>
      <c r="C71" s="15" t="n"/>
      <c r="D71" s="15" t="n"/>
      <c r="E71" s="15" t="n"/>
      <c r="F71" s="15" t="n"/>
      <c r="G71" s="15" t="n"/>
      <c r="H71" s="15" t="n"/>
      <c r="I71" s="15" t="n"/>
      <c r="J71" s="15" t="n"/>
      <c r="K71" s="15" t="n"/>
      <c r="L71" s="15" t="n"/>
      <c r="M71" s="15" t="n"/>
      <c r="N71" s="15" t="n"/>
      <c r="O71" s="15" t="n"/>
      <c r="P71" s="16" t="n"/>
      <c r="Q71" s="1" t="n"/>
    </row>
    <row r="72">
      <c r="A72" s="1" t="n"/>
      <c r="B72" s="17" t="str">
        <f>IF(OR(cFecha=0,cCat1=0),"⚠ Necesita fecha y categoría (Config)","Tabla dinámica de "&amp;nomMed&amp;" · últimos 6 meses · color según el valor")</f>
        <v>Tabla dinámica de Ventas · últimos 6 meses · color según el valor</v>
      </c>
      <c r="C72" s="18" t="n"/>
      <c r="D72" s="18" t="n"/>
      <c r="E72" s="18" t="n"/>
      <c r="F72" s="18" t="n"/>
      <c r="G72" s="18" t="n"/>
      <c r="H72" s="18" t="n"/>
      <c r="I72" s="18" t="n"/>
      <c r="J72" s="18" t="n"/>
      <c r="K72" s="18" t="n"/>
      <c r="L72" s="18" t="n"/>
      <c r="M72" s="18" t="n"/>
      <c r="N72" s="18" t="n"/>
      <c r="O72" s="18" t="n"/>
      <c r="P72" s="19" t="n"/>
      <c r="Q72" s="1" t="n"/>
    </row>
    <row r="73">
      <c r="A73" s="1" t="n"/>
      <c r="B73" s="20" t="n"/>
      <c r="C73" s="18" t="n"/>
      <c r="D73" s="18" t="n"/>
      <c r="E73" s="18" t="n"/>
      <c r="F73" s="18" t="n"/>
      <c r="G73" s="18" t="n"/>
      <c r="H73" s="18" t="n"/>
      <c r="I73" s="18" t="n"/>
      <c r="J73" s="18" t="n"/>
      <c r="K73" s="18" t="n"/>
      <c r="L73" s="18" t="n"/>
      <c r="M73" s="18" t="n"/>
      <c r="N73" s="18" t="n"/>
      <c r="O73" s="18" t="n"/>
      <c r="P73" s="19" t="n"/>
      <c r="Q73" s="1" t="n"/>
    </row>
    <row r="74">
      <c r="A74" s="1" t="n"/>
      <c r="B74" s="24" t="str">
        <f>Motor!AT$2</f>
        <v>Ciudad</v>
      </c>
      <c r="D74" s="25" t="str">
        <f>Motor!AU$2</f>
        <v>Abr 25</v>
      </c>
      <c r="E74" s="25" t="str">
        <f>Motor!AV$2</f>
        <v>May 25</v>
      </c>
      <c r="F74" s="25" t="str">
        <f>Motor!AW$2</f>
        <v>Jun 25</v>
      </c>
      <c r="G74" s="25" t="str">
        <f>Motor!AX$2</f>
        <v>Jul 25</v>
      </c>
      <c r="H74" s="25" t="str">
        <f>Motor!AY$2</f>
        <v>Ago 25</v>
      </c>
      <c r="I74" s="18" t="n"/>
      <c r="J74" s="25" t="str">
        <f>Motor!AZ$2</f>
        <v>Sep 25</v>
      </c>
      <c r="K74" s="25" t="str">
        <f>Motor!BA$2</f>
        <v>Total 6 meses</v>
      </c>
      <c r="L74" s="18" t="n"/>
      <c r="M74" s="18" t="n"/>
      <c r="N74" s="18" t="n"/>
      <c r="O74" s="18" t="n"/>
      <c r="P74" s="19" t="n"/>
      <c r="Q74" s="1" t="n"/>
    </row>
    <row r="75">
      <c r="A75" s="1" t="n"/>
      <c r="B75" s="26" t="str">
        <f>Motor!AT3</f>
        <v>Bogotá</v>
      </c>
      <c r="D75" s="27">
        <f>Motor!AU3</f>
        <v>30128910</v>
      </c>
      <c r="E75" s="27">
        <f>Motor!AV3</f>
        <v>32358815</v>
      </c>
      <c r="F75" s="27">
        <f>Motor!AW3</f>
        <v>30920975</v>
      </c>
      <c r="G75" s="27">
        <f>Motor!AX3</f>
        <v>19240210</v>
      </c>
      <c r="H75" s="27">
        <f>Motor!AY3</f>
        <v>31876865</v>
      </c>
      <c r="I75" s="18" t="n"/>
      <c r="J75" s="27">
        <f>Motor!AZ3</f>
        <v>35966285</v>
      </c>
      <c r="K75" s="28">
        <f>Motor!BA3</f>
        <v>180492060</v>
      </c>
      <c r="L75" s="18" t="n"/>
      <c r="M75" s="18" t="n"/>
      <c r="N75" s="18" t="n"/>
      <c r="O75" s="18" t="n"/>
      <c r="P75" s="19" t="n"/>
      <c r="Q75" s="1" t="n"/>
    </row>
    <row r="76">
      <c r="A76" s="1" t="n"/>
      <c r="B76" s="26" t="str">
        <f>Motor!AT4</f>
        <v>Medellín</v>
      </c>
      <c r="D76" s="27">
        <f>Motor!AU4</f>
        <v>30561990</v>
      </c>
      <c r="E76" s="27">
        <f>Motor!AV4</f>
        <v>13583845</v>
      </c>
      <c r="F76" s="27">
        <f>Motor!AW4</f>
        <v>16902070</v>
      </c>
      <c r="G76" s="27">
        <f>Motor!AX4</f>
        <v>24227440</v>
      </c>
      <c r="H76" s="27">
        <f>Motor!AY4</f>
        <v>15921045</v>
      </c>
      <c r="I76" s="18" t="n"/>
      <c r="J76" s="27">
        <f>Motor!AZ4</f>
        <v>12965950</v>
      </c>
      <c r="K76" s="28">
        <f>Motor!BA4</f>
        <v>114162340</v>
      </c>
      <c r="L76" s="18" t="n"/>
      <c r="M76" s="18" t="n"/>
      <c r="N76" s="18" t="n"/>
      <c r="O76" s="18" t="n"/>
      <c r="P76" s="19" t="n"/>
      <c r="Q76" s="1" t="n"/>
    </row>
    <row r="77">
      <c r="A77" s="1" t="n"/>
      <c r="B77" s="26" t="str">
        <f>Motor!AT5</f>
        <v>Cali</v>
      </c>
      <c r="D77" s="27">
        <f>Motor!AU5</f>
        <v>8882510</v>
      </c>
      <c r="E77" s="27">
        <f>Motor!AV5</f>
        <v>11355755</v>
      </c>
      <c r="F77" s="27">
        <f>Motor!AW5</f>
        <v>22180125</v>
      </c>
      <c r="G77" s="27">
        <f>Motor!AX5</f>
        <v>16910820</v>
      </c>
      <c r="H77" s="27">
        <f>Motor!AY5</f>
        <v>6750730</v>
      </c>
      <c r="I77" s="18" t="n"/>
      <c r="J77" s="27">
        <f>Motor!AZ5</f>
        <v>7444840</v>
      </c>
      <c r="K77" s="28">
        <f>Motor!BA5</f>
        <v>73524780</v>
      </c>
      <c r="L77" s="18" t="n"/>
      <c r="M77" s="18" t="n"/>
      <c r="N77" s="18" t="n"/>
      <c r="O77" s="18" t="n"/>
      <c r="P77" s="19" t="n"/>
      <c r="Q77" s="1" t="n"/>
    </row>
    <row r="78">
      <c r="A78" s="1" t="n"/>
      <c r="B78" s="26" t="str">
        <f>Motor!AT6</f>
        <v>Barranquilla</v>
      </c>
      <c r="D78" s="27">
        <f>Motor!AU6</f>
        <v>10780135</v>
      </c>
      <c r="E78" s="27">
        <f>Motor!AV6</f>
        <v>3684460</v>
      </c>
      <c r="F78" s="27">
        <f>Motor!AW6</f>
        <v>20292940</v>
      </c>
      <c r="G78" s="27">
        <f>Motor!AX6</f>
        <v>12220070</v>
      </c>
      <c r="H78" s="27">
        <f>Motor!AY6</f>
        <v>4140075</v>
      </c>
      <c r="I78" s="18" t="n"/>
      <c r="J78" s="27">
        <f>Motor!AZ6</f>
        <v>10155800</v>
      </c>
      <c r="K78" s="28">
        <f>Motor!BA6</f>
        <v>61273480</v>
      </c>
      <c r="L78" s="18" t="n"/>
      <c r="M78" s="18" t="n"/>
      <c r="N78" s="18" t="n"/>
      <c r="O78" s="18" t="n"/>
      <c r="P78" s="19" t="n"/>
      <c r="Q78" s="1" t="n"/>
    </row>
    <row r="79">
      <c r="A79" s="1" t="n"/>
      <c r="B79" s="26" t="str">
        <f>Motor!AT7</f>
        <v>Bucaramanga</v>
      </c>
      <c r="D79" s="27">
        <f>Motor!AU7</f>
        <v>2680175</v>
      </c>
      <c r="E79" s="27">
        <f>Motor!AV7</f>
        <v>6900755</v>
      </c>
      <c r="F79" s="27">
        <f>Motor!AW7</f>
        <v>6026550</v>
      </c>
      <c r="G79" s="27">
        <f>Motor!AX7</f>
        <v>10151115</v>
      </c>
      <c r="H79" s="27">
        <f>Motor!AY7</f>
        <v>7189000</v>
      </c>
      <c r="I79" s="18" t="n"/>
      <c r="J79" s="27">
        <f>Motor!AZ7</f>
        <v>13641035</v>
      </c>
      <c r="K79" s="28">
        <f>Motor!BA7</f>
        <v>46588630</v>
      </c>
      <c r="L79" s="18" t="n"/>
      <c r="M79" s="18" t="n"/>
      <c r="N79" s="18" t="n"/>
      <c r="O79" s="18" t="n"/>
      <c r="P79" s="19" t="n"/>
      <c r="Q79" s="1" t="n"/>
    </row>
    <row r="80">
      <c r="A80" s="1" t="n"/>
      <c r="B80" s="26" t="str">
        <f>Motor!AT8</f>
        <v>Pereira</v>
      </c>
      <c r="D80" s="27">
        <f>Motor!AU8</f>
        <v>7650620</v>
      </c>
      <c r="E80" s="27">
        <f>Motor!AV8</f>
        <v>5065660</v>
      </c>
      <c r="F80" s="27">
        <f>Motor!AW8</f>
        <v>10577850</v>
      </c>
      <c r="G80" s="27">
        <f>Motor!AX8</f>
        <v>7159585</v>
      </c>
      <c r="H80" s="27">
        <f>Motor!AY8</f>
        <v>14545595</v>
      </c>
      <c r="I80" s="18" t="n"/>
      <c r="J80" s="27">
        <f>Motor!AZ8</f>
        <v>2134000</v>
      </c>
      <c r="K80" s="28">
        <f>Motor!BA8</f>
        <v>47133310</v>
      </c>
      <c r="L80" s="18" t="n"/>
      <c r="M80" s="18" t="n"/>
      <c r="N80" s="18" t="n"/>
      <c r="O80" s="18" t="n"/>
      <c r="P80" s="19" t="n"/>
      <c r="Q80" s="1" t="n"/>
    </row>
    <row r="81">
      <c r="A81" s="1" t="n"/>
      <c r="B81" s="26" t="str">
        <f>Motor!AT9</f>
        <v>Cartagena</v>
      </c>
      <c r="D81" s="27">
        <f>Motor!AU9</f>
        <v>6017050</v>
      </c>
      <c r="E81" s="27">
        <f>Motor!AV9</f>
        <v>12168985</v>
      </c>
      <c r="F81" s="27">
        <f>Motor!AW9</f>
        <v>5831180</v>
      </c>
      <c r="G81" s="27">
        <f>Motor!AX9</f>
        <v>14656260</v>
      </c>
      <c r="H81" s="27">
        <f>Motor!AY9</f>
        <v>4863045</v>
      </c>
      <c r="I81" s="18" t="n"/>
      <c r="J81" s="27">
        <f>Motor!AZ9</f>
        <v>1270100</v>
      </c>
      <c r="K81" s="28">
        <f>Motor!BA9</f>
        <v>44806620</v>
      </c>
      <c r="L81" s="18" t="n"/>
      <c r="M81" s="18" t="n"/>
      <c r="N81" s="18" t="n"/>
      <c r="O81" s="18" t="n"/>
      <c r="P81" s="19" t="n"/>
      <c r="Q81" s="1" t="n"/>
    </row>
    <row r="82">
      <c r="A82" s="1" t="n"/>
      <c r="B82" s="26" t="str">
        <f>Motor!AT10</f>
        <v>Villavicencio</v>
      </c>
      <c r="D82" s="27">
        <f>Motor!AU10</f>
        <v>0</v>
      </c>
      <c r="E82" s="27">
        <f>Motor!AV10</f>
        <v>3200380</v>
      </c>
      <c r="F82" s="27">
        <f>Motor!AW10</f>
        <v>2478015</v>
      </c>
      <c r="G82" s="27">
        <f>Motor!AX10</f>
        <v>7442895</v>
      </c>
      <c r="H82" s="27">
        <f>Motor!AY10</f>
        <v>2106405</v>
      </c>
      <c r="I82" s="18" t="n"/>
      <c r="J82" s="27">
        <f>Motor!AZ10</f>
        <v>4088675</v>
      </c>
      <c r="K82" s="28">
        <f>Motor!BA10</f>
        <v>19316370</v>
      </c>
      <c r="L82" s="18" t="n"/>
      <c r="M82" s="18" t="n"/>
      <c r="N82" s="18" t="n"/>
      <c r="O82" s="18" t="n"/>
      <c r="P82" s="19" t="n"/>
      <c r="Q82" s="1" t="n"/>
    </row>
    <row r="83">
      <c r="A83" s="1" t="n"/>
      <c r="B83" s="26" t="str">
        <f>Motor!AT11</f>
        <v>Pasto</v>
      </c>
      <c r="D83" s="27">
        <f>Motor!AU11</f>
        <v>3468090</v>
      </c>
      <c r="E83" s="27">
        <f>Motor!AV11</f>
        <v>6147200</v>
      </c>
      <c r="F83" s="27">
        <f>Motor!AW11</f>
        <v>5519700</v>
      </c>
      <c r="G83" s="27">
        <f>Motor!AX11</f>
        <v>4104500</v>
      </c>
      <c r="H83" s="27">
        <f>Motor!AY11</f>
        <v>1007170</v>
      </c>
      <c r="I83" s="18" t="n"/>
      <c r="J83" s="27">
        <f>Motor!AZ11</f>
        <v>6914160</v>
      </c>
      <c r="K83" s="28">
        <f>Motor!BA11</f>
        <v>27160820</v>
      </c>
      <c r="L83" s="18" t="n"/>
      <c r="M83" s="18" t="n"/>
      <c r="N83" s="18" t="n"/>
      <c r="O83" s="18" t="n"/>
      <c r="P83" s="19" t="n"/>
      <c r="Q83" s="1" t="n"/>
    </row>
    <row r="84">
      <c r="A84" s="1" t="n"/>
      <c r="B84" s="26" t="str">
        <f>Motor!AT12</f>
        <v>Neiva</v>
      </c>
      <c r="D84" s="27">
        <f>Motor!AU12</f>
        <v>432810</v>
      </c>
      <c r="E84" s="27">
        <f>Motor!AV12</f>
        <v>5456970</v>
      </c>
      <c r="F84" s="27">
        <f>Motor!AW12</f>
        <v>2449625</v>
      </c>
      <c r="G84" s="27">
        <f>Motor!AX12</f>
        <v>2408580</v>
      </c>
      <c r="H84" s="27">
        <f>Motor!AY12</f>
        <v>547495</v>
      </c>
      <c r="I84" s="18" t="n"/>
      <c r="J84" s="27">
        <f>Motor!AZ12</f>
        <v>1162800</v>
      </c>
      <c r="K84" s="28">
        <f>Motor!BA12</f>
        <v>12458280</v>
      </c>
      <c r="L84" s="18" t="n"/>
      <c r="M84" s="18" t="n"/>
      <c r="N84" s="18" t="n"/>
      <c r="O84" s="18" t="n"/>
      <c r="P84" s="19" t="n"/>
      <c r="Q84" s="1" t="n"/>
    </row>
    <row r="85">
      <c r="A85" s="1" t="n"/>
      <c r="B85" s="21" t="n"/>
      <c r="C85" s="22" t="n"/>
      <c r="D85" s="22" t="n"/>
      <c r="E85" s="22" t="n"/>
      <c r="F85" s="22" t="n"/>
      <c r="G85" s="22" t="n"/>
      <c r="H85" s="22" t="n"/>
      <c r="I85" s="22" t="n"/>
      <c r="J85" s="22" t="n"/>
      <c r="K85" s="22" t="n"/>
      <c r="L85" s="22" t="n"/>
      <c r="M85" s="22" t="n"/>
      <c r="N85" s="22" t="n"/>
      <c r="O85" s="22" t="n"/>
      <c r="P85" s="23" t="n"/>
      <c r="Q85" s="1" t="n"/>
    </row>
    <row r="86">
      <c r="A86" s="1" t="n"/>
      <c r="B86" s="1" t="n"/>
      <c r="C86" s="1" t="n"/>
      <c r="D86" s="1" t="n"/>
      <c r="E86" s="1" t="n"/>
      <c r="F86" s="1" t="n"/>
      <c r="G86" s="1" t="n"/>
      <c r="H86" s="1" t="n"/>
      <c r="I86" s="1" t="n"/>
      <c r="J86" s="1" t="n"/>
      <c r="K86" s="1" t="n"/>
      <c r="L86" s="1" t="n"/>
      <c r="M86" s="1" t="n"/>
      <c r="N86" s="1" t="n"/>
      <c r="O86" s="1" t="n"/>
      <c r="P86" s="1" t="n"/>
      <c r="Q86" s="1" t="n"/>
    </row>
    <row r="87" ht="22" customHeight="1">
      <c r="A87" s="1" t="n"/>
      <c r="B87" s="14" t="str">
        <f>"Mapa de Colombia por "&amp;IF(cDepto&gt;0,Config!$E$12,"departamento")</f>
        <v>Mapa de Colombia por Departamento</v>
      </c>
      <c r="C87" s="15" t="n"/>
      <c r="D87" s="15" t="n"/>
      <c r="E87" s="15" t="n"/>
      <c r="F87" s="15" t="n"/>
      <c r="G87" s="15" t="n"/>
      <c r="H87" s="16" t="n"/>
      <c r="I87" s="1" t="n"/>
      <c r="J87" s="14" t="str">
        <f>"Top 5 departamentos"</f>
        <v>Top 5 departamentos</v>
      </c>
      <c r="K87" s="15" t="n"/>
      <c r="L87" s="15" t="n"/>
      <c r="M87" s="15" t="n"/>
      <c r="N87" s="15" t="n"/>
      <c r="O87" s="15" t="n"/>
      <c r="P87" s="16" t="n"/>
      <c r="Q87" s="1" t="n"/>
    </row>
    <row r="88">
      <c r="A88" s="1" t="n"/>
      <c r="B88" s="17" t="str">
        <f>IF(cDepto=0,"⚠ Elige la columna de Departamento en Config","Mosaico por departamento · más oscuro = mayor "&amp;nomMed)</f>
        <v>Mosaico por departamento · más oscuro = mayor Ventas</v>
      </c>
      <c r="C88" s="18" t="n"/>
      <c r="D88" s="18" t="n"/>
      <c r="E88" s="18" t="n"/>
      <c r="F88" s="18" t="n"/>
      <c r="G88" s="18" t="n"/>
      <c r="H88" s="19" t="n"/>
      <c r="I88" s="1" t="n"/>
      <c r="J88" s="17" t="str">
        <f>"Participación sobre el total de "&amp;nomMed</f>
        <v>Participación sobre el total de Ventas</v>
      </c>
      <c r="K88" s="18" t="n"/>
      <c r="L88" s="18" t="n"/>
      <c r="M88" s="18" t="n"/>
      <c r="N88" s="18" t="n"/>
      <c r="O88" s="18" t="n"/>
      <c r="P88" s="19" t="n"/>
      <c r="Q88" s="1" t="n"/>
    </row>
    <row r="89">
      <c r="A89" s="1" t="n"/>
      <c r="B89" s="29">
        <f>N(Motor!$BN$3)</f>
        <v>0</v>
      </c>
      <c r="C89" s="18" t="n"/>
      <c r="D89" s="18" t="n"/>
      <c r="E89" s="18" t="n"/>
      <c r="F89" s="18" t="n"/>
      <c r="G89" s="30">
        <f>N(Motor!$BN$4)</f>
        <v>0</v>
      </c>
      <c r="H89" s="19" t="n"/>
      <c r="I89" s="1" t="n"/>
      <c r="J89" s="20" t="n"/>
      <c r="K89" s="18" t="n"/>
      <c r="L89" s="18" t="n"/>
      <c r="M89" s="18" t="n"/>
      <c r="N89" s="18" t="n"/>
      <c r="O89" s="18" t="n"/>
      <c r="P89" s="19" t="n"/>
      <c r="Q89" s="1" t="n"/>
    </row>
    <row r="90">
      <c r="A90" s="1" t="n"/>
      <c r="B90" s="31" t="str">
        <f>IF(N(Motor!$BN$3)=0,"",Motor!$BN$3)</f>
        <v/>
      </c>
      <c r="C90" s="18" t="n"/>
      <c r="D90" s="18" t="n"/>
      <c r="E90" s="18" t="n"/>
      <c r="F90" s="18" t="n"/>
      <c r="G90" s="31" t="str">
        <f>IF(N(Motor!$BN$4)=0,"",Motor!$BN$4)</f>
        <v/>
      </c>
      <c r="H90" s="19" t="n"/>
      <c r="I90" s="1" t="n"/>
      <c r="J90" s="24" t="inlineStr">
        <is>
          <t>Departamento</t>
        </is>
      </c>
      <c r="M90" s="32" t="str">
        <f>nomMed</f>
        <v>Ventas</v>
      </c>
      <c r="P90" s="32" t="inlineStr">
        <is>
          <t>%</t>
        </is>
      </c>
      <c r="Q90" s="1" t="n"/>
    </row>
    <row r="91">
      <c r="A91" s="1" t="n"/>
      <c r="B91" s="20" t="n"/>
      <c r="C91" s="18" t="n"/>
      <c r="D91" s="18" t="n"/>
      <c r="E91" s="33">
        <f>N(Motor!$BN$5)</f>
        <v>174627110</v>
      </c>
      <c r="F91" s="34">
        <f>N(Motor!$BN$6)</f>
        <v>0</v>
      </c>
      <c r="G91" s="35">
        <f>N(Motor!$BN$7)</f>
        <v>0</v>
      </c>
      <c r="H91" s="19" t="n"/>
      <c r="I91" s="1" t="n"/>
      <c r="J91" s="36" t="str">
        <f>Motor!$BP$3</f>
        <v>Bogotá D.C.</v>
      </c>
      <c r="M91" s="37">
        <f>Motor!$BQ$3</f>
        <v>554388700</v>
      </c>
      <c r="P91" s="38">
        <f>IF(Motor!$BQ$3="","",IFERROR(Motor!$BQ$3/total,""))</f>
        <v>0.276311270232787</v>
      </c>
      <c r="Q91" s="1" t="n"/>
    </row>
    <row r="92">
      <c r="A92" s="1" t="n"/>
      <c r="B92" s="20" t="n"/>
      <c r="C92" s="18" t="n"/>
      <c r="D92" s="18" t="n"/>
      <c r="E92" s="31">
        <f>IF(N(Motor!$BN$5)=0,"",Motor!$BN$5)</f>
        <v>174627110</v>
      </c>
      <c r="F92" s="31" t="str">
        <f>IF(N(Motor!$BN$6)=0,"",Motor!$BN$6)</f>
        <v/>
      </c>
      <c r="G92" s="31" t="str">
        <f>IF(N(Motor!$BN$7)=0,"",Motor!$BN$7)</f>
        <v/>
      </c>
      <c r="H92" s="19" t="n"/>
      <c r="I92" s="1" t="n"/>
      <c r="J92" s="10" t="n"/>
      <c r="P92" s="8" t="n"/>
      <c r="Q92" s="1" t="n"/>
    </row>
    <row r="93">
      <c r="A93" s="1" t="n"/>
      <c r="B93" s="20" t="n"/>
      <c r="C93" s="18" t="n"/>
      <c r="D93" s="39">
        <f>N(Motor!$BN$8)</f>
        <v>0</v>
      </c>
      <c r="E93" s="40">
        <f>N(Motor!$BN$9)</f>
        <v>0</v>
      </c>
      <c r="F93" s="41">
        <f>N(Motor!$BN$10)</f>
        <v>128977510</v>
      </c>
      <c r="G93" s="42">
        <f>N(Motor!$BN$11)</f>
        <v>0</v>
      </c>
      <c r="H93" s="19" t="n"/>
      <c r="I93" s="1" t="n"/>
      <c r="J93" s="36" t="str">
        <f>Motor!$BP$4</f>
        <v>Antioquia</v>
      </c>
      <c r="M93" s="37">
        <f>Motor!$BQ$4</f>
        <v>410638375</v>
      </c>
      <c r="P93" s="38">
        <f>IF(Motor!$BQ$4="","",IFERROR(Motor!$BQ$4/total,""))</f>
        <v>0.204665086071519</v>
      </c>
      <c r="Q93" s="1" t="n"/>
    </row>
    <row r="94">
      <c r="A94" s="1" t="n"/>
      <c r="B94" s="20" t="n"/>
      <c r="C94" s="18" t="n"/>
      <c r="D94" s="31" t="str">
        <f>IF(N(Motor!$BN$8)=0,"",Motor!$BN$8)</f>
        <v/>
      </c>
      <c r="E94" s="31" t="str">
        <f>IF(N(Motor!$BN$9)=0,"",Motor!$BN$9)</f>
        <v/>
      </c>
      <c r="F94" s="31">
        <f>IF(N(Motor!$BN$10)=0,"",Motor!$BN$10)</f>
        <v>128977510</v>
      </c>
      <c r="G94" s="31" t="str">
        <f>IF(N(Motor!$BN$11)=0,"",Motor!$BN$11)</f>
        <v/>
      </c>
      <c r="H94" s="19" t="n"/>
      <c r="I94" s="1" t="n"/>
      <c r="J94" s="10" t="n"/>
      <c r="P94" s="8" t="n"/>
      <c r="Q94" s="1" t="n"/>
    </row>
    <row r="95">
      <c r="A95" s="1" t="n"/>
      <c r="B95" s="20" t="n"/>
      <c r="C95" s="43">
        <f>N(Motor!$BN$12)</f>
        <v>0</v>
      </c>
      <c r="D95" s="44">
        <f>N(Motor!$BN$13)</f>
        <v>410638375</v>
      </c>
      <c r="E95" s="18" t="n"/>
      <c r="F95" s="45">
        <f>N(Motor!$BN$14)</f>
        <v>140976355</v>
      </c>
      <c r="G95" s="46">
        <f>N(Motor!$BN$15)</f>
        <v>0</v>
      </c>
      <c r="H95" s="19" t="n"/>
      <c r="I95" s="1" t="n"/>
      <c r="J95" s="36" t="str">
        <f>Motor!$BP$5</f>
        <v>Valle del Cauca</v>
      </c>
      <c r="M95" s="37">
        <f>Motor!$BQ$5</f>
        <v>260852225</v>
      </c>
      <c r="P95" s="38">
        <f>IF(Motor!$BQ$5="","",IFERROR(Motor!$BQ$5/total,""))</f>
        <v>0.130010603810645</v>
      </c>
      <c r="Q95" s="1" t="n"/>
    </row>
    <row r="96">
      <c r="A96" s="1" t="n"/>
      <c r="B96" s="20" t="n"/>
      <c r="C96" s="31" t="str">
        <f>IF(N(Motor!$BN$12)=0,"",Motor!$BN$12)</f>
        <v/>
      </c>
      <c r="D96" s="31">
        <f>IF(N(Motor!$BN$13)=0,"",Motor!$BN$13)</f>
        <v>410638375</v>
      </c>
      <c r="E96" s="18" t="n"/>
      <c r="F96" s="31">
        <f>IF(N(Motor!$BN$14)=0,"",Motor!$BN$14)</f>
        <v>140976355</v>
      </c>
      <c r="G96" s="31" t="str">
        <f>IF(N(Motor!$BN$15)=0,"",Motor!$BN$15)</f>
        <v/>
      </c>
      <c r="H96" s="19" t="n"/>
      <c r="I96" s="1" t="n"/>
      <c r="J96" s="10" t="n"/>
      <c r="P96" s="8" t="n"/>
      <c r="Q96" s="1" t="n"/>
    </row>
    <row r="97">
      <c r="A97" s="1" t="n"/>
      <c r="B97" s="20" t="n"/>
      <c r="C97" s="47">
        <f>N(Motor!$BN$16)</f>
        <v>135285040</v>
      </c>
      <c r="D97" s="48">
        <f>N(Motor!$BN$17)</f>
        <v>0</v>
      </c>
      <c r="E97" s="49">
        <f>N(Motor!$BN$18)</f>
        <v>0</v>
      </c>
      <c r="F97" s="50">
        <f>N(Motor!$BN$19)</f>
        <v>0</v>
      </c>
      <c r="G97" s="51">
        <f>N(Motor!$BN$20)</f>
        <v>0</v>
      </c>
      <c r="H97" s="52">
        <f>N(Motor!$BN$21)</f>
        <v>0</v>
      </c>
      <c r="I97" s="1" t="n"/>
      <c r="J97" s="36" t="str">
        <f>Motor!$BP$6</f>
        <v>Atlántico</v>
      </c>
      <c r="M97" s="37">
        <f>Motor!$BQ$6</f>
        <v>174627110</v>
      </c>
      <c r="P97" s="38">
        <f>IF(Motor!$BQ$6="","",IFERROR(Motor!$BQ$6/total,""))</f>
        <v>0.0870353933642237</v>
      </c>
      <c r="Q97" s="1" t="n"/>
    </row>
    <row r="98">
      <c r="A98" s="1" t="n"/>
      <c r="B98" s="20" t="n"/>
      <c r="C98" s="31">
        <f>IF(N(Motor!$BN$16)=0,"",Motor!$BN$16)</f>
        <v>135285040</v>
      </c>
      <c r="D98" s="31" t="str">
        <f>IF(N(Motor!$BN$17)=0,"",Motor!$BN$17)</f>
        <v/>
      </c>
      <c r="E98" s="31" t="str">
        <f>IF(N(Motor!$BN$18)=0,"",Motor!$BN$18)</f>
        <v/>
      </c>
      <c r="F98" s="31" t="str">
        <f>IF(N(Motor!$BN$19)=0,"",Motor!$BN$19)</f>
        <v/>
      </c>
      <c r="G98" s="31" t="str">
        <f>IF(N(Motor!$BN$20)=0,"",Motor!$BN$20)</f>
        <v/>
      </c>
      <c r="H98" s="31" t="str">
        <f>IF(N(Motor!$BN$21)=0,"",Motor!$BN$21)</f>
        <v/>
      </c>
      <c r="I98" s="1" t="n"/>
      <c r="J98" s="10" t="n"/>
      <c r="P98" s="8" t="n"/>
      <c r="Q98" s="1" t="n"/>
    </row>
    <row r="99">
      <c r="A99" s="1" t="n"/>
      <c r="B99" s="20" t="n"/>
      <c r="C99" s="53">
        <f>N(Motor!$BN$22)</f>
        <v>260852225</v>
      </c>
      <c r="D99" s="54">
        <f>N(Motor!$BN$23)</f>
        <v>0</v>
      </c>
      <c r="E99" s="55">
        <f>N(Motor!$BN$24)</f>
        <v>0</v>
      </c>
      <c r="F99" s="56">
        <f>N(Motor!$BN$25)</f>
        <v>554388700</v>
      </c>
      <c r="G99" s="57">
        <f>N(Motor!$BN$26)</f>
        <v>83519275</v>
      </c>
      <c r="H99" s="58">
        <f>N(Motor!$BN$27)</f>
        <v>0</v>
      </c>
      <c r="I99" s="1" t="n"/>
      <c r="J99" s="36" t="str">
        <f>Motor!$BP$7</f>
        <v>Santander</v>
      </c>
      <c r="M99" s="37">
        <f>Motor!$BQ$7</f>
        <v>140976355</v>
      </c>
      <c r="P99" s="38">
        <f>IF(Motor!$BQ$7="","",IFERROR(Motor!$BQ$7/total,""))</f>
        <v>0.070263617788094</v>
      </c>
      <c r="Q99" s="1" t="n"/>
    </row>
    <row r="100">
      <c r="A100" s="1" t="n"/>
      <c r="B100" s="20" t="n"/>
      <c r="C100" s="31">
        <f>IF(N(Motor!$BN$22)=0,"",Motor!$BN$22)</f>
        <v>260852225</v>
      </c>
      <c r="D100" s="31" t="str">
        <f>IF(N(Motor!$BN$23)=0,"",Motor!$BN$23)</f>
        <v/>
      </c>
      <c r="E100" s="31" t="str">
        <f>IF(N(Motor!$BN$24)=0,"",Motor!$BN$24)</f>
        <v/>
      </c>
      <c r="F100" s="31">
        <f>IF(N(Motor!$BN$25)=0,"",Motor!$BN$25)</f>
        <v>554388700</v>
      </c>
      <c r="G100" s="31">
        <f>IF(N(Motor!$BN$26)=0,"",Motor!$BN$26)</f>
        <v>83519275</v>
      </c>
      <c r="H100" s="31" t="str">
        <f>IF(N(Motor!$BN$27)=0,"",Motor!$BN$27)</f>
        <v/>
      </c>
      <c r="I100" s="1" t="n"/>
      <c r="J100" s="10" t="n"/>
      <c r="P100" s="8" t="n"/>
      <c r="Q100" s="1" t="n"/>
    </row>
    <row r="101">
      <c r="A101" s="1" t="n"/>
      <c r="B101" s="20" t="n"/>
      <c r="C101" s="59">
        <f>N(Motor!$BN$28)</f>
        <v>0</v>
      </c>
      <c r="D101" s="60">
        <f>N(Motor!$BN$29)</f>
        <v>48591155</v>
      </c>
      <c r="E101" s="61">
        <f>N(Motor!$BN$30)</f>
        <v>0</v>
      </c>
      <c r="F101" s="62">
        <f>N(Motor!$BN$31)</f>
        <v>0</v>
      </c>
      <c r="G101" s="63">
        <f>N(Motor!$BN$32)</f>
        <v>0</v>
      </c>
      <c r="H101" s="19" t="n"/>
      <c r="I101" s="1" t="n"/>
      <c r="J101" s="20" t="n"/>
      <c r="K101" s="18" t="n"/>
      <c r="L101" s="18" t="n"/>
      <c r="M101" s="18" t="n"/>
      <c r="N101" s="18" t="n"/>
      <c r="O101" s="18" t="n"/>
      <c r="P101" s="19" t="n"/>
      <c r="Q101" s="1" t="n"/>
    </row>
    <row r="102">
      <c r="A102" s="1" t="n"/>
      <c r="B102" s="20" t="n"/>
      <c r="C102" s="31" t="str">
        <f>IF(N(Motor!$BN$28)=0,"",Motor!$BN$28)</f>
        <v/>
      </c>
      <c r="D102" s="31">
        <f>IF(N(Motor!$BN$29)=0,"",Motor!$BN$29)</f>
        <v>48591155</v>
      </c>
      <c r="E102" s="31" t="str">
        <f>IF(N(Motor!$BN$30)=0,"",Motor!$BN$30)</f>
        <v/>
      </c>
      <c r="F102" s="31" t="str">
        <f>IF(N(Motor!$BN$31)=0,"",Motor!$BN$31)</f>
        <v/>
      </c>
      <c r="G102" s="31" t="str">
        <f>IF(N(Motor!$BN$32)=0,"",Motor!$BN$32)</f>
        <v/>
      </c>
      <c r="H102" s="19" t="n"/>
      <c r="I102" s="1" t="n"/>
      <c r="J102" s="20" t="n"/>
      <c r="K102" s="18" t="n"/>
      <c r="L102" s="18" t="n"/>
      <c r="M102" s="18" t="n"/>
      <c r="N102" s="18" t="n"/>
      <c r="O102" s="18" t="n"/>
      <c r="P102" s="19" t="n"/>
      <c r="Q102" s="1" t="n"/>
    </row>
    <row r="103">
      <c r="A103" s="1" t="n"/>
      <c r="B103" s="20" t="n"/>
      <c r="C103" s="64">
        <f>N(Motor!$BN$33)</f>
        <v>68536175</v>
      </c>
      <c r="D103" s="65">
        <f>N(Motor!$BN$34)</f>
        <v>0</v>
      </c>
      <c r="E103" s="18" t="n"/>
      <c r="F103" s="66">
        <f>N(Motor!$BN$35)</f>
        <v>0</v>
      </c>
      <c r="G103" s="18" t="n"/>
      <c r="H103" s="19" t="n"/>
      <c r="I103" s="1" t="n"/>
      <c r="J103" s="20" t="n"/>
      <c r="K103" s="18" t="n"/>
      <c r="L103" s="18" t="n"/>
      <c r="M103" s="18" t="n"/>
      <c r="N103" s="18" t="n"/>
      <c r="O103" s="18" t="n"/>
      <c r="P103" s="19" t="n"/>
      <c r="Q103" s="1" t="n"/>
    </row>
    <row r="104">
      <c r="A104" s="1" t="n"/>
      <c r="B104" s="20" t="n"/>
      <c r="C104" s="31">
        <f>IF(N(Motor!$BN$33)=0,"",Motor!$BN$33)</f>
        <v>68536175</v>
      </c>
      <c r="D104" s="31" t="str">
        <f>IF(N(Motor!$BN$34)=0,"",Motor!$BN$34)</f>
        <v/>
      </c>
      <c r="E104" s="18" t="n"/>
      <c r="F104" s="31" t="str">
        <f>IF(N(Motor!$BN$35)=0,"",Motor!$BN$35)</f>
        <v/>
      </c>
      <c r="G104" s="18" t="n"/>
      <c r="H104" s="19" t="n"/>
      <c r="I104" s="1" t="n"/>
      <c r="J104" s="20" t="n"/>
      <c r="K104" s="18" t="n"/>
      <c r="L104" s="18" t="n"/>
      <c r="M104" s="18" t="n"/>
      <c r="N104" s="18" t="n"/>
      <c r="O104" s="18" t="n"/>
      <c r="P104" s="19" t="n"/>
      <c r="Q104" s="1" t="n"/>
    </row>
    <row r="105">
      <c r="A105" s="1" t="n"/>
      <c r="B105" s="20" t="n"/>
      <c r="C105" s="18" t="n"/>
      <c r="D105" s="18" t="n"/>
      <c r="E105" s="18" t="n"/>
      <c r="F105" s="18" t="n"/>
      <c r="G105" s="18" t="n"/>
      <c r="H105" s="19" t="n"/>
      <c r="I105" s="1" t="n"/>
      <c r="J105" s="20" t="n"/>
      <c r="K105" s="18" t="n"/>
      <c r="L105" s="18" t="n"/>
      <c r="M105" s="18" t="n"/>
      <c r="N105" s="18" t="n"/>
      <c r="O105" s="18" t="n"/>
      <c r="P105" s="19" t="n"/>
      <c r="Q105" s="1" t="n"/>
    </row>
    <row r="106">
      <c r="A106" s="1" t="n"/>
      <c r="B106" s="21" t="n"/>
      <c r="C106" s="22" t="n"/>
      <c r="D106" s="22" t="n"/>
      <c r="E106" s="22" t="n"/>
      <c r="F106" s="22" t="n"/>
      <c r="G106" s="22" t="n"/>
      <c r="H106" s="23" t="n"/>
      <c r="I106" s="1" t="n"/>
      <c r="J106" s="21" t="n"/>
      <c r="K106" s="22" t="n"/>
      <c r="L106" s="22" t="n"/>
      <c r="M106" s="22" t="n"/>
      <c r="N106" s="22" t="n"/>
      <c r="O106" s="22" t="n"/>
      <c r="P106" s="23" t="n"/>
      <c r="Q106" s="1" t="n"/>
    </row>
    <row r="107">
      <c r="A107" s="1" t="n"/>
      <c r="B107" s="1" t="n"/>
      <c r="C107" s="1" t="n"/>
      <c r="D107" s="1" t="n"/>
      <c r="E107" s="1" t="n"/>
      <c r="F107" s="1" t="n"/>
      <c r="G107" s="1" t="n"/>
      <c r="H107" s="1" t="n"/>
      <c r="I107" s="1" t="n"/>
      <c r="J107" s="1" t="n"/>
      <c r="K107" s="1" t="n"/>
      <c r="L107" s="1" t="n"/>
      <c r="M107" s="1" t="n"/>
      <c r="N107" s="1" t="n"/>
      <c r="O107" s="1" t="n"/>
      <c r="P107" s="1" t="n"/>
      <c r="Q107" s="1" t="n"/>
    </row>
    <row r="108" ht="22" customHeight="1">
      <c r="A108" s="1" t="n"/>
      <c r="B108" s="14" t="str">
        <f>"Relación "&amp;nomMed&amp;IF(cMed2&gt;0," vs "&amp;Config!$E$7,"")</f>
        <v>Relación Ventas vs Unidades</v>
      </c>
      <c r="C108" s="15" t="n"/>
      <c r="D108" s="15" t="n"/>
      <c r="E108" s="15" t="n"/>
      <c r="F108" s="15" t="n"/>
      <c r="G108" s="15" t="n"/>
      <c r="H108" s="16" t="n"/>
      <c r="I108" s="1" t="n"/>
      <c r="J108" s="14" t="str">
        <f>IF(cCat2&gt;0,"Ranking por "&amp;Config!$E$10,"Segunda categoría")</f>
        <v>Ranking por Categoría</v>
      </c>
      <c r="K108" s="15" t="n"/>
      <c r="L108" s="15" t="n"/>
      <c r="M108" s="15" t="n"/>
      <c r="N108" s="15" t="n"/>
      <c r="O108" s="15" t="n"/>
      <c r="P108" s="16" t="n"/>
      <c r="Q108" s="1" t="n"/>
    </row>
    <row r="109">
      <c r="A109" s="1" t="n"/>
      <c r="B109" s="17" t="str">
        <f>IF(OR(cMed=0,cMed2=0),"⚠ Necesita dos columnas numéricas: elige Medida principal y secundaria en Config","Eje X: "&amp;Config!$E$7&amp;" · eje Y: "&amp;nomMed&amp;" · hasta 5,000 registros")</f>
        <v>Eje X: Unidades · eje Y: Ventas · hasta 5,000 registros</v>
      </c>
      <c r="C109" s="18" t="n"/>
      <c r="D109" s="18" t="n"/>
      <c r="E109" s="18" t="n"/>
      <c r="F109" s="18" t="n"/>
      <c r="G109" s="18" t="n"/>
      <c r="H109" s="19" t="n"/>
      <c r="I109" s="1" t="n"/>
      <c r="J109" s="17" t="str">
        <f>IF(cCat2=0,"⚠ No hay segunda categoría: elígela en Config","Top 10 por "&amp;nomMed)</f>
        <v>Top 10 por Ventas</v>
      </c>
      <c r="K109" s="18" t="n"/>
      <c r="L109" s="18" t="n"/>
      <c r="M109" s="18" t="n"/>
      <c r="N109" s="18" t="n"/>
      <c r="O109" s="18" t="n"/>
      <c r="P109" s="19" t="n"/>
      <c r="Q109" s="1" t="n"/>
    </row>
    <row r="110">
      <c r="A110" s="1" t="n"/>
      <c r="B110" s="20" t="n"/>
      <c r="C110" s="18" t="n"/>
      <c r="D110" s="18" t="n"/>
      <c r="E110" s="18" t="n"/>
      <c r="F110" s="18" t="n"/>
      <c r="G110" s="18" t="n"/>
      <c r="H110" s="19" t="n"/>
      <c r="I110" s="1" t="n"/>
      <c r="J110" s="20" t="n"/>
      <c r="K110" s="18" t="n"/>
      <c r="L110" s="18" t="n"/>
      <c r="M110" s="18" t="n"/>
      <c r="N110" s="18" t="n"/>
      <c r="O110" s="18" t="n"/>
      <c r="P110" s="19" t="n"/>
      <c r="Q110" s="1" t="n"/>
    </row>
    <row r="111">
      <c r="A111" s="1" t="n"/>
      <c r="B111" s="20" t="n"/>
      <c r="C111" s="18" t="n"/>
      <c r="D111" s="18" t="n"/>
      <c r="E111" s="18" t="n"/>
      <c r="F111" s="18" t="n"/>
      <c r="G111" s="18" t="n"/>
      <c r="H111" s="19" t="n"/>
      <c r="I111" s="1" t="n"/>
      <c r="J111" s="20" t="n"/>
      <c r="K111" s="18" t="n"/>
      <c r="L111" s="18" t="n"/>
      <c r="M111" s="18" t="n"/>
      <c r="N111" s="18" t="n"/>
      <c r="O111" s="18" t="n"/>
      <c r="P111" s="19" t="n"/>
      <c r="Q111" s="1" t="n"/>
    </row>
    <row r="112">
      <c r="A112" s="1" t="n"/>
      <c r="B112" s="20" t="n"/>
      <c r="C112" s="18" t="n"/>
      <c r="D112" s="18" t="n"/>
      <c r="E112" s="18" t="n"/>
      <c r="F112" s="18" t="n"/>
      <c r="G112" s="18" t="n"/>
      <c r="H112" s="19" t="n"/>
      <c r="I112" s="1" t="n"/>
      <c r="J112" s="20" t="n"/>
      <c r="K112" s="18" t="n"/>
      <c r="L112" s="18" t="n"/>
      <c r="M112" s="18" t="n"/>
      <c r="N112" s="18" t="n"/>
      <c r="O112" s="18" t="n"/>
      <c r="P112" s="19" t="n"/>
      <c r="Q112" s="1" t="n"/>
    </row>
    <row r="113">
      <c r="A113" s="1" t="n"/>
      <c r="B113" s="20" t="n"/>
      <c r="C113" s="18" t="n"/>
      <c r="D113" s="18" t="n"/>
      <c r="E113" s="18" t="n"/>
      <c r="F113" s="18" t="n"/>
      <c r="G113" s="18" t="n"/>
      <c r="H113" s="19" t="n"/>
      <c r="I113" s="1" t="n"/>
      <c r="J113" s="20" t="n"/>
      <c r="K113" s="18" t="n"/>
      <c r="L113" s="18" t="n"/>
      <c r="M113" s="18" t="n"/>
      <c r="N113" s="18" t="n"/>
      <c r="O113" s="18" t="n"/>
      <c r="P113" s="19" t="n"/>
      <c r="Q113" s="1" t="n"/>
    </row>
    <row r="114">
      <c r="A114" s="1" t="n"/>
      <c r="B114" s="20" t="n"/>
      <c r="C114" s="18" t="n"/>
      <c r="D114" s="18" t="n"/>
      <c r="E114" s="18" t="n"/>
      <c r="F114" s="18" t="n"/>
      <c r="G114" s="18" t="n"/>
      <c r="H114" s="19" t="n"/>
      <c r="I114" s="1" t="n"/>
      <c r="J114" s="20" t="n"/>
      <c r="K114" s="18" t="n"/>
      <c r="L114" s="18" t="n"/>
      <c r="M114" s="18" t="n"/>
      <c r="N114" s="18" t="n"/>
      <c r="O114" s="18" t="n"/>
      <c r="P114" s="19" t="n"/>
      <c r="Q114" s="1" t="n"/>
    </row>
    <row r="115">
      <c r="A115" s="1" t="n"/>
      <c r="B115" s="20" t="n"/>
      <c r="C115" s="18" t="n"/>
      <c r="D115" s="18" t="n"/>
      <c r="E115" s="18" t="n"/>
      <c r="F115" s="18" t="n"/>
      <c r="G115" s="18" t="n"/>
      <c r="H115" s="19" t="n"/>
      <c r="I115" s="1" t="n"/>
      <c r="J115" s="20" t="n"/>
      <c r="K115" s="18" t="n"/>
      <c r="L115" s="18" t="n"/>
      <c r="M115" s="18" t="n"/>
      <c r="N115" s="18" t="n"/>
      <c r="O115" s="18" t="n"/>
      <c r="P115" s="19" t="n"/>
      <c r="Q115" s="1" t="n"/>
    </row>
    <row r="116">
      <c r="A116" s="1" t="n"/>
      <c r="B116" s="20" t="n"/>
      <c r="C116" s="18" t="n"/>
      <c r="D116" s="18" t="n"/>
      <c r="E116" s="18" t="n"/>
      <c r="F116" s="18" t="n"/>
      <c r="G116" s="18" t="n"/>
      <c r="H116" s="19" t="n"/>
      <c r="I116" s="1" t="n"/>
      <c r="J116" s="20" t="n"/>
      <c r="K116" s="18" t="n"/>
      <c r="L116" s="18" t="n"/>
      <c r="M116" s="18" t="n"/>
      <c r="N116" s="18" t="n"/>
      <c r="O116" s="18" t="n"/>
      <c r="P116" s="19" t="n"/>
      <c r="Q116" s="1" t="n"/>
    </row>
    <row r="117">
      <c r="A117" s="1" t="n"/>
      <c r="B117" s="20" t="n"/>
      <c r="C117" s="18" t="n"/>
      <c r="D117" s="18" t="n"/>
      <c r="E117" s="18" t="n"/>
      <c r="F117" s="18" t="n"/>
      <c r="G117" s="18" t="n"/>
      <c r="H117" s="19" t="n"/>
      <c r="I117" s="1" t="n"/>
      <c r="J117" s="20" t="n"/>
      <c r="K117" s="18" t="n"/>
      <c r="L117" s="18" t="n"/>
      <c r="M117" s="18" t="n"/>
      <c r="N117" s="18" t="n"/>
      <c r="O117" s="18" t="n"/>
      <c r="P117" s="19" t="n"/>
      <c r="Q117" s="1" t="n"/>
    </row>
    <row r="118">
      <c r="A118" s="1" t="n"/>
      <c r="B118" s="20" t="n"/>
      <c r="C118" s="18" t="n"/>
      <c r="D118" s="18" t="n"/>
      <c r="E118" s="18" t="n"/>
      <c r="F118" s="18" t="n"/>
      <c r="G118" s="18" t="n"/>
      <c r="H118" s="19" t="n"/>
      <c r="I118" s="1" t="n"/>
      <c r="J118" s="20" t="n"/>
      <c r="K118" s="18" t="n"/>
      <c r="L118" s="18" t="n"/>
      <c r="M118" s="18" t="n"/>
      <c r="N118" s="18" t="n"/>
      <c r="O118" s="18" t="n"/>
      <c r="P118" s="19" t="n"/>
      <c r="Q118" s="1" t="n"/>
    </row>
    <row r="119">
      <c r="A119" s="1" t="n"/>
      <c r="B119" s="20" t="n"/>
      <c r="C119" s="18" t="n"/>
      <c r="D119" s="18" t="n"/>
      <c r="E119" s="18" t="n"/>
      <c r="F119" s="18" t="n"/>
      <c r="G119" s="18" t="n"/>
      <c r="H119" s="19" t="n"/>
      <c r="I119" s="1" t="n"/>
      <c r="J119" s="20" t="n"/>
      <c r="K119" s="18" t="n"/>
      <c r="L119" s="18" t="n"/>
      <c r="M119" s="18" t="n"/>
      <c r="N119" s="18" t="n"/>
      <c r="O119" s="18" t="n"/>
      <c r="P119" s="19" t="n"/>
      <c r="Q119" s="1" t="n"/>
    </row>
    <row r="120">
      <c r="A120" s="1" t="n"/>
      <c r="B120" s="20" t="n"/>
      <c r="C120" s="18" t="n"/>
      <c r="D120" s="18" t="n"/>
      <c r="E120" s="18" t="n"/>
      <c r="F120" s="18" t="n"/>
      <c r="G120" s="18" t="n"/>
      <c r="H120" s="19" t="n"/>
      <c r="I120" s="1" t="n"/>
      <c r="J120" s="20" t="n"/>
      <c r="K120" s="18" t="n"/>
      <c r="L120" s="18" t="n"/>
      <c r="M120" s="18" t="n"/>
      <c r="N120" s="18" t="n"/>
      <c r="O120" s="18" t="n"/>
      <c r="P120" s="19" t="n"/>
      <c r="Q120" s="1" t="n"/>
    </row>
    <row r="121">
      <c r="A121" s="1" t="n"/>
      <c r="B121" s="20" t="n"/>
      <c r="C121" s="18" t="n"/>
      <c r="D121" s="18" t="n"/>
      <c r="E121" s="18" t="n"/>
      <c r="F121" s="18" t="n"/>
      <c r="G121" s="18" t="n"/>
      <c r="H121" s="19" t="n"/>
      <c r="I121" s="1" t="n"/>
      <c r="J121" s="20" t="n"/>
      <c r="K121" s="18" t="n"/>
      <c r="L121" s="18" t="n"/>
      <c r="M121" s="18" t="n"/>
      <c r="N121" s="18" t="n"/>
      <c r="O121" s="18" t="n"/>
      <c r="P121" s="19" t="n"/>
      <c r="Q121" s="1" t="n"/>
    </row>
    <row r="122">
      <c r="A122" s="1" t="n"/>
      <c r="B122" s="20" t="n"/>
      <c r="C122" s="18" t="n"/>
      <c r="D122" s="18" t="n"/>
      <c r="E122" s="18" t="n"/>
      <c r="F122" s="18" t="n"/>
      <c r="G122" s="18" t="n"/>
      <c r="H122" s="19" t="n"/>
      <c r="I122" s="1" t="n"/>
      <c r="J122" s="20" t="n"/>
      <c r="K122" s="18" t="n"/>
      <c r="L122" s="18" t="n"/>
      <c r="M122" s="18" t="n"/>
      <c r="N122" s="18" t="n"/>
      <c r="O122" s="18" t="n"/>
      <c r="P122" s="19" t="n"/>
      <c r="Q122" s="1" t="n"/>
    </row>
    <row r="123">
      <c r="A123" s="1" t="n"/>
      <c r="B123" s="20" t="n"/>
      <c r="C123" s="18" t="n"/>
      <c r="D123" s="18" t="n"/>
      <c r="E123" s="18" t="n"/>
      <c r="F123" s="18" t="n"/>
      <c r="G123" s="18" t="n"/>
      <c r="H123" s="19" t="n"/>
      <c r="I123" s="1" t="n"/>
      <c r="J123" s="20" t="n"/>
      <c r="K123" s="18" t="n"/>
      <c r="L123" s="18" t="n"/>
      <c r="M123" s="18" t="n"/>
      <c r="N123" s="18" t="n"/>
      <c r="O123" s="18" t="n"/>
      <c r="P123" s="19" t="n"/>
      <c r="Q123" s="1" t="n"/>
    </row>
    <row r="124">
      <c r="A124" s="1" t="n"/>
      <c r="B124" s="20" t="n"/>
      <c r="C124" s="18" t="n"/>
      <c r="D124" s="18" t="n"/>
      <c r="E124" s="18" t="n"/>
      <c r="F124" s="18" t="n"/>
      <c r="G124" s="18" t="n"/>
      <c r="H124" s="19" t="n"/>
      <c r="I124" s="1" t="n"/>
      <c r="J124" s="20" t="n"/>
      <c r="K124" s="18" t="n"/>
      <c r="L124" s="18" t="n"/>
      <c r="M124" s="18" t="n"/>
      <c r="N124" s="18" t="n"/>
      <c r="O124" s="18" t="n"/>
      <c r="P124" s="19" t="n"/>
      <c r="Q124" s="1" t="n"/>
    </row>
    <row r="125">
      <c r="A125" s="1" t="n"/>
      <c r="B125" s="20" t="n"/>
      <c r="C125" s="18" t="n"/>
      <c r="D125" s="18" t="n"/>
      <c r="E125" s="18" t="n"/>
      <c r="F125" s="18" t="n"/>
      <c r="G125" s="18" t="n"/>
      <c r="H125" s="19" t="n"/>
      <c r="I125" s="1" t="n"/>
      <c r="J125" s="20" t="n"/>
      <c r="K125" s="18" t="n"/>
      <c r="L125" s="18" t="n"/>
      <c r="M125" s="18" t="n"/>
      <c r="N125" s="18" t="n"/>
      <c r="O125" s="18" t="n"/>
      <c r="P125" s="19" t="n"/>
      <c r="Q125" s="1" t="n"/>
    </row>
    <row r="126">
      <c r="A126" s="1" t="n"/>
      <c r="B126" s="21" t="n"/>
      <c r="C126" s="22" t="n"/>
      <c r="D126" s="22" t="n"/>
      <c r="E126" s="22" t="n"/>
      <c r="F126" s="22" t="n"/>
      <c r="G126" s="22" t="n"/>
      <c r="H126" s="23" t="n"/>
      <c r="I126" s="1" t="n"/>
      <c r="J126" s="21" t="n"/>
      <c r="K126" s="22" t="n"/>
      <c r="L126" s="22" t="n"/>
      <c r="M126" s="22" t="n"/>
      <c r="N126" s="22" t="n"/>
      <c r="O126" s="22" t="n"/>
      <c r="P126" s="23" t="n"/>
      <c r="Q126" s="1" t="n"/>
    </row>
    <row r="127">
      <c r="A127" s="1" t="n"/>
      <c r="B127" s="1" t="n"/>
      <c r="C127" s="1" t="n"/>
      <c r="D127" s="1" t="n"/>
      <c r="E127" s="1" t="n"/>
      <c r="F127" s="1" t="n"/>
      <c r="G127" s="1" t="n"/>
      <c r="H127" s="1" t="n"/>
      <c r="I127" s="1" t="n"/>
      <c r="J127" s="1" t="n"/>
      <c r="K127" s="1" t="n"/>
      <c r="L127" s="1" t="n"/>
      <c r="M127" s="1" t="n"/>
      <c r="N127" s="1" t="n"/>
      <c r="O127" s="1" t="n"/>
      <c r="P127" s="1" t="n"/>
      <c r="Q127" s="1" t="n"/>
    </row>
    <row r="128" ht="22" customHeight="1">
      <c r="A128" s="1" t="n"/>
      <c r="B128" s="14" t="str">
        <f>"Mapa de calor: "&amp;IF(conHora,"hora","mes")&amp;" × día de la semana"</f>
        <v>Mapa de calor: hora × día de la semana</v>
      </c>
      <c r="C128" s="15" t="n"/>
      <c r="D128" s="15" t="n"/>
      <c r="E128" s="15" t="n"/>
      <c r="F128" s="15" t="n"/>
      <c r="G128" s="15" t="n"/>
      <c r="H128" s="15" t="n"/>
      <c r="I128" s="15" t="n"/>
      <c r="J128" s="15" t="n"/>
      <c r="K128" s="15" t="n"/>
      <c r="L128" s="15" t="n"/>
      <c r="M128" s="15" t="n"/>
      <c r="N128" s="15" t="n"/>
      <c r="O128" s="15" t="n"/>
      <c r="P128" s="16" t="n"/>
      <c r="Q128" s="1" t="n"/>
    </row>
    <row r="129">
      <c r="A129" s="1" t="n"/>
      <c r="B129" s="17" t="str">
        <f>IF(cFecha=0,"⚠ Necesita columna de fecha (Config)","Detecta patrones: más oscuro = mayor "&amp;nomMed)</f>
        <v>Detecta patrones: más oscuro = mayor Ventas</v>
      </c>
      <c r="C129" s="18" t="n"/>
      <c r="D129" s="18" t="n"/>
      <c r="E129" s="18" t="n"/>
      <c r="F129" s="18" t="n"/>
      <c r="G129" s="18" t="n"/>
      <c r="H129" s="18" t="n"/>
      <c r="I129" s="18" t="n"/>
      <c r="J129" s="18" t="n"/>
      <c r="K129" s="18" t="n"/>
      <c r="L129" s="18" t="n"/>
      <c r="M129" s="18" t="n"/>
      <c r="N129" s="18" t="n"/>
      <c r="O129" s="18" t="n"/>
      <c r="P129" s="19" t="n"/>
      <c r="Q129" s="1" t="n"/>
    </row>
    <row r="130" ht="15" customHeight="1">
      <c r="A130" s="1" t="n"/>
      <c r="B130" s="67" t="str">
        <f>Motor!BC2</f>
        <v>Hora</v>
      </c>
      <c r="D130" s="68" t="str">
        <f>Motor!BD2</f>
        <v>Lun</v>
      </c>
      <c r="E130" s="68" t="str">
        <f>Motor!BE2</f>
        <v>Mar</v>
      </c>
      <c r="F130" s="68" t="str">
        <f>Motor!BF2</f>
        <v>Mié</v>
      </c>
      <c r="G130" s="68" t="str">
        <f>Motor!BG2</f>
        <v>Jue</v>
      </c>
      <c r="H130" s="68" t="str">
        <f>Motor!BH2</f>
        <v>Vie</v>
      </c>
      <c r="I130" s="18" t="n"/>
      <c r="J130" s="68" t="str">
        <f>Motor!BI2</f>
        <v>Sáb</v>
      </c>
      <c r="K130" s="68" t="str">
        <f>Motor!BJ2</f>
        <v>Dom</v>
      </c>
      <c r="L130" s="18" t="n"/>
      <c r="M130" s="18" t="n"/>
      <c r="N130" s="18" t="n"/>
      <c r="O130" s="18" t="n"/>
      <c r="P130" s="19" t="n"/>
      <c r="Q130" s="1" t="n"/>
    </row>
    <row r="131" ht="15" customHeight="1">
      <c r="A131" s="1" t="n"/>
      <c r="B131" s="69" t="str">
        <f>Motor!BC3</f>
        <v>00:00</v>
      </c>
      <c r="D131" s="70">
        <f>Motor!BD3</f>
        <v>803400</v>
      </c>
      <c r="E131" s="70">
        <f>Motor!BE3</f>
        <v>0</v>
      </c>
      <c r="F131" s="70">
        <f>Motor!BF3</f>
        <v>10614400</v>
      </c>
      <c r="G131" s="70">
        <f>Motor!BG3</f>
        <v>1100500</v>
      </c>
      <c r="H131" s="70">
        <f>Motor!BH3</f>
        <v>8034065</v>
      </c>
      <c r="I131" s="18" t="n"/>
      <c r="J131" s="70">
        <f>Motor!BI3</f>
        <v>2306205</v>
      </c>
      <c r="K131" s="70">
        <f>Motor!BJ3</f>
        <v>3878490</v>
      </c>
      <c r="L131" s="18" t="n"/>
      <c r="M131" s="18" t="n"/>
      <c r="N131" s="18" t="n"/>
      <c r="O131" s="18" t="n"/>
      <c r="P131" s="19" t="n"/>
      <c r="Q131" s="1" t="n"/>
    </row>
    <row r="132" ht="15" customHeight="1">
      <c r="A132" s="1" t="n"/>
      <c r="B132" s="69" t="str">
        <f>Motor!BC4</f>
        <v>01:00</v>
      </c>
      <c r="D132" s="70">
        <f>Motor!BD4</f>
        <v>347200</v>
      </c>
      <c r="E132" s="70">
        <f>Motor!BE4</f>
        <v>328440</v>
      </c>
      <c r="F132" s="70">
        <f>Motor!BF4</f>
        <v>919540</v>
      </c>
      <c r="G132" s="70">
        <f>Motor!BG4</f>
        <v>0</v>
      </c>
      <c r="H132" s="70">
        <f>Motor!BH4</f>
        <v>0</v>
      </c>
      <c r="I132" s="18" t="n"/>
      <c r="J132" s="70">
        <f>Motor!BI4</f>
        <v>530380</v>
      </c>
      <c r="K132" s="70">
        <f>Motor!BJ4</f>
        <v>1190320</v>
      </c>
      <c r="L132" s="18" t="n"/>
      <c r="M132" s="18" t="n"/>
      <c r="N132" s="18" t="n"/>
      <c r="O132" s="18" t="n"/>
      <c r="P132" s="19" t="n"/>
      <c r="Q132" s="1" t="n"/>
    </row>
    <row r="133" ht="15" customHeight="1">
      <c r="A133" s="1" t="n"/>
      <c r="B133" s="69" t="str">
        <f>Motor!BC5</f>
        <v>02:00</v>
      </c>
      <c r="D133" s="70">
        <f>Motor!BD5</f>
        <v>2838400</v>
      </c>
      <c r="E133" s="70">
        <f>Motor!BE5</f>
        <v>393300</v>
      </c>
      <c r="F133" s="70">
        <f>Motor!BF5</f>
        <v>2818700</v>
      </c>
      <c r="G133" s="70">
        <f>Motor!BG5</f>
        <v>358400</v>
      </c>
      <c r="H133" s="70">
        <f>Motor!BH5</f>
        <v>0</v>
      </c>
      <c r="I133" s="18" t="n"/>
      <c r="J133" s="70">
        <f>Motor!BI5</f>
        <v>0</v>
      </c>
      <c r="K133" s="70">
        <f>Motor!BJ5</f>
        <v>0</v>
      </c>
      <c r="L133" s="18" t="n"/>
      <c r="M133" s="18" t="n"/>
      <c r="N133" s="18" t="n"/>
      <c r="O133" s="18" t="n"/>
      <c r="P133" s="19" t="n"/>
      <c r="Q133" s="1" t="n"/>
    </row>
    <row r="134" ht="15" customHeight="1">
      <c r="A134" s="1" t="n"/>
      <c r="B134" s="69" t="str">
        <f>Motor!BC6</f>
        <v>03:00</v>
      </c>
      <c r="D134" s="70">
        <f>Motor!BD6</f>
        <v>600400</v>
      </c>
      <c r="E134" s="70">
        <f>Motor!BE6</f>
        <v>0</v>
      </c>
      <c r="F134" s="70">
        <f>Motor!BF6</f>
        <v>233900</v>
      </c>
      <c r="G134" s="70">
        <f>Motor!BG6</f>
        <v>0</v>
      </c>
      <c r="H134" s="70">
        <f>Motor!BH6</f>
        <v>3934265</v>
      </c>
      <c r="I134" s="18" t="n"/>
      <c r="J134" s="70">
        <f>Motor!BI6</f>
        <v>0</v>
      </c>
      <c r="K134" s="70">
        <f>Motor!BJ6</f>
        <v>0</v>
      </c>
      <c r="L134" s="18" t="n"/>
      <c r="M134" s="18" t="n"/>
      <c r="N134" s="18" t="n"/>
      <c r="O134" s="18" t="n"/>
      <c r="P134" s="19" t="n"/>
      <c r="Q134" s="1" t="n"/>
    </row>
    <row r="135" ht="15" customHeight="1">
      <c r="A135" s="1" t="n"/>
      <c r="B135" s="69" t="str">
        <f>Motor!BC7</f>
        <v>04:00</v>
      </c>
      <c r="D135" s="70">
        <f>Motor!BD7</f>
        <v>0</v>
      </c>
      <c r="E135" s="70">
        <f>Motor!BE7</f>
        <v>0</v>
      </c>
      <c r="F135" s="70">
        <f>Motor!BF7</f>
        <v>5488200</v>
      </c>
      <c r="G135" s="70">
        <f>Motor!BG7</f>
        <v>4529700</v>
      </c>
      <c r="H135" s="70">
        <f>Motor!BH7</f>
        <v>810060</v>
      </c>
      <c r="I135" s="18" t="n"/>
      <c r="J135" s="70">
        <f>Motor!BI7</f>
        <v>0</v>
      </c>
      <c r="K135" s="70">
        <f>Motor!BJ7</f>
        <v>0</v>
      </c>
      <c r="L135" s="18" t="n"/>
      <c r="M135" s="18" t="n"/>
      <c r="N135" s="18" t="n"/>
      <c r="O135" s="18" t="n"/>
      <c r="P135" s="19" t="n"/>
      <c r="Q135" s="1" t="n"/>
    </row>
    <row r="136" ht="15" customHeight="1">
      <c r="A136" s="1" t="n"/>
      <c r="B136" s="69" t="str">
        <f>Motor!BC8</f>
        <v>05:00</v>
      </c>
      <c r="D136" s="70">
        <f>Motor!BD8</f>
        <v>2708880</v>
      </c>
      <c r="E136" s="70">
        <f>Motor!BE8</f>
        <v>255500</v>
      </c>
      <c r="F136" s="70">
        <f>Motor!BF8</f>
        <v>0</v>
      </c>
      <c r="G136" s="70">
        <f>Motor!BG8</f>
        <v>5433500</v>
      </c>
      <c r="H136" s="70">
        <f>Motor!BH8</f>
        <v>4567800</v>
      </c>
      <c r="I136" s="18" t="n"/>
      <c r="J136" s="70">
        <f>Motor!BI8</f>
        <v>267490</v>
      </c>
      <c r="K136" s="70">
        <f>Motor!BJ8</f>
        <v>376740</v>
      </c>
      <c r="L136" s="18" t="n"/>
      <c r="M136" s="18" t="n"/>
      <c r="N136" s="18" t="n"/>
      <c r="O136" s="18" t="n"/>
      <c r="P136" s="19" t="n"/>
      <c r="Q136" s="1" t="n"/>
    </row>
    <row r="137" ht="15" customHeight="1">
      <c r="A137" s="1" t="n"/>
      <c r="B137" s="69" t="str">
        <f>Motor!BC9</f>
        <v>06:00</v>
      </c>
      <c r="D137" s="70">
        <f>Motor!BD9</f>
        <v>5531900</v>
      </c>
      <c r="E137" s="70">
        <f>Motor!BE9</f>
        <v>2614700</v>
      </c>
      <c r="F137" s="70">
        <f>Motor!BF9</f>
        <v>1861400</v>
      </c>
      <c r="G137" s="70">
        <f>Motor!BG9</f>
        <v>712960</v>
      </c>
      <c r="H137" s="70">
        <f>Motor!BH9</f>
        <v>5106345</v>
      </c>
      <c r="I137" s="18" t="n"/>
      <c r="J137" s="70">
        <f>Motor!BI9</f>
        <v>1114120</v>
      </c>
      <c r="K137" s="70">
        <f>Motor!BJ9</f>
        <v>1663820</v>
      </c>
      <c r="L137" s="18" t="n"/>
      <c r="M137" s="18" t="n"/>
      <c r="N137" s="18" t="n"/>
      <c r="O137" s="18" t="n"/>
      <c r="P137" s="19" t="n"/>
      <c r="Q137" s="1" t="n"/>
    </row>
    <row r="138" ht="15" customHeight="1">
      <c r="A138" s="1" t="n"/>
      <c r="B138" s="69" t="str">
        <f>Motor!BC10</f>
        <v>07:00</v>
      </c>
      <c r="D138" s="70">
        <f>Motor!BD10</f>
        <v>6615240</v>
      </c>
      <c r="E138" s="70">
        <f>Motor!BE10</f>
        <v>9530000</v>
      </c>
      <c r="F138" s="70">
        <f>Motor!BF10</f>
        <v>4455300</v>
      </c>
      <c r="G138" s="70">
        <f>Motor!BG10</f>
        <v>6244520</v>
      </c>
      <c r="H138" s="70">
        <f>Motor!BH10</f>
        <v>8408925</v>
      </c>
      <c r="I138" s="18" t="n"/>
      <c r="J138" s="70">
        <f>Motor!BI10</f>
        <v>9118195</v>
      </c>
      <c r="K138" s="70">
        <f>Motor!BJ10</f>
        <v>3423305</v>
      </c>
      <c r="L138" s="18" t="n"/>
      <c r="M138" s="18" t="n"/>
      <c r="N138" s="18" t="n"/>
      <c r="O138" s="18" t="n"/>
      <c r="P138" s="19" t="n"/>
      <c r="Q138" s="1" t="n"/>
    </row>
    <row r="139" ht="15" customHeight="1">
      <c r="A139" s="1" t="n"/>
      <c r="B139" s="69" t="str">
        <f>Motor!BC11</f>
        <v>08:00</v>
      </c>
      <c r="D139" s="70">
        <f>Motor!BD11</f>
        <v>5837900</v>
      </c>
      <c r="E139" s="70">
        <f>Motor!BE11</f>
        <v>3926640</v>
      </c>
      <c r="F139" s="70">
        <f>Motor!BF11</f>
        <v>5628680</v>
      </c>
      <c r="G139" s="70">
        <f>Motor!BG11</f>
        <v>17055300</v>
      </c>
      <c r="H139" s="70">
        <f>Motor!BH11</f>
        <v>19051475</v>
      </c>
      <c r="I139" s="18" t="n"/>
      <c r="J139" s="70">
        <f>Motor!BI11</f>
        <v>18744080</v>
      </c>
      <c r="K139" s="70">
        <f>Motor!BJ11</f>
        <v>11852665</v>
      </c>
      <c r="L139" s="18" t="n"/>
      <c r="M139" s="18" t="n"/>
      <c r="N139" s="18" t="n"/>
      <c r="O139" s="18" t="n"/>
      <c r="P139" s="19" t="n"/>
      <c r="Q139" s="1" t="n"/>
    </row>
    <row r="140" ht="15" customHeight="1">
      <c r="A140" s="1" t="n"/>
      <c r="B140" s="69" t="str">
        <f>Motor!BC12</f>
        <v>09:00</v>
      </c>
      <c r="D140" s="70">
        <f>Motor!BD12</f>
        <v>24648480</v>
      </c>
      <c r="E140" s="70">
        <f>Motor!BE12</f>
        <v>8029860</v>
      </c>
      <c r="F140" s="70">
        <f>Motor!BF12</f>
        <v>29334020</v>
      </c>
      <c r="G140" s="70">
        <f>Motor!BG12</f>
        <v>21157860</v>
      </c>
      <c r="H140" s="70">
        <f>Motor!BH12</f>
        <v>17739255</v>
      </c>
      <c r="I140" s="18" t="n"/>
      <c r="J140" s="70">
        <f>Motor!BI12</f>
        <v>14905345</v>
      </c>
      <c r="K140" s="70">
        <f>Motor!BJ12</f>
        <v>26239235</v>
      </c>
      <c r="L140" s="18" t="n"/>
      <c r="M140" s="18" t="n"/>
      <c r="N140" s="18" t="n"/>
      <c r="O140" s="18" t="n"/>
      <c r="P140" s="19" t="n"/>
      <c r="Q140" s="1" t="n"/>
    </row>
    <row r="141" ht="15" customHeight="1">
      <c r="A141" s="1" t="n"/>
      <c r="B141" s="69" t="str">
        <f>Motor!BC13</f>
        <v>10:00</v>
      </c>
      <c r="D141" s="70">
        <f>Motor!BD13</f>
        <v>7754680</v>
      </c>
      <c r="E141" s="70">
        <f>Motor!BE13</f>
        <v>14570580</v>
      </c>
      <c r="F141" s="70">
        <f>Motor!BF13</f>
        <v>17103780</v>
      </c>
      <c r="G141" s="70">
        <f>Motor!BG13</f>
        <v>11598120</v>
      </c>
      <c r="H141" s="70">
        <f>Motor!BH13</f>
        <v>12956225</v>
      </c>
      <c r="I141" s="18" t="n"/>
      <c r="J141" s="70">
        <f>Motor!BI13</f>
        <v>14086155</v>
      </c>
      <c r="K141" s="70">
        <f>Motor!BJ13</f>
        <v>15497715</v>
      </c>
      <c r="L141" s="18" t="n"/>
      <c r="M141" s="18" t="n"/>
      <c r="N141" s="18" t="n"/>
      <c r="O141" s="18" t="n"/>
      <c r="P141" s="19" t="n"/>
      <c r="Q141" s="1" t="n"/>
    </row>
    <row r="142" ht="15" customHeight="1">
      <c r="A142" s="1" t="n"/>
      <c r="B142" s="69" t="str">
        <f>Motor!BC14</f>
        <v>11:00</v>
      </c>
      <c r="D142" s="70">
        <f>Motor!BD14</f>
        <v>11544060</v>
      </c>
      <c r="E142" s="70">
        <f>Motor!BE14</f>
        <v>11446180</v>
      </c>
      <c r="F142" s="70">
        <f>Motor!BF14</f>
        <v>12582300</v>
      </c>
      <c r="G142" s="70">
        <f>Motor!BG14</f>
        <v>16290320</v>
      </c>
      <c r="H142" s="70">
        <f>Motor!BH14</f>
        <v>8800590</v>
      </c>
      <c r="I142" s="18" t="n"/>
      <c r="J142" s="70">
        <f>Motor!BI14</f>
        <v>16041120</v>
      </c>
      <c r="K142" s="70">
        <f>Motor!BJ14</f>
        <v>8871160</v>
      </c>
      <c r="L142" s="18" t="n"/>
      <c r="M142" s="18" t="n"/>
      <c r="N142" s="18" t="n"/>
      <c r="O142" s="18" t="n"/>
      <c r="P142" s="19" t="n"/>
      <c r="Q142" s="1" t="n"/>
    </row>
    <row r="143" ht="15" customHeight="1">
      <c r="A143" s="1" t="n"/>
      <c r="B143" s="69" t="str">
        <f>Motor!BC15</f>
        <v>12:00</v>
      </c>
      <c r="D143" s="70">
        <f>Motor!BD15</f>
        <v>24491500</v>
      </c>
      <c r="E143" s="70">
        <f>Motor!BE15</f>
        <v>23652360</v>
      </c>
      <c r="F143" s="70">
        <f>Motor!BF15</f>
        <v>11017760</v>
      </c>
      <c r="G143" s="70">
        <f>Motor!BG15</f>
        <v>13000600</v>
      </c>
      <c r="H143" s="70">
        <f>Motor!BH15</f>
        <v>17687705</v>
      </c>
      <c r="I143" s="18" t="n"/>
      <c r="J143" s="70">
        <f>Motor!BI15</f>
        <v>19967620</v>
      </c>
      <c r="K143" s="70">
        <f>Motor!BJ15</f>
        <v>15097245</v>
      </c>
      <c r="L143" s="18" t="n"/>
      <c r="M143" s="18" t="n"/>
      <c r="N143" s="18" t="n"/>
      <c r="O143" s="18" t="n"/>
      <c r="P143" s="19" t="n"/>
      <c r="Q143" s="1" t="n"/>
    </row>
    <row r="144" ht="15" customHeight="1">
      <c r="A144" s="1" t="n"/>
      <c r="B144" s="69" t="str">
        <f>Motor!BC16</f>
        <v>13:00</v>
      </c>
      <c r="D144" s="70">
        <f>Motor!BD16</f>
        <v>27814740</v>
      </c>
      <c r="E144" s="70">
        <f>Motor!BE16</f>
        <v>24106540</v>
      </c>
      <c r="F144" s="70">
        <f>Motor!BF16</f>
        <v>13485440</v>
      </c>
      <c r="G144" s="70">
        <f>Motor!BG16</f>
        <v>28736140</v>
      </c>
      <c r="H144" s="70">
        <f>Motor!BH16</f>
        <v>13181520</v>
      </c>
      <c r="I144" s="18" t="n"/>
      <c r="J144" s="70">
        <f>Motor!BI16</f>
        <v>14484810</v>
      </c>
      <c r="K144" s="70">
        <f>Motor!BJ16</f>
        <v>14865780</v>
      </c>
      <c r="L144" s="18" t="n"/>
      <c r="M144" s="18" t="n"/>
      <c r="N144" s="18" t="n"/>
      <c r="O144" s="18" t="n"/>
      <c r="P144" s="19" t="n"/>
      <c r="Q144" s="1" t="n"/>
    </row>
    <row r="145" ht="15" customHeight="1">
      <c r="A145" s="1" t="n"/>
      <c r="B145" s="69" t="str">
        <f>Motor!BC17</f>
        <v>14:00</v>
      </c>
      <c r="D145" s="70">
        <f>Motor!BD17</f>
        <v>13464860</v>
      </c>
      <c r="E145" s="70">
        <f>Motor!BE17</f>
        <v>20333540</v>
      </c>
      <c r="F145" s="70">
        <f>Motor!BF17</f>
        <v>5483200</v>
      </c>
      <c r="G145" s="70">
        <f>Motor!BG17</f>
        <v>7943460</v>
      </c>
      <c r="H145" s="70">
        <f>Motor!BH17</f>
        <v>19383445</v>
      </c>
      <c r="I145" s="18" t="n"/>
      <c r="J145" s="70">
        <f>Motor!BI17</f>
        <v>23950435</v>
      </c>
      <c r="K145" s="70">
        <f>Motor!BJ17</f>
        <v>17660710</v>
      </c>
      <c r="L145" s="18" t="n"/>
      <c r="M145" s="18" t="n"/>
      <c r="N145" s="18" t="n"/>
      <c r="O145" s="18" t="n"/>
      <c r="P145" s="19" t="n"/>
      <c r="Q145" s="1" t="n"/>
    </row>
    <row r="146" ht="15" customHeight="1">
      <c r="A146" s="1" t="n"/>
      <c r="B146" s="69" t="str">
        <f>Motor!BC18</f>
        <v>15:00</v>
      </c>
      <c r="D146" s="70">
        <f>Motor!BD18</f>
        <v>16181400</v>
      </c>
      <c r="E146" s="70">
        <f>Motor!BE18</f>
        <v>17546040</v>
      </c>
      <c r="F146" s="70">
        <f>Motor!BF18</f>
        <v>8832280</v>
      </c>
      <c r="G146" s="70">
        <f>Motor!BG18</f>
        <v>19954740</v>
      </c>
      <c r="H146" s="70">
        <f>Motor!BH18</f>
        <v>23668360</v>
      </c>
      <c r="I146" s="18" t="n"/>
      <c r="J146" s="70">
        <f>Motor!BI18</f>
        <v>9698320</v>
      </c>
      <c r="K146" s="70">
        <f>Motor!BJ18</f>
        <v>14531755</v>
      </c>
      <c r="L146" s="18" t="n"/>
      <c r="M146" s="18" t="n"/>
      <c r="N146" s="18" t="n"/>
      <c r="O146" s="18" t="n"/>
      <c r="P146" s="19" t="n"/>
      <c r="Q146" s="1" t="n"/>
    </row>
    <row r="147" ht="15" customHeight="1">
      <c r="A147" s="1" t="n"/>
      <c r="B147" s="69" t="str">
        <f>Motor!BC19</f>
        <v>16:00</v>
      </c>
      <c r="D147" s="70">
        <f>Motor!BD19</f>
        <v>19769920</v>
      </c>
      <c r="E147" s="70">
        <f>Motor!BE19</f>
        <v>14978240</v>
      </c>
      <c r="F147" s="70">
        <f>Motor!BF19</f>
        <v>17505420</v>
      </c>
      <c r="G147" s="70">
        <f>Motor!BG19</f>
        <v>12631560</v>
      </c>
      <c r="H147" s="70">
        <f>Motor!BH19</f>
        <v>15287340</v>
      </c>
      <c r="I147" s="18" t="n"/>
      <c r="J147" s="70">
        <f>Motor!BI19</f>
        <v>8509535</v>
      </c>
      <c r="K147" s="70">
        <f>Motor!BJ19</f>
        <v>39338835</v>
      </c>
      <c r="L147" s="18" t="n"/>
      <c r="M147" s="18" t="n"/>
      <c r="N147" s="18" t="n"/>
      <c r="O147" s="18" t="n"/>
      <c r="P147" s="19" t="n"/>
      <c r="Q147" s="1" t="n"/>
    </row>
    <row r="148" ht="15" customHeight="1">
      <c r="A148" s="1" t="n"/>
      <c r="B148" s="69" t="str">
        <f>Motor!BC20</f>
        <v>17:00</v>
      </c>
      <c r="D148" s="70">
        <f>Motor!BD20</f>
        <v>13436800</v>
      </c>
      <c r="E148" s="70">
        <f>Motor!BE20</f>
        <v>14123220</v>
      </c>
      <c r="F148" s="70">
        <f>Motor!BF20</f>
        <v>22488960</v>
      </c>
      <c r="G148" s="70">
        <f>Motor!BG20</f>
        <v>21585140</v>
      </c>
      <c r="H148" s="70">
        <f>Motor!BH20</f>
        <v>21877755</v>
      </c>
      <c r="I148" s="18" t="n"/>
      <c r="J148" s="70">
        <f>Motor!BI20</f>
        <v>25209265</v>
      </c>
      <c r="K148" s="70">
        <f>Motor!BJ20</f>
        <v>28129210</v>
      </c>
      <c r="L148" s="18" t="n"/>
      <c r="M148" s="18" t="n"/>
      <c r="N148" s="18" t="n"/>
      <c r="O148" s="18" t="n"/>
      <c r="P148" s="19" t="n"/>
      <c r="Q148" s="1" t="n"/>
    </row>
    <row r="149" ht="15" customHeight="1">
      <c r="A149" s="1" t="n"/>
      <c r="B149" s="69" t="str">
        <f>Motor!BC21</f>
        <v>18:00</v>
      </c>
      <c r="D149" s="70">
        <f>Motor!BD21</f>
        <v>22364360</v>
      </c>
      <c r="E149" s="70">
        <f>Motor!BE21</f>
        <v>22040060</v>
      </c>
      <c r="F149" s="70">
        <f>Motor!BF21</f>
        <v>14184760</v>
      </c>
      <c r="G149" s="70">
        <f>Motor!BG21</f>
        <v>15450700</v>
      </c>
      <c r="H149" s="70">
        <f>Motor!BH21</f>
        <v>28610670</v>
      </c>
      <c r="I149" s="18" t="n"/>
      <c r="J149" s="70">
        <f>Motor!BI21</f>
        <v>23183625</v>
      </c>
      <c r="K149" s="70">
        <f>Motor!BJ21</f>
        <v>30122740</v>
      </c>
      <c r="L149" s="18" t="n"/>
      <c r="M149" s="18" t="n"/>
      <c r="N149" s="18" t="n"/>
      <c r="O149" s="18" t="n"/>
      <c r="P149" s="19" t="n"/>
      <c r="Q149" s="1" t="n"/>
    </row>
    <row r="150" ht="15" customHeight="1">
      <c r="A150" s="1" t="n"/>
      <c r="B150" s="69" t="str">
        <f>Motor!BC22</f>
        <v>19:00</v>
      </c>
      <c r="D150" s="70">
        <f>Motor!BD22</f>
        <v>25455960</v>
      </c>
      <c r="E150" s="70">
        <f>Motor!BE22</f>
        <v>20142640</v>
      </c>
      <c r="F150" s="70">
        <f>Motor!BF22</f>
        <v>20767020</v>
      </c>
      <c r="G150" s="70">
        <f>Motor!BG22</f>
        <v>14119080</v>
      </c>
      <c r="H150" s="70">
        <f>Motor!BH22</f>
        <v>18063860</v>
      </c>
      <c r="I150" s="18" t="n"/>
      <c r="J150" s="70">
        <f>Motor!BI22</f>
        <v>28659435</v>
      </c>
      <c r="K150" s="70">
        <f>Motor!BJ22</f>
        <v>15588365</v>
      </c>
      <c r="L150" s="18" t="n"/>
      <c r="M150" s="18" t="n"/>
      <c r="N150" s="18" t="n"/>
      <c r="O150" s="18" t="n"/>
      <c r="P150" s="19" t="n"/>
      <c r="Q150" s="1" t="n"/>
    </row>
    <row r="151" ht="15" customHeight="1">
      <c r="A151" s="1" t="n"/>
      <c r="B151" s="69" t="str">
        <f>Motor!BC23</f>
        <v>20:00</v>
      </c>
      <c r="D151" s="70">
        <f>Motor!BD23</f>
        <v>32504020</v>
      </c>
      <c r="E151" s="70">
        <f>Motor!BE23</f>
        <v>13605180</v>
      </c>
      <c r="F151" s="70">
        <f>Motor!BF23</f>
        <v>17596760</v>
      </c>
      <c r="G151" s="70">
        <f>Motor!BG23</f>
        <v>27806800</v>
      </c>
      <c r="H151" s="70">
        <f>Motor!BH23</f>
        <v>35800095</v>
      </c>
      <c r="I151" s="18" t="n"/>
      <c r="J151" s="70">
        <f>Motor!BI23</f>
        <v>18998725</v>
      </c>
      <c r="K151" s="70">
        <f>Motor!BJ23</f>
        <v>27288250</v>
      </c>
      <c r="L151" s="18" t="n"/>
      <c r="M151" s="18" t="n"/>
      <c r="N151" s="18" t="n"/>
      <c r="O151" s="18" t="n"/>
      <c r="P151" s="19" t="n"/>
      <c r="Q151" s="1" t="n"/>
    </row>
    <row r="152" ht="15" customHeight="1">
      <c r="A152" s="1" t="n"/>
      <c r="B152" s="69" t="str">
        <f>Motor!BC24</f>
        <v>21:00</v>
      </c>
      <c r="D152" s="70">
        <f>Motor!BD24</f>
        <v>15861180</v>
      </c>
      <c r="E152" s="70">
        <f>Motor!BE24</f>
        <v>15808940</v>
      </c>
      <c r="F152" s="70">
        <f>Motor!BF24</f>
        <v>8138300</v>
      </c>
      <c r="G152" s="70">
        <f>Motor!BG24</f>
        <v>16906300</v>
      </c>
      <c r="H152" s="70">
        <f>Motor!BH24</f>
        <v>12490000</v>
      </c>
      <c r="I152" s="18" t="n"/>
      <c r="J152" s="70">
        <f>Motor!BI24</f>
        <v>20211305</v>
      </c>
      <c r="K152" s="70">
        <f>Motor!BJ24</f>
        <v>24033665</v>
      </c>
      <c r="L152" s="18" t="n"/>
      <c r="M152" s="18" t="n"/>
      <c r="N152" s="18" t="n"/>
      <c r="O152" s="18" t="n"/>
      <c r="P152" s="19" t="n"/>
      <c r="Q152" s="1" t="n"/>
    </row>
    <row r="153" ht="15" customHeight="1">
      <c r="A153" s="1" t="n"/>
      <c r="B153" s="69" t="str">
        <f>Motor!BC25</f>
        <v>22:00</v>
      </c>
      <c r="D153" s="70">
        <f>Motor!BD25</f>
        <v>21330100</v>
      </c>
      <c r="E153" s="70">
        <f>Motor!BE25</f>
        <v>9996720</v>
      </c>
      <c r="F153" s="70">
        <f>Motor!BF25</f>
        <v>4404820</v>
      </c>
      <c r="G153" s="70">
        <f>Motor!BG25</f>
        <v>15881400</v>
      </c>
      <c r="H153" s="70">
        <f>Motor!BH25</f>
        <v>16525560</v>
      </c>
      <c r="I153" s="18" t="n"/>
      <c r="J153" s="70">
        <f>Motor!BI25</f>
        <v>14719790</v>
      </c>
      <c r="K153" s="70">
        <f>Motor!BJ25</f>
        <v>7277890</v>
      </c>
      <c r="L153" s="18" t="n"/>
      <c r="M153" s="18" t="n"/>
      <c r="N153" s="18" t="n"/>
      <c r="O153" s="18" t="n"/>
      <c r="P153" s="19" t="n"/>
      <c r="Q153" s="1" t="n"/>
    </row>
    <row r="154" ht="15" customHeight="1">
      <c r="A154" s="1" t="n"/>
      <c r="B154" s="69" t="str">
        <f>Motor!BC26</f>
        <v>23:00</v>
      </c>
      <c r="D154" s="70">
        <f>Motor!BD26</f>
        <v>6042800</v>
      </c>
      <c r="E154" s="70">
        <f>Motor!BE26</f>
        <v>617880</v>
      </c>
      <c r="F154" s="70">
        <f>Motor!BF26</f>
        <v>6211080</v>
      </c>
      <c r="G154" s="70">
        <f>Motor!BG26</f>
        <v>4108960</v>
      </c>
      <c r="H154" s="70">
        <f>Motor!BH26</f>
        <v>6298645</v>
      </c>
      <c r="I154" s="18" t="n"/>
      <c r="J154" s="70">
        <f>Motor!BI26</f>
        <v>5190200</v>
      </c>
      <c r="K154" s="70">
        <f>Motor!BJ26</f>
        <v>11527090</v>
      </c>
      <c r="L154" s="18" t="n"/>
      <c r="M154" s="18" t="n"/>
      <c r="N154" s="18" t="n"/>
      <c r="O154" s="18" t="n"/>
      <c r="P154" s="19" t="n"/>
      <c r="Q154" s="1" t="n"/>
    </row>
    <row r="155">
      <c r="A155" s="1" t="n"/>
      <c r="B155" s="20" t="n"/>
      <c r="C155" s="18" t="n"/>
      <c r="D155" s="18" t="n"/>
      <c r="E155" s="18" t="n"/>
      <c r="F155" s="18" t="n"/>
      <c r="G155" s="18" t="n"/>
      <c r="H155" s="18" t="n"/>
      <c r="I155" s="18" t="n"/>
      <c r="J155" s="18" t="n"/>
      <c r="K155" s="18" t="n"/>
      <c r="L155" s="18" t="n"/>
      <c r="M155" s="18" t="n"/>
      <c r="N155" s="18" t="n"/>
      <c r="O155" s="18" t="n"/>
      <c r="P155" s="19" t="n"/>
      <c r="Q155" s="1" t="n"/>
    </row>
    <row r="156">
      <c r="A156" s="1" t="n"/>
      <c r="B156" s="21" t="n"/>
      <c r="C156" s="22" t="n"/>
      <c r="D156" s="22" t="n"/>
      <c r="E156" s="22" t="n"/>
      <c r="F156" s="22" t="n"/>
      <c r="G156" s="22" t="n"/>
      <c r="H156" s="22" t="n"/>
      <c r="I156" s="22" t="n"/>
      <c r="J156" s="22" t="n"/>
      <c r="K156" s="22" t="n"/>
      <c r="L156" s="22" t="n"/>
      <c r="M156" s="22" t="n"/>
      <c r="N156" s="22" t="n"/>
      <c r="O156" s="22" t="n"/>
      <c r="P156" s="23" t="n"/>
      <c r="Q156" s="1" t="n"/>
    </row>
    <row r="157">
      <c r="A157" s="1" t="n"/>
      <c r="B157" s="1" t="n"/>
      <c r="C157" s="1" t="n"/>
      <c r="D157" s="1" t="n"/>
      <c r="E157" s="1" t="n"/>
      <c r="F157" s="1" t="n"/>
      <c r="G157" s="1" t="n"/>
      <c r="H157" s="1" t="n"/>
      <c r="I157" s="1" t="n"/>
      <c r="J157" s="1" t="n"/>
      <c r="K157" s="1" t="n"/>
      <c r="L157" s="1" t="n"/>
      <c r="M157" s="1" t="n"/>
      <c r="N157" s="1" t="n"/>
      <c r="O157" s="1" t="n"/>
      <c r="P157" s="1" t="n"/>
      <c r="Q157" s="1" t="n"/>
    </row>
    <row r="158">
      <c r="A158" s="1" t="n"/>
      <c r="B158" s="1" t="n"/>
      <c r="C158" s="1" t="n"/>
      <c r="D158" s="1" t="n"/>
      <c r="E158" s="1" t="n"/>
      <c r="F158" s="1" t="n"/>
      <c r="G158" s="1" t="n"/>
      <c r="H158" s="1" t="n"/>
      <c r="I158" s="1" t="n"/>
      <c r="J158" s="1" t="n"/>
      <c r="K158" s="1" t="n"/>
      <c r="L158" s="1" t="n"/>
      <c r="M158" s="1" t="n"/>
      <c r="N158" s="1" t="n"/>
      <c r="O158" s="1" t="n"/>
      <c r="P158" s="1" t="n"/>
      <c r="Q158" s="1" t="n"/>
    </row>
    <row r="159">
      <c r="A159" s="1" t="n"/>
      <c r="B159" s="1" t="n"/>
      <c r="C159" s="1" t="n"/>
      <c r="D159" s="1" t="n"/>
      <c r="E159" s="1" t="n"/>
      <c r="F159" s="1" t="n"/>
      <c r="G159" s="1" t="n"/>
      <c r="H159" s="1" t="n"/>
      <c r="I159" s="1" t="n"/>
      <c r="J159" s="1" t="n"/>
      <c r="K159" s="1" t="n"/>
      <c r="L159" s="1" t="n"/>
      <c r="M159" s="1" t="n"/>
      <c r="N159" s="1" t="n"/>
      <c r="O159" s="1" t="n"/>
      <c r="P159" s="1" t="n"/>
      <c r="Q159" s="1" t="n"/>
    </row>
    <row r="160">
      <c r="A160" s="1" t="n"/>
      <c r="B160" s="1" t="n"/>
      <c r="C160" s="1" t="n"/>
      <c r="D160" s="1" t="n"/>
      <c r="E160" s="1" t="n"/>
      <c r="F160" s="1" t="n"/>
      <c r="G160" s="1" t="n"/>
      <c r="H160" s="1" t="n"/>
      <c r="I160" s="1" t="n"/>
      <c r="J160" s="1" t="n"/>
      <c r="K160" s="1" t="n"/>
      <c r="L160" s="1" t="n"/>
      <c r="M160" s="1" t="n"/>
      <c r="N160" s="1" t="n"/>
      <c r="O160" s="1" t="n"/>
      <c r="P160" s="1" t="n"/>
      <c r="Q160" s="1" t="n"/>
    </row>
    <row r="161">
      <c r="A161" s="1" t="n"/>
      <c r="B161" s="1" t="n"/>
      <c r="C161" s="1" t="n"/>
      <c r="D161" s="1" t="n"/>
      <c r="E161" s="1" t="n"/>
      <c r="F161" s="1" t="n"/>
      <c r="G161" s="1" t="n"/>
      <c r="H161" s="1" t="n"/>
      <c r="I161" s="1" t="n"/>
      <c r="J161" s="1" t="n"/>
      <c r="K161" s="1" t="n"/>
      <c r="L161" s="1" t="n"/>
      <c r="M161" s="1" t="n"/>
      <c r="N161" s="1" t="n"/>
      <c r="O161" s="1" t="n"/>
      <c r="P161" s="1" t="n"/>
      <c r="Q161" s="1" t="n"/>
    </row>
    <row r="162">
      <c r="A162" s="1" t="n"/>
      <c r="B162" s="1" t="n"/>
      <c r="C162" s="1" t="n"/>
      <c r="D162" s="1" t="n"/>
      <c r="E162" s="1" t="n"/>
      <c r="F162" s="1" t="n"/>
      <c r="G162" s="1" t="n"/>
      <c r="H162" s="1" t="n"/>
      <c r="I162" s="1" t="n"/>
      <c r="J162" s="1" t="n"/>
      <c r="K162" s="1" t="n"/>
      <c r="L162" s="1" t="n"/>
      <c r="M162" s="1" t="n"/>
      <c r="N162" s="1" t="n"/>
      <c r="O162" s="1" t="n"/>
      <c r="P162" s="1" t="n"/>
      <c r="Q162" s="1" t="n"/>
    </row>
    <row r="163">
      <c r="A163" s="1" t="n"/>
      <c r="B163" s="1" t="n"/>
      <c r="C163" s="1" t="n"/>
      <c r="D163" s="1" t="n"/>
      <c r="E163" s="1" t="n"/>
      <c r="F163" s="1" t="n"/>
      <c r="G163" s="1" t="n"/>
      <c r="H163" s="1" t="n"/>
      <c r="I163" s="1" t="n"/>
      <c r="J163" s="1" t="n"/>
      <c r="K163" s="1" t="n"/>
      <c r="L163" s="1" t="n"/>
      <c r="M163" s="1" t="n"/>
      <c r="N163" s="1" t="n"/>
      <c r="O163" s="1" t="n"/>
      <c r="P163" s="1" t="n"/>
      <c r="Q163" s="1" t="n"/>
    </row>
    <row r="164">
      <c r="A164" s="1" t="n"/>
      <c r="B164" s="1" t="n"/>
      <c r="C164" s="1" t="n"/>
      <c r="D164" s="1" t="n"/>
      <c r="E164" s="1" t="n"/>
      <c r="F164" s="1" t="n"/>
      <c r="G164" s="1" t="n"/>
      <c r="H164" s="1" t="n"/>
      <c r="I164" s="1" t="n"/>
      <c r="J164" s="1" t="n"/>
      <c r="K164" s="1" t="n"/>
      <c r="L164" s="1" t="n"/>
      <c r="M164" s="1" t="n"/>
      <c r="N164" s="1" t="n"/>
      <c r="O164" s="1" t="n"/>
      <c r="P164" s="1" t="n"/>
      <c r="Q164" s="1" t="n"/>
    </row>
    <row r="165">
      <c r="A165" s="1" t="n"/>
      <c r="B165" s="1" t="n"/>
      <c r="C165" s="1" t="n"/>
      <c r="D165" s="1" t="n"/>
      <c r="E165" s="1" t="n"/>
      <c r="F165" s="1" t="n"/>
      <c r="G165" s="1" t="n"/>
      <c r="H165" s="1" t="n"/>
      <c r="I165" s="1" t="n"/>
      <c r="J165" s="1" t="n"/>
      <c r="K165" s="1" t="n"/>
      <c r="L165" s="1" t="n"/>
      <c r="M165" s="1" t="n"/>
      <c r="N165" s="1" t="n"/>
      <c r="O165" s="1" t="n"/>
      <c r="P165" s="1" t="n"/>
      <c r="Q165" s="1" t="n"/>
    </row>
    <row r="166">
      <c r="A166" s="1" t="n"/>
      <c r="B166" s="1" t="n"/>
      <c r="C166" s="1" t="n"/>
      <c r="D166" s="1" t="n"/>
      <c r="E166" s="1" t="n"/>
      <c r="F166" s="1" t="n"/>
      <c r="G166" s="1" t="n"/>
      <c r="H166" s="1" t="n"/>
      <c r="I166" s="1" t="n"/>
      <c r="J166" s="1" t="n"/>
      <c r="K166" s="1" t="n"/>
      <c r="L166" s="1" t="n"/>
      <c r="M166" s="1" t="n"/>
      <c r="N166" s="1" t="n"/>
      <c r="O166" s="1" t="n"/>
      <c r="P166" s="1" t="n"/>
      <c r="Q166" s="1" t="n"/>
    </row>
    <row r="167">
      <c r="A167" s="1" t="n"/>
      <c r="B167" s="1" t="n"/>
      <c r="C167" s="1" t="n"/>
      <c r="D167" s="1" t="n"/>
      <c r="E167" s="1" t="n"/>
      <c r="F167" s="1" t="n"/>
      <c r="G167" s="1" t="n"/>
      <c r="H167" s="1" t="n"/>
      <c r="I167" s="1" t="n"/>
      <c r="J167" s="1" t="n"/>
      <c r="K167" s="1" t="n"/>
      <c r="L167" s="1" t="n"/>
      <c r="M167" s="1" t="n"/>
      <c r="N167" s="1" t="n"/>
      <c r="O167" s="1" t="n"/>
      <c r="P167" s="1" t="n"/>
      <c r="Q167" s="1" t="n"/>
    </row>
    <row r="168">
      <c r="A168" s="1" t="n"/>
      <c r="B168" s="1" t="n"/>
      <c r="C168" s="1" t="n"/>
      <c r="D168" s="1" t="n"/>
      <c r="E168" s="1" t="n"/>
      <c r="F168" s="1" t="n"/>
      <c r="G168" s="1" t="n"/>
      <c r="H168" s="1" t="n"/>
      <c r="I168" s="1" t="n"/>
      <c r="J168" s="1" t="n"/>
      <c r="K168" s="1" t="n"/>
      <c r="L168" s="1" t="n"/>
      <c r="M168" s="1" t="n"/>
      <c r="N168" s="1" t="n"/>
      <c r="O168" s="1" t="n"/>
      <c r="P168" s="1" t="n"/>
      <c r="Q168" s="1" t="n"/>
    </row>
    <row r="169">
      <c r="A169" s="1" t="n"/>
      <c r="B169" s="1" t="n"/>
      <c r="C169" s="1" t="n"/>
      <c r="D169" s="1" t="n"/>
      <c r="E169" s="1" t="n"/>
      <c r="F169" s="1" t="n"/>
      <c r="G169" s="1" t="n"/>
      <c r="H169" s="1" t="n"/>
      <c r="I169" s="1" t="n"/>
      <c r="J169" s="1" t="n"/>
      <c r="K169" s="1" t="n"/>
      <c r="L169" s="1" t="n"/>
      <c r="M169" s="1" t="n"/>
      <c r="N169" s="1" t="n"/>
      <c r="O169" s="1" t="n"/>
      <c r="P169" s="1" t="n"/>
      <c r="Q169" s="1" t="n"/>
    </row>
    <row r="170">
      <c r="A170" s="1" t="n"/>
      <c r="B170" s="1" t="n"/>
      <c r="C170" s="1" t="n"/>
      <c r="D170" s="1" t="n"/>
      <c r="E170" s="1" t="n"/>
      <c r="F170" s="1" t="n"/>
      <c r="G170" s="1" t="n"/>
      <c r="H170" s="1" t="n"/>
      <c r="I170" s="1" t="n"/>
      <c r="J170" s="1" t="n"/>
      <c r="K170" s="1" t="n"/>
      <c r="L170" s="1" t="n"/>
      <c r="M170" s="1" t="n"/>
      <c r="N170" s="1" t="n"/>
      <c r="O170" s="1" t="n"/>
      <c r="P170" s="1" t="n"/>
      <c r="Q170" s="1" t="n"/>
    </row>
    <row r="171">
      <c r="A171" s="1" t="n"/>
      <c r="B171" s="1" t="n"/>
      <c r="C171" s="1" t="n"/>
      <c r="D171" s="1" t="n"/>
      <c r="E171" s="1" t="n"/>
      <c r="F171" s="1" t="n"/>
      <c r="G171" s="1" t="n"/>
      <c r="H171" s="1" t="n"/>
      <c r="I171" s="1" t="n"/>
      <c r="J171" s="1" t="n"/>
      <c r="K171" s="1" t="n"/>
      <c r="L171" s="1" t="n"/>
      <c r="M171" s="1" t="n"/>
      <c r="N171" s="1" t="n"/>
      <c r="O171" s="1" t="n"/>
      <c r="P171" s="1" t="n"/>
      <c r="Q171" s="1" t="n"/>
    </row>
    <row r="172">
      <c r="A172" s="1" t="n"/>
      <c r="B172" s="1" t="n"/>
      <c r="C172" s="1" t="n"/>
      <c r="D172" s="1" t="n"/>
      <c r="E172" s="1" t="n"/>
      <c r="F172" s="1" t="n"/>
      <c r="G172" s="1" t="n"/>
      <c r="H172" s="1" t="n"/>
      <c r="I172" s="1" t="n"/>
      <c r="J172" s="1" t="n"/>
      <c r="K172" s="1" t="n"/>
      <c r="L172" s="1" t="n"/>
      <c r="M172" s="1" t="n"/>
      <c r="N172" s="1" t="n"/>
      <c r="O172" s="1" t="n"/>
      <c r="P172" s="1" t="n"/>
      <c r="Q172" s="1" t="n"/>
    </row>
    <row r="173">
      <c r="A173" s="1" t="n"/>
      <c r="B173" s="1" t="n"/>
      <c r="C173" s="1" t="n"/>
      <c r="D173" s="1" t="n"/>
      <c r="E173" s="1" t="n"/>
      <c r="F173" s="1" t="n"/>
      <c r="G173" s="1" t="n"/>
      <c r="H173" s="1" t="n"/>
      <c r="I173" s="1" t="n"/>
      <c r="J173" s="1" t="n"/>
      <c r="K173" s="1" t="n"/>
      <c r="L173" s="1" t="n"/>
      <c r="M173" s="1" t="n"/>
      <c r="N173" s="1" t="n"/>
      <c r="O173" s="1" t="n"/>
      <c r="P173" s="1" t="n"/>
      <c r="Q173" s="1" t="n"/>
    </row>
    <row r="174">
      <c r="A174" s="1" t="n"/>
      <c r="B174" s="1" t="n"/>
      <c r="C174" s="1" t="n"/>
      <c r="D174" s="1" t="n"/>
      <c r="E174" s="1" t="n"/>
      <c r="F174" s="1" t="n"/>
      <c r="G174" s="1" t="n"/>
      <c r="H174" s="1" t="n"/>
      <c r="I174" s="1" t="n"/>
      <c r="J174" s="1" t="n"/>
      <c r="K174" s="1" t="n"/>
      <c r="L174" s="1" t="n"/>
      <c r="M174" s="1" t="n"/>
      <c r="N174" s="1" t="n"/>
      <c r="O174" s="1" t="n"/>
      <c r="P174" s="1" t="n"/>
      <c r="Q174" s="1" t="n"/>
    </row>
    <row r="175">
      <c r="A175" s="1" t="n"/>
      <c r="B175" s="1" t="n"/>
      <c r="C175" s="1" t="n"/>
      <c r="D175" s="1" t="n"/>
      <c r="E175" s="1" t="n"/>
      <c r="F175" s="1" t="n"/>
      <c r="G175" s="1" t="n"/>
      <c r="H175" s="1" t="n"/>
      <c r="I175" s="1" t="n"/>
      <c r="J175" s="1" t="n"/>
      <c r="K175" s="1" t="n"/>
      <c r="L175" s="1" t="n"/>
      <c r="M175" s="1" t="n"/>
      <c r="N175" s="1" t="n"/>
      <c r="O175" s="1" t="n"/>
      <c r="P175" s="1" t="n"/>
      <c r="Q175" s="1" t="n"/>
    </row>
    <row r="176">
      <c r="A176" s="1" t="n"/>
      <c r="B176" s="1" t="n"/>
      <c r="C176" s="1" t="n"/>
      <c r="D176" s="1" t="n"/>
      <c r="E176" s="1" t="n"/>
      <c r="F176" s="1" t="n"/>
      <c r="G176" s="1" t="n"/>
      <c r="H176" s="1" t="n"/>
      <c r="I176" s="1" t="n"/>
      <c r="J176" s="1" t="n"/>
      <c r="K176" s="1" t="n"/>
      <c r="L176" s="1" t="n"/>
      <c r="M176" s="1" t="n"/>
      <c r="N176" s="1" t="n"/>
      <c r="O176" s="1" t="n"/>
      <c r="P176" s="1" t="n"/>
      <c r="Q176" s="1" t="n"/>
    </row>
    <row r="177">
      <c r="A177" s="1" t="n"/>
      <c r="B177" s="1" t="n"/>
      <c r="C177" s="1" t="n"/>
      <c r="D177" s="1" t="n"/>
      <c r="E177" s="1" t="n"/>
      <c r="F177" s="1" t="n"/>
      <c r="G177" s="1" t="n"/>
      <c r="H177" s="1" t="n"/>
      <c r="I177" s="1" t="n"/>
      <c r="J177" s="1" t="n"/>
      <c r="K177" s="1" t="n"/>
      <c r="L177" s="1" t="n"/>
      <c r="M177" s="1" t="n"/>
      <c r="N177" s="1" t="n"/>
      <c r="O177" s="1" t="n"/>
      <c r="P177" s="1" t="n"/>
      <c r="Q177" s="1" t="n"/>
    </row>
    <row r="178">
      <c r="A178" s="1" t="n"/>
      <c r="B178" s="1" t="n"/>
      <c r="C178" s="1" t="n"/>
      <c r="D178" s="1" t="n"/>
      <c r="E178" s="1" t="n"/>
      <c r="F178" s="1" t="n"/>
      <c r="G178" s="1" t="n"/>
      <c r="H178" s="1" t="n"/>
      <c r="I178" s="1" t="n"/>
      <c r="J178" s="1" t="n"/>
      <c r="K178" s="1" t="n"/>
      <c r="L178" s="1" t="n"/>
      <c r="M178" s="1" t="n"/>
      <c r="N178" s="1" t="n"/>
      <c r="O178" s="1" t="n"/>
      <c r="P178" s="1" t="n"/>
      <c r="Q178" s="1" t="n"/>
    </row>
    <row r="179">
      <c r="A179" s="1" t="n"/>
      <c r="B179" s="1" t="n"/>
      <c r="C179" s="1" t="n"/>
      <c r="D179" s="1" t="n"/>
      <c r="E179" s="1" t="n"/>
      <c r="F179" s="1" t="n"/>
      <c r="G179" s="1" t="n"/>
      <c r="H179" s="1" t="n"/>
      <c r="I179" s="1" t="n"/>
      <c r="J179" s="1" t="n"/>
      <c r="K179" s="1" t="n"/>
      <c r="L179" s="1" t="n"/>
      <c r="M179" s="1" t="n"/>
      <c r="N179" s="1" t="n"/>
      <c r="O179" s="1" t="n"/>
      <c r="P179" s="1" t="n"/>
      <c r="Q179" s="1" t="n"/>
    </row>
    <row r="180">
      <c r="A180" s="1" t="n"/>
      <c r="B180" s="1" t="n"/>
      <c r="C180" s="1" t="n"/>
      <c r="D180" s="1" t="n"/>
      <c r="E180" s="1" t="n"/>
      <c r="F180" s="1" t="n"/>
      <c r="G180" s="1" t="n"/>
      <c r="H180" s="1" t="n"/>
      <c r="I180" s="1" t="n"/>
      <c r="J180" s="1" t="n"/>
      <c r="K180" s="1" t="n"/>
      <c r="L180" s="1" t="n"/>
      <c r="M180" s="1" t="n"/>
      <c r="N180" s="1" t="n"/>
      <c r="O180" s="1" t="n"/>
      <c r="P180" s="1" t="n"/>
      <c r="Q180" s="1" t="n"/>
    </row>
    <row r="181">
      <c r="A181" s="1" t="n"/>
      <c r="B181" s="1" t="n"/>
      <c r="C181" s="1" t="n"/>
      <c r="D181" s="1" t="n"/>
      <c r="E181" s="1" t="n"/>
      <c r="F181" s="1" t="n"/>
      <c r="G181" s="1" t="n"/>
      <c r="H181" s="1" t="n"/>
      <c r="I181" s="1" t="n"/>
      <c r="J181" s="1" t="n"/>
      <c r="K181" s="1" t="n"/>
      <c r="L181" s="1" t="n"/>
      <c r="M181" s="1" t="n"/>
      <c r="N181" s="1" t="n"/>
      <c r="O181" s="1" t="n"/>
      <c r="P181" s="1" t="n"/>
      <c r="Q181" s="1" t="n"/>
    </row>
    <row r="182">
      <c r="A182" s="1" t="n"/>
      <c r="B182" s="1" t="n"/>
      <c r="C182" s="1" t="n"/>
      <c r="D182" s="1" t="n"/>
      <c r="E182" s="1" t="n"/>
      <c r="F182" s="1" t="n"/>
      <c r="G182" s="1" t="n"/>
      <c r="H182" s="1" t="n"/>
      <c r="I182" s="1" t="n"/>
      <c r="J182" s="1" t="n"/>
      <c r="K182" s="1" t="n"/>
      <c r="L182" s="1" t="n"/>
      <c r="M182" s="1" t="n"/>
      <c r="N182" s="1" t="n"/>
      <c r="O182" s="1" t="n"/>
      <c r="P182" s="1" t="n"/>
      <c r="Q182" s="1" t="n"/>
    </row>
    <row r="183">
      <c r="A183" s="1" t="n"/>
      <c r="B183" s="1" t="n"/>
      <c r="C183" s="1" t="n"/>
      <c r="D183" s="1" t="n"/>
      <c r="E183" s="1" t="n"/>
      <c r="F183" s="1" t="n"/>
      <c r="G183" s="1" t="n"/>
      <c r="H183" s="1" t="n"/>
      <c r="I183" s="1" t="n"/>
      <c r="J183" s="1" t="n"/>
      <c r="K183" s="1" t="n"/>
      <c r="L183" s="1" t="n"/>
      <c r="M183" s="1" t="n"/>
      <c r="N183" s="1" t="n"/>
      <c r="O183" s="1" t="n"/>
      <c r="P183" s="1" t="n"/>
      <c r="Q183" s="1" t="n"/>
    </row>
    <row r="184">
      <c r="A184" s="1" t="n"/>
      <c r="B184" s="1" t="n"/>
      <c r="C184" s="1" t="n"/>
      <c r="D184" s="1" t="n"/>
      <c r="E184" s="1" t="n"/>
      <c r="F184" s="1" t="n"/>
      <c r="G184" s="1" t="n"/>
      <c r="H184" s="1" t="n"/>
      <c r="I184" s="1" t="n"/>
      <c r="J184" s="1" t="n"/>
      <c r="K184" s="1" t="n"/>
      <c r="L184" s="1" t="n"/>
      <c r="M184" s="1" t="n"/>
      <c r="N184" s="1" t="n"/>
      <c r="O184" s="1" t="n"/>
      <c r="P184" s="1" t="n"/>
      <c r="Q184" s="1" t="n"/>
    </row>
    <row r="185">
      <c r="A185" s="1" t="n"/>
      <c r="B185" s="1" t="n"/>
      <c r="C185" s="1" t="n"/>
      <c r="D185" s="1" t="n"/>
      <c r="E185" s="1" t="n"/>
      <c r="F185" s="1" t="n"/>
      <c r="G185" s="1" t="n"/>
      <c r="H185" s="1" t="n"/>
      <c r="I185" s="1" t="n"/>
      <c r="J185" s="1" t="n"/>
      <c r="K185" s="1" t="n"/>
      <c r="L185" s="1" t="n"/>
      <c r="M185" s="1" t="n"/>
      <c r="N185" s="1" t="n"/>
      <c r="O185" s="1" t="n"/>
      <c r="P185" s="1" t="n"/>
      <c r="Q185" s="1" t="n"/>
    </row>
    <row r="186">
      <c r="A186" s="1" t="n"/>
      <c r="B186" s="1" t="n"/>
      <c r="C186" s="1" t="n"/>
      <c r="D186" s="1" t="n"/>
      <c r="E186" s="1" t="n"/>
      <c r="F186" s="1" t="n"/>
      <c r="G186" s="1" t="n"/>
      <c r="H186" s="1" t="n"/>
      <c r="I186" s="1" t="n"/>
      <c r="J186" s="1" t="n"/>
      <c r="K186" s="1" t="n"/>
      <c r="L186" s="1" t="n"/>
      <c r="M186" s="1" t="n"/>
      <c r="N186" s="1" t="n"/>
      <c r="O186" s="1" t="n"/>
      <c r="P186" s="1" t="n"/>
      <c r="Q186" s="1" t="n"/>
    </row>
    <row r="187">
      <c r="A187" s="1" t="n"/>
      <c r="B187" s="1" t="n"/>
      <c r="C187" s="1" t="n"/>
      <c r="D187" s="1" t="n"/>
      <c r="E187" s="1" t="n"/>
      <c r="F187" s="1" t="n"/>
      <c r="G187" s="1" t="n"/>
      <c r="H187" s="1" t="n"/>
      <c r="I187" s="1" t="n"/>
      <c r="J187" s="1" t="n"/>
      <c r="K187" s="1" t="n"/>
      <c r="L187" s="1" t="n"/>
      <c r="M187" s="1" t="n"/>
      <c r="N187" s="1" t="n"/>
      <c r="O187" s="1" t="n"/>
      <c r="P187" s="1" t="n"/>
      <c r="Q187" s="1" t="n"/>
    </row>
    <row r="188">
      <c r="A188" s="1" t="n"/>
      <c r="B188" s="1" t="n"/>
      <c r="C188" s="1" t="n"/>
      <c r="D188" s="1" t="n"/>
      <c r="E188" s="1" t="n"/>
      <c r="F188" s="1" t="n"/>
      <c r="G188" s="1" t="n"/>
      <c r="H188" s="1" t="n"/>
      <c r="I188" s="1" t="n"/>
      <c r="J188" s="1" t="n"/>
      <c r="K188" s="1" t="n"/>
      <c r="L188" s="1" t="n"/>
      <c r="M188" s="1" t="n"/>
      <c r="N188" s="1" t="n"/>
      <c r="O188" s="1" t="n"/>
      <c r="P188" s="1" t="n"/>
      <c r="Q188" s="1" t="n"/>
    </row>
    <row r="189">
      <c r="A189" s="1" t="n"/>
      <c r="B189" s="1" t="n"/>
      <c r="C189" s="1" t="n"/>
      <c r="D189" s="1" t="n"/>
      <c r="E189" s="1" t="n"/>
      <c r="F189" s="1" t="n"/>
      <c r="G189" s="1" t="n"/>
      <c r="H189" s="1" t="n"/>
      <c r="I189" s="1" t="n"/>
      <c r="J189" s="1" t="n"/>
      <c r="K189" s="1" t="n"/>
      <c r="L189" s="1" t="n"/>
      <c r="M189" s="1" t="n"/>
      <c r="N189" s="1" t="n"/>
      <c r="O189" s="1" t="n"/>
      <c r="P189" s="1" t="n"/>
      <c r="Q189" s="1" t="n"/>
    </row>
    <row r="190">
      <c r="A190" s="1" t="n"/>
      <c r="B190" s="1" t="n"/>
      <c r="C190" s="1" t="n"/>
      <c r="D190" s="1" t="n"/>
      <c r="E190" s="1" t="n"/>
      <c r="F190" s="1" t="n"/>
      <c r="G190" s="1" t="n"/>
      <c r="H190" s="1" t="n"/>
      <c r="I190" s="1" t="n"/>
      <c r="J190" s="1" t="n"/>
      <c r="K190" s="1" t="n"/>
      <c r="L190" s="1" t="n"/>
      <c r="M190" s="1" t="n"/>
      <c r="N190" s="1" t="n"/>
      <c r="O190" s="1" t="n"/>
      <c r="P190" s="1" t="n"/>
      <c r="Q190" s="1" t="n"/>
    </row>
  </sheetData>
  <mergeCells count="66">
    <mergeCell ref="N6:P7"/>
    <mergeCell ref="B135:C135"/>
    <mergeCell ref="B153:C153"/>
    <mergeCell ref="B138:C138"/>
    <mergeCell ref="F5:H5"/>
    <mergeCell ref="B150:C150"/>
    <mergeCell ref="B134:C134"/>
    <mergeCell ref="B8:D8"/>
    <mergeCell ref="B81:C81"/>
    <mergeCell ref="M90:O90"/>
    <mergeCell ref="M93:O94"/>
    <mergeCell ref="M97:O98"/>
    <mergeCell ref="F8:H8"/>
    <mergeCell ref="N5:P5"/>
    <mergeCell ref="B141:C141"/>
    <mergeCell ref="P99:P100"/>
    <mergeCell ref="N8:P8"/>
    <mergeCell ref="B131:C131"/>
    <mergeCell ref="B149:C149"/>
    <mergeCell ref="B140:C140"/>
    <mergeCell ref="J97:L98"/>
    <mergeCell ref="B154:C154"/>
    <mergeCell ref="B77:C77"/>
    <mergeCell ref="B152:C152"/>
    <mergeCell ref="B130:C130"/>
    <mergeCell ref="F6:H7"/>
    <mergeCell ref="B151:C151"/>
    <mergeCell ref="B136:C136"/>
    <mergeCell ref="J93:L94"/>
    <mergeCell ref="P95:P96"/>
    <mergeCell ref="B145:C145"/>
    <mergeCell ref="B132:C132"/>
    <mergeCell ref="J90:L90"/>
    <mergeCell ref="B82:C82"/>
    <mergeCell ref="B148:C148"/>
    <mergeCell ref="P91:P92"/>
    <mergeCell ref="B5:D5"/>
    <mergeCell ref="J6:L7"/>
    <mergeCell ref="B78:C78"/>
    <mergeCell ref="P97:P98"/>
    <mergeCell ref="B147:C147"/>
    <mergeCell ref="B146:C146"/>
    <mergeCell ref="B137:C137"/>
    <mergeCell ref="J8:L8"/>
    <mergeCell ref="B84:C84"/>
    <mergeCell ref="P90"/>
    <mergeCell ref="J99:L100"/>
    <mergeCell ref="P93:P94"/>
    <mergeCell ref="J95:L96"/>
    <mergeCell ref="B83:C83"/>
    <mergeCell ref="M99:O100"/>
    <mergeCell ref="B143:C143"/>
    <mergeCell ref="B74:C74"/>
    <mergeCell ref="J5:L5"/>
    <mergeCell ref="J91:L92"/>
    <mergeCell ref="B6:D7"/>
    <mergeCell ref="B139:C139"/>
    <mergeCell ref="B142:C142"/>
    <mergeCell ref="B80:C80"/>
    <mergeCell ref="B133:C133"/>
    <mergeCell ref="B76:C76"/>
    <mergeCell ref="M95:O96"/>
    <mergeCell ref="B79:C79"/>
    <mergeCell ref="M91:O92"/>
    <mergeCell ref="B144:C144"/>
    <mergeCell ref="B75:C75"/>
  </mergeCells>
  <conditionalFormatting sqref="B8">
    <cfRule type="expression" priority="1" dxfId="0">
      <formula>LEFT(B8,1)="▲"</formula>
    </cfRule>
    <cfRule type="expression" priority="2" dxfId="1">
      <formula>LEFT(B8,1)="▼"</formula>
    </cfRule>
  </conditionalFormatting>
  <conditionalFormatting sqref="F8">
    <cfRule type="expression" priority="3" dxfId="0">
      <formula>LEFT(F8,1)="▲"</formula>
    </cfRule>
    <cfRule type="expression" priority="4" dxfId="1">
      <formula>LEFT(F8,1)="▼"</formula>
    </cfRule>
  </conditionalFormatting>
  <conditionalFormatting sqref="J8">
    <cfRule type="expression" priority="5" dxfId="0">
      <formula>LEFT(J8,1)="▲"</formula>
    </cfRule>
    <cfRule type="expression" priority="6" dxfId="1">
      <formula>LEFT(J8,1)="▼"</formula>
    </cfRule>
  </conditionalFormatting>
  <conditionalFormatting sqref="N8">
    <cfRule type="expression" priority="7" dxfId="0">
      <formula>LEFT(N8,1)="▲"</formula>
    </cfRule>
    <cfRule type="expression" priority="8" dxfId="1">
      <formula>LEFT(N8,1)="▼"</formula>
    </cfRule>
  </conditionalFormatting>
  <conditionalFormatting sqref="D75:J84">
    <cfRule type="colorScale" priority="9">
      <colorScale>
        <cfvo type="min"/>
        <cfvo type="percentile" val="50"/>
        <cfvo type="max"/>
        <color rgb="00EEF5FD"/>
        <color rgb="006DA7EC"/>
        <color rgb="00104281"/>
      </colorScale>
    </cfRule>
    <cfRule type="expression" priority="10" dxfId="2">
      <formula>AND(ISNUMBER(D75),D75&gt;=PERCENTILE($D$75:$J$84,0.7))</formula>
    </cfRule>
  </conditionalFormatting>
  <conditionalFormatting sqref="K75:K84">
    <cfRule type="dataBar" priority="11">
      <dataBar>
        <cfvo type="num" val="0"/>
        <cfvo type="max"/>
        <color rgb="0086B6EF"/>
      </dataBar>
    </cfRule>
  </conditionalFormatting>
  <conditionalFormatting sqref="B89 B90 C95 C96 C97 C98 C99 C100 C101 C102 C103 C104 D93 D94 D95 D96 D97 D98 D99 D100 D101 D102 D103 D104 E91 E92 E93 E94 E97 E98 E99 E100 E101 E102 F91 F92 F93 F94 F95 F96 F97 F98 F99 F100 F101 F102 F103 F104 G89 G90 G91 G92 G93 G94 G95 G96 G97 G98 G99 G100 G101 G102 H97 H98 H99 H100">
    <cfRule type="colorScale" priority="12">
      <colorScale>
        <cfvo type="min"/>
        <cfvo type="percentile" val="50"/>
        <cfvo type="max"/>
        <color rgb="00EEF5FD"/>
        <color rgb="006DA7EC"/>
        <color rgb="00104281"/>
      </colorScale>
    </cfRule>
    <cfRule type="expression" priority="13" dxfId="3">
      <formula>AND(ISNUMBER(B89),B89&gt;=PERCENTILE(Motor!$BN$3:$BN$35,0.75))</formula>
    </cfRule>
  </conditionalFormatting>
  <conditionalFormatting sqref="M91:M100">
    <cfRule type="dataBar" priority="14">
      <dataBar>
        <cfvo type="num" val="0"/>
        <cfvo type="max"/>
        <color rgb="0086B6EF"/>
      </dataBar>
    </cfRule>
  </conditionalFormatting>
  <conditionalFormatting sqref="D131:K154">
    <cfRule type="colorScale" priority="15">
      <colorScale>
        <cfvo type="min"/>
        <cfvo type="percentile" val="50"/>
        <cfvo type="max"/>
        <color rgb="00EEF5FD"/>
        <color rgb="006DA7EC"/>
        <color rgb="00104281"/>
      </colorScale>
    </cfRule>
    <cfRule type="expression" priority="16" dxfId="3">
      <formula>AND(ISNUMBER(D131),D131&gt;=PERCENTILE($D$131:$K$154,0.75))</formula>
    </cfRule>
  </conditionalFormatting>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2401"/>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18" customWidth="1" min="3" max="3"/>
    <col width="12" customWidth="1" min="4" max="4"/>
    <col width="13" customWidth="1" min="5" max="5"/>
    <col width="12" customWidth="1" min="6" max="6"/>
    <col width="12" customWidth="1" min="7" max="7"/>
    <col width="12" customWidth="1" min="8" max="8"/>
    <col width="19" customWidth="1" min="9" max="9"/>
    <col width="12" customWidth="1" min="10" max="10"/>
    <col width="12" customWidth="1" min="11" max="11"/>
  </cols>
  <sheetData>
    <row r="1">
      <c r="A1" s="71" t="inlineStr">
        <is>
          <t>ID Pedido</t>
        </is>
      </c>
      <c r="B1" s="71" t="inlineStr">
        <is>
          <t>Fecha</t>
        </is>
      </c>
      <c r="C1" s="71" t="inlineStr">
        <is>
          <t>Departamento</t>
        </is>
      </c>
      <c r="D1" s="71" t="inlineStr">
        <is>
          <t>Ciudad</t>
        </is>
      </c>
      <c r="E1" s="71" t="inlineStr">
        <is>
          <t>Categoría</t>
        </is>
      </c>
      <c r="F1" s="71" t="inlineStr">
        <is>
          <t>Canal</t>
        </is>
      </c>
      <c r="G1" s="71" t="inlineStr">
        <is>
          <t>Etapa</t>
        </is>
      </c>
      <c r="H1" s="71" t="inlineStr">
        <is>
          <t>Unidades</t>
        </is>
      </c>
      <c r="I1" s="71" t="inlineStr">
        <is>
          <t>Precio unitario</t>
        </is>
      </c>
      <c r="J1" s="71" t="inlineStr">
        <is>
          <t>Ventas</t>
        </is>
      </c>
      <c r="K1" s="71" t="inlineStr">
        <is>
          <t>Costo</t>
        </is>
      </c>
    </row>
    <row r="2">
      <c r="A2" t="n">
        <v>10619</v>
      </c>
      <c r="B2" s="72" t="n">
        <v>45383.45625</v>
      </c>
      <c r="C2" t="inlineStr">
        <is>
          <t>Bogotá D.C.</t>
        </is>
      </c>
      <c r="D2" t="inlineStr">
        <is>
          <t>Bogotá</t>
        </is>
      </c>
      <c r="E2" t="inlineStr">
        <is>
          <t>Hogar</t>
        </is>
      </c>
      <c r="F2" t="inlineStr">
        <is>
          <t>Web</t>
        </is>
      </c>
      <c r="G2" t="inlineStr">
        <is>
          <t>3. Pago</t>
        </is>
      </c>
      <c r="H2" t="n">
        <v>3</v>
      </c>
      <c r="I2" s="73" t="n">
        <v>258900</v>
      </c>
      <c r="J2" s="73" t="n">
        <v>776700</v>
      </c>
      <c r="K2" s="73" t="n">
        <v>485128</v>
      </c>
    </row>
    <row r="3">
      <c r="A3" t="n">
        <v>11465</v>
      </c>
      <c r="B3" s="72" t="n">
        <v>45383.53819444445</v>
      </c>
      <c r="C3" t="inlineStr">
        <is>
          <t>Atlántico</t>
        </is>
      </c>
      <c r="D3" t="inlineStr">
        <is>
          <t>Barranquilla</t>
        </is>
      </c>
      <c r="E3" t="inlineStr">
        <is>
          <t>Juguetes</t>
        </is>
      </c>
      <c r="F3" t="inlineStr">
        <is>
          <t>Web</t>
        </is>
      </c>
      <c r="G3" t="inlineStr">
        <is>
          <t>1. Visita</t>
        </is>
      </c>
      <c r="H3" t="n">
        <v>2</v>
      </c>
      <c r="I3" s="73" t="n">
        <v>75400</v>
      </c>
      <c r="J3" s="73" t="n">
        <v>150800</v>
      </c>
      <c r="K3" s="73" t="n">
        <v>91694</v>
      </c>
    </row>
    <row r="4">
      <c r="A4" t="n">
        <v>10495</v>
      </c>
      <c r="B4" s="72" t="n">
        <v>45383.56319444445</v>
      </c>
      <c r="C4" t="inlineStr">
        <is>
          <t>Valle del Cauca</t>
        </is>
      </c>
      <c r="D4" t="inlineStr">
        <is>
          <t>Cali</t>
        </is>
      </c>
      <c r="E4" t="inlineStr">
        <is>
          <t>Deportes</t>
        </is>
      </c>
      <c r="F4" t="inlineStr">
        <is>
          <t>Web</t>
        </is>
      </c>
      <c r="G4" t="inlineStr">
        <is>
          <t>1. Visita</t>
        </is>
      </c>
      <c r="H4" t="n">
        <v>2</v>
      </c>
      <c r="I4" s="73" t="n">
        <v>157000</v>
      </c>
      <c r="J4" s="73" t="n">
        <v>314000</v>
      </c>
      <c r="K4" s="73" t="n">
        <v>231304</v>
      </c>
    </row>
    <row r="5">
      <c r="A5" t="n">
        <v>10928</v>
      </c>
      <c r="B5" s="72" t="n">
        <v>45384.5375</v>
      </c>
      <c r="C5" t="inlineStr">
        <is>
          <t>Valle del Cauca</t>
        </is>
      </c>
      <c r="D5" t="inlineStr">
        <is>
          <t>Cali</t>
        </is>
      </c>
      <c r="E5" t="inlineStr">
        <is>
          <t>Tecnología</t>
        </is>
      </c>
      <c r="F5" t="inlineStr">
        <is>
          <t>App</t>
        </is>
      </c>
      <c r="G5" t="inlineStr">
        <is>
          <t>4. Compra</t>
        </is>
      </c>
      <c r="H5" t="n">
        <v>2</v>
      </c>
      <c r="I5" s="73" t="n">
        <v>719200</v>
      </c>
      <c r="J5" s="73" t="n">
        <v>1438400</v>
      </c>
      <c r="K5" s="73" t="n">
        <v>1052322</v>
      </c>
    </row>
    <row r="6">
      <c r="A6" t="n">
        <v>10700</v>
      </c>
      <c r="B6" s="72" t="n">
        <v>45384.54027777778</v>
      </c>
      <c r="C6" t="inlineStr">
        <is>
          <t>Nariño</t>
        </is>
      </c>
      <c r="D6" t="inlineStr">
        <is>
          <t>Pasto</t>
        </is>
      </c>
      <c r="E6" t="inlineStr">
        <is>
          <t>Deportes</t>
        </is>
      </c>
      <c r="F6" t="inlineStr">
        <is>
          <t>Web</t>
        </is>
      </c>
      <c r="G6" t="inlineStr">
        <is>
          <t>1. Visita</t>
        </is>
      </c>
      <c r="H6" t="n">
        <v>1</v>
      </c>
      <c r="I6" s="73" t="n">
        <v>136000</v>
      </c>
      <c r="J6" s="73" t="n">
        <v>136000</v>
      </c>
      <c r="K6" s="73" t="n">
        <v>94504</v>
      </c>
    </row>
    <row r="7">
      <c r="A7" t="n">
        <v>11314</v>
      </c>
      <c r="B7" s="72" t="n">
        <v>45384.61666666667</v>
      </c>
      <c r="C7" t="inlineStr">
        <is>
          <t>Valle del Cauca</t>
        </is>
      </c>
      <c r="D7" t="inlineStr">
        <is>
          <t>Cali</t>
        </is>
      </c>
      <c r="E7" t="inlineStr">
        <is>
          <t>Hogar</t>
        </is>
      </c>
      <c r="F7" t="inlineStr">
        <is>
          <t>Web</t>
        </is>
      </c>
      <c r="G7" t="inlineStr">
        <is>
          <t>2. Carrito</t>
        </is>
      </c>
      <c r="H7" t="n">
        <v>2</v>
      </c>
      <c r="I7" s="73" t="n">
        <v>238200</v>
      </c>
      <c r="J7" s="73" t="n">
        <v>476400</v>
      </c>
      <c r="K7" s="73" t="n">
        <v>340091</v>
      </c>
    </row>
    <row r="8">
      <c r="A8" t="n">
        <v>11434</v>
      </c>
      <c r="B8" s="72" t="n">
        <v>45384.75902777778</v>
      </c>
      <c r="C8" t="inlineStr">
        <is>
          <t>Valle del Cauca</t>
        </is>
      </c>
      <c r="D8" t="inlineStr">
        <is>
          <t>Cali</t>
        </is>
      </c>
      <c r="E8" t="inlineStr">
        <is>
          <t>Belleza</t>
        </is>
      </c>
      <c r="F8" t="inlineStr">
        <is>
          <t>App</t>
        </is>
      </c>
      <c r="G8" t="inlineStr">
        <is>
          <t>1. Visita</t>
        </is>
      </c>
      <c r="H8" t="n">
        <v>5</v>
      </c>
      <c r="I8" s="73" t="n">
        <v>61800</v>
      </c>
      <c r="J8" s="73" t="n">
        <v>309000</v>
      </c>
      <c r="K8" s="73" t="n">
        <v>175437</v>
      </c>
    </row>
    <row r="9">
      <c r="A9" t="n">
        <v>10419</v>
      </c>
      <c r="B9" s="72" t="n">
        <v>45385.83055555556</v>
      </c>
      <c r="C9" t="inlineStr">
        <is>
          <t>Bolívar</t>
        </is>
      </c>
      <c r="D9" t="inlineStr">
        <is>
          <t>Cartagena</t>
        </is>
      </c>
      <c r="E9" t="inlineStr">
        <is>
          <t>Deportes</t>
        </is>
      </c>
      <c r="F9" t="inlineStr">
        <is>
          <t>Web</t>
        </is>
      </c>
      <c r="G9" t="inlineStr">
        <is>
          <t>3. Pago</t>
        </is>
      </c>
      <c r="H9" t="n">
        <v>4</v>
      </c>
      <c r="I9" s="73" t="n">
        <v>206000</v>
      </c>
      <c r="J9" s="73" t="n">
        <v>824000</v>
      </c>
      <c r="K9" s="73" t="n">
        <v>568816</v>
      </c>
    </row>
    <row r="10">
      <c r="A10" t="n">
        <v>10016</v>
      </c>
      <c r="B10" s="72" t="n">
        <v>45386.37638888889</v>
      </c>
      <c r="C10" t="inlineStr">
        <is>
          <t>Valle del Cauca</t>
        </is>
      </c>
      <c r="D10" t="inlineStr">
        <is>
          <t>Cali</t>
        </is>
      </c>
      <c r="E10" t="inlineStr">
        <is>
          <t>Hogar</t>
        </is>
      </c>
      <c r="F10" t="inlineStr">
        <is>
          <t>App</t>
        </is>
      </c>
      <c r="G10" t="inlineStr">
        <is>
          <t>1. Visita</t>
        </is>
      </c>
      <c r="H10" t="n">
        <v>4</v>
      </c>
      <c r="I10" s="73" t="n">
        <v>187900</v>
      </c>
      <c r="J10" s="73" t="n">
        <v>751600</v>
      </c>
      <c r="K10" s="73" t="n">
        <v>433021</v>
      </c>
    </row>
    <row r="11">
      <c r="A11" t="n">
        <v>12082</v>
      </c>
      <c r="B11" s="72" t="n">
        <v>45386.46597222222</v>
      </c>
      <c r="C11" t="inlineStr">
        <is>
          <t>Bogotá D.C.</t>
        </is>
      </c>
      <c r="D11" t="inlineStr">
        <is>
          <t>Bogotá</t>
        </is>
      </c>
      <c r="E11" t="inlineStr">
        <is>
          <t>Hogar</t>
        </is>
      </c>
      <c r="F11" t="inlineStr">
        <is>
          <t>App</t>
        </is>
      </c>
      <c r="G11" t="inlineStr">
        <is>
          <t>1. Visita</t>
        </is>
      </c>
      <c r="H11" t="n">
        <v>4</v>
      </c>
      <c r="I11" s="73" t="n">
        <v>268600</v>
      </c>
      <c r="J11" s="73" t="n">
        <v>1074400</v>
      </c>
      <c r="K11" s="73" t="n">
        <v>752326</v>
      </c>
    </row>
    <row r="12">
      <c r="A12" t="n">
        <v>11210</v>
      </c>
      <c r="B12" s="72" t="n">
        <v>45386.47847222222</v>
      </c>
      <c r="C12" t="inlineStr">
        <is>
          <t>Bogotá D.C.</t>
        </is>
      </c>
      <c r="D12" t="inlineStr">
        <is>
          <t>Bogotá</t>
        </is>
      </c>
      <c r="E12" t="inlineStr">
        <is>
          <t>Hogar</t>
        </is>
      </c>
      <c r="F12" t="inlineStr">
        <is>
          <t>Web</t>
        </is>
      </c>
      <c r="G12" t="inlineStr">
        <is>
          <t>3. Pago</t>
        </is>
      </c>
      <c r="H12" t="n">
        <v>4</v>
      </c>
      <c r="I12" s="73" t="n">
        <v>147700</v>
      </c>
      <c r="J12" s="73" t="n">
        <v>590800</v>
      </c>
      <c r="K12" s="73" t="n">
        <v>355322</v>
      </c>
    </row>
    <row r="13">
      <c r="A13" t="n">
        <v>10299</v>
      </c>
      <c r="B13" s="72" t="n">
        <v>45386.62847222222</v>
      </c>
      <c r="C13" t="inlineStr">
        <is>
          <t>Meta</t>
        </is>
      </c>
      <c r="D13" t="inlineStr">
        <is>
          <t>Villavicencio</t>
        </is>
      </c>
      <c r="E13" t="inlineStr">
        <is>
          <t>Hogar</t>
        </is>
      </c>
      <c r="F13" t="inlineStr">
        <is>
          <t>Tienda física</t>
        </is>
      </c>
      <c r="G13" t="inlineStr">
        <is>
          <t>2. Carrito</t>
        </is>
      </c>
      <c r="H13" t="n">
        <v>5</v>
      </c>
      <c r="I13" s="73" t="n">
        <v>223100</v>
      </c>
      <c r="J13" s="73" t="n">
        <v>1115500</v>
      </c>
      <c r="K13" s="73" t="n">
        <v>665555</v>
      </c>
    </row>
    <row r="14">
      <c r="A14" t="n">
        <v>11413</v>
      </c>
      <c r="B14" s="72" t="n">
        <v>45386.77291666667</v>
      </c>
      <c r="C14" t="inlineStr">
        <is>
          <t>Antioquia</t>
        </is>
      </c>
      <c r="D14" t="inlineStr">
        <is>
          <t>Medellín</t>
        </is>
      </c>
      <c r="E14" t="inlineStr">
        <is>
          <t>Juguetes</t>
        </is>
      </c>
      <c r="F14" t="inlineStr">
        <is>
          <t>Web</t>
        </is>
      </c>
      <c r="G14" t="inlineStr">
        <is>
          <t>3. Pago</t>
        </is>
      </c>
      <c r="H14" t="n">
        <v>3</v>
      </c>
      <c r="I14" s="73" t="n">
        <v>69300</v>
      </c>
      <c r="J14" s="73" t="n">
        <v>207900</v>
      </c>
      <c r="K14" s="73" t="n">
        <v>148995</v>
      </c>
    </row>
    <row r="15">
      <c r="A15" t="n">
        <v>11719</v>
      </c>
      <c r="B15" s="72" t="n">
        <v>45386.85</v>
      </c>
      <c r="C15" t="inlineStr">
        <is>
          <t>Bogotá D.C.</t>
        </is>
      </c>
      <c r="D15" t="inlineStr">
        <is>
          <t>Bogotá</t>
        </is>
      </c>
      <c r="E15" t="inlineStr">
        <is>
          <t>Belleza</t>
        </is>
      </c>
      <c r="F15" t="inlineStr">
        <is>
          <t>Tienda física</t>
        </is>
      </c>
      <c r="G15" t="inlineStr">
        <is>
          <t>2. Carrito</t>
        </is>
      </c>
      <c r="H15" t="n">
        <v>3</v>
      </c>
      <c r="I15" s="73" t="n">
        <v>74000</v>
      </c>
      <c r="J15" s="73" t="n">
        <v>222000</v>
      </c>
      <c r="K15" s="73" t="n">
        <v>151567</v>
      </c>
    </row>
    <row r="16">
      <c r="A16" t="n">
        <v>11225</v>
      </c>
      <c r="B16" s="72" t="n">
        <v>45386.86805555555</v>
      </c>
      <c r="C16" t="inlineStr">
        <is>
          <t>Bogotá D.C.</t>
        </is>
      </c>
      <c r="D16" t="inlineStr">
        <is>
          <t>Bogotá</t>
        </is>
      </c>
      <c r="E16" t="inlineStr">
        <is>
          <t>Juguetes</t>
        </is>
      </c>
      <c r="F16" t="inlineStr">
        <is>
          <t>Web</t>
        </is>
      </c>
      <c r="G16" t="inlineStr">
        <is>
          <t>1. Visita</t>
        </is>
      </c>
      <c r="H16" t="n">
        <v>4</v>
      </c>
      <c r="I16" s="73" t="n">
        <v>97700</v>
      </c>
      <c r="J16" s="73" t="n">
        <v>390800</v>
      </c>
      <c r="K16" s="73" t="n">
        <v>270652</v>
      </c>
    </row>
    <row r="17">
      <c r="A17" t="n">
        <v>11370</v>
      </c>
      <c r="B17" s="72" t="n">
        <v>45386.91805555556</v>
      </c>
      <c r="C17" t="inlineStr">
        <is>
          <t>Bogotá D.C.</t>
        </is>
      </c>
      <c r="D17" t="inlineStr">
        <is>
          <t>Bogotá</t>
        </is>
      </c>
      <c r="E17" t="inlineStr">
        <is>
          <t>Belleza</t>
        </is>
      </c>
      <c r="F17" t="inlineStr">
        <is>
          <t>Web</t>
        </is>
      </c>
      <c r="G17" t="inlineStr">
        <is>
          <t>1. Visita</t>
        </is>
      </c>
      <c r="H17" t="n">
        <v>1</v>
      </c>
      <c r="I17" s="73" t="n">
        <v>75400</v>
      </c>
      <c r="J17" s="73" t="n">
        <v>75400</v>
      </c>
      <c r="K17" s="73" t="n">
        <v>52050</v>
      </c>
    </row>
    <row r="18">
      <c r="A18" t="n">
        <v>11691</v>
      </c>
      <c r="B18" s="72" t="n">
        <v>45387.48472222222</v>
      </c>
      <c r="C18" t="inlineStr">
        <is>
          <t>Antioquia</t>
        </is>
      </c>
      <c r="D18" t="inlineStr">
        <is>
          <t>Medellín</t>
        </is>
      </c>
      <c r="E18" t="inlineStr">
        <is>
          <t>Hogar</t>
        </is>
      </c>
      <c r="F18" t="inlineStr">
        <is>
          <t>App</t>
        </is>
      </c>
      <c r="G18" t="inlineStr">
        <is>
          <t>2. Carrito</t>
        </is>
      </c>
      <c r="H18" t="n">
        <v>1</v>
      </c>
      <c r="I18" s="73" t="n">
        <v>216000</v>
      </c>
      <c r="J18" s="73" t="n">
        <v>248400</v>
      </c>
      <c r="K18" s="73" t="n">
        <v>184998</v>
      </c>
    </row>
    <row r="19">
      <c r="A19" t="n">
        <v>10033</v>
      </c>
      <c r="B19" s="72" t="n">
        <v>45387.71458333333</v>
      </c>
      <c r="C19" t="inlineStr">
        <is>
          <t>Antioquia</t>
        </is>
      </c>
      <c r="D19" t="inlineStr">
        <is>
          <t>Medellín</t>
        </is>
      </c>
      <c r="E19" t="inlineStr">
        <is>
          <t>Tecnología</t>
        </is>
      </c>
      <c r="F19" t="inlineStr">
        <is>
          <t>Marketplace</t>
        </is>
      </c>
      <c r="G19" t="inlineStr">
        <is>
          <t>1. Visita</t>
        </is>
      </c>
      <c r="H19" t="n">
        <v>4</v>
      </c>
      <c r="I19" s="73" t="n">
        <v>1007700</v>
      </c>
      <c r="J19" s="73" t="n">
        <v>4635420</v>
      </c>
      <c r="K19" s="73" t="n">
        <v>2658307</v>
      </c>
    </row>
    <row r="20">
      <c r="A20" t="n">
        <v>10778</v>
      </c>
      <c r="B20" s="72" t="n">
        <v>45387.75277777778</v>
      </c>
      <c r="C20" t="inlineStr">
        <is>
          <t>Bogotá D.C.</t>
        </is>
      </c>
      <c r="D20" t="inlineStr">
        <is>
          <t>Bogotá</t>
        </is>
      </c>
      <c r="E20" t="inlineStr">
        <is>
          <t>Tecnología</t>
        </is>
      </c>
      <c r="F20" t="inlineStr">
        <is>
          <t>Web</t>
        </is>
      </c>
      <c r="G20" t="inlineStr">
        <is>
          <t>1. Visita</t>
        </is>
      </c>
      <c r="H20" t="n">
        <v>3</v>
      </c>
      <c r="I20" s="73" t="n">
        <v>620500</v>
      </c>
      <c r="J20" s="73" t="n">
        <v>2140725</v>
      </c>
      <c r="K20" s="73" t="n">
        <v>1574614</v>
      </c>
    </row>
    <row r="21">
      <c r="A21" t="n">
        <v>10393</v>
      </c>
      <c r="B21" s="72" t="n">
        <v>45387.76180555556</v>
      </c>
      <c r="C21" t="inlineStr">
        <is>
          <t>Atlántico</t>
        </is>
      </c>
      <c r="D21" t="inlineStr">
        <is>
          <t>Barranquilla</t>
        </is>
      </c>
      <c r="E21" t="inlineStr">
        <is>
          <t>Deportes</t>
        </is>
      </c>
      <c r="F21" t="inlineStr">
        <is>
          <t>App</t>
        </is>
      </c>
      <c r="G21" t="inlineStr">
        <is>
          <t>1. Visita</t>
        </is>
      </c>
      <c r="H21" t="n">
        <v>2</v>
      </c>
      <c r="I21" s="73" t="n">
        <v>173600</v>
      </c>
      <c r="J21" s="73" t="n">
        <v>399280</v>
      </c>
      <c r="K21" s="73" t="n">
        <v>297708</v>
      </c>
    </row>
    <row r="22">
      <c r="A22" t="n">
        <v>11378</v>
      </c>
      <c r="B22" s="72" t="n">
        <v>45388.01736111111</v>
      </c>
      <c r="C22" t="inlineStr">
        <is>
          <t>Atlántico</t>
        </is>
      </c>
      <c r="D22" t="inlineStr">
        <is>
          <t>Barranquilla</t>
        </is>
      </c>
      <c r="E22" t="inlineStr">
        <is>
          <t>Deportes</t>
        </is>
      </c>
      <c r="F22" t="inlineStr">
        <is>
          <t>Web</t>
        </is>
      </c>
      <c r="G22" t="inlineStr">
        <is>
          <t>3. Pago</t>
        </is>
      </c>
      <c r="H22" t="n">
        <v>1</v>
      </c>
      <c r="I22" s="73" t="n">
        <v>156600</v>
      </c>
      <c r="J22" s="73" t="n">
        <v>180090</v>
      </c>
      <c r="K22" s="73" t="n">
        <v>127097</v>
      </c>
    </row>
    <row r="23">
      <c r="A23" t="n">
        <v>11955</v>
      </c>
      <c r="B23" s="72" t="n">
        <v>45388.46180555555</v>
      </c>
      <c r="C23" t="inlineStr">
        <is>
          <t>Santander</t>
        </is>
      </c>
      <c r="D23" t="inlineStr">
        <is>
          <t>Bucaramanga</t>
        </is>
      </c>
      <c r="E23" t="inlineStr">
        <is>
          <t>Deportes</t>
        </is>
      </c>
      <c r="F23" t="inlineStr">
        <is>
          <t>Web</t>
        </is>
      </c>
      <c r="G23" t="inlineStr">
        <is>
          <t>1. Visita</t>
        </is>
      </c>
      <c r="H23" t="n">
        <v>5</v>
      </c>
      <c r="I23" s="73" t="n">
        <v>114200</v>
      </c>
      <c r="J23" s="73" t="n">
        <v>656650</v>
      </c>
      <c r="K23" s="73" t="n">
        <v>484043</v>
      </c>
    </row>
    <row r="24">
      <c r="A24" t="n">
        <v>11570</v>
      </c>
      <c r="B24" s="72" t="n">
        <v>45388.57222222222</v>
      </c>
      <c r="C24" t="inlineStr">
        <is>
          <t>Huila</t>
        </is>
      </c>
      <c r="D24" t="inlineStr">
        <is>
          <t>Neiva</t>
        </is>
      </c>
      <c r="E24" t="inlineStr">
        <is>
          <t>Moda</t>
        </is>
      </c>
      <c r="F24" t="inlineStr">
        <is>
          <t>Tienda física</t>
        </is>
      </c>
      <c r="G24" t="inlineStr">
        <is>
          <t>3. Pago</t>
        </is>
      </c>
      <c r="H24" t="n">
        <v>3</v>
      </c>
      <c r="I24" s="73" t="n">
        <v>94500</v>
      </c>
      <c r="J24" s="73" t="n">
        <v>326025</v>
      </c>
      <c r="K24" s="73" t="n">
        <v>216717</v>
      </c>
    </row>
    <row r="25">
      <c r="A25" t="n">
        <v>10532</v>
      </c>
      <c r="B25" s="72" t="n">
        <v>45388.62152777778</v>
      </c>
      <c r="C25" t="inlineStr">
        <is>
          <t>Antioquia</t>
        </is>
      </c>
      <c r="D25" t="inlineStr">
        <is>
          <t>Medellín</t>
        </is>
      </c>
      <c r="E25" t="inlineStr">
        <is>
          <t>Juguetes</t>
        </is>
      </c>
      <c r="F25" t="inlineStr">
        <is>
          <t>App</t>
        </is>
      </c>
      <c r="G25" t="inlineStr">
        <is>
          <t>3. Pago</t>
        </is>
      </c>
      <c r="H25" t="n">
        <v>2</v>
      </c>
      <c r="I25" s="73" t="n">
        <v>67700</v>
      </c>
      <c r="J25" s="73" t="n">
        <v>155710</v>
      </c>
      <c r="K25" s="73" t="n">
        <v>116208</v>
      </c>
    </row>
    <row r="26">
      <c r="A26" t="n">
        <v>12033</v>
      </c>
      <c r="B26" s="72" t="n">
        <v>45388.73125</v>
      </c>
      <c r="C26" t="inlineStr">
        <is>
          <t>Bogotá D.C.</t>
        </is>
      </c>
      <c r="D26" t="inlineStr">
        <is>
          <t>Bogotá</t>
        </is>
      </c>
      <c r="E26" t="inlineStr">
        <is>
          <t>Hogar</t>
        </is>
      </c>
      <c r="F26" t="inlineStr">
        <is>
          <t>Tienda física</t>
        </is>
      </c>
      <c r="G26" t="inlineStr">
        <is>
          <t>4. Compra</t>
        </is>
      </c>
      <c r="H26" t="n">
        <v>2</v>
      </c>
      <c r="I26" s="73" t="n">
        <v>248300</v>
      </c>
      <c r="J26" s="73" t="n">
        <v>571090</v>
      </c>
      <c r="K26" s="73" t="n">
        <v>326178</v>
      </c>
    </row>
    <row r="27">
      <c r="A27" t="n">
        <v>11561</v>
      </c>
      <c r="B27" s="72" t="n">
        <v>45389.38194444445</v>
      </c>
      <c r="C27" t="inlineStr">
        <is>
          <t>Bogotá D.C.</t>
        </is>
      </c>
      <c r="D27" t="inlineStr">
        <is>
          <t>Bogotá</t>
        </is>
      </c>
      <c r="E27" t="inlineStr">
        <is>
          <t>Tecnología</t>
        </is>
      </c>
      <c r="F27" t="inlineStr">
        <is>
          <t>App</t>
        </is>
      </c>
      <c r="G27" t="inlineStr">
        <is>
          <t>2. Carrito</t>
        </is>
      </c>
      <c r="H27" t="n">
        <v>5</v>
      </c>
      <c r="I27" s="73" t="n">
        <v>732300</v>
      </c>
      <c r="J27" s="73" t="n">
        <v>4210725</v>
      </c>
      <c r="K27" s="73" t="n">
        <v>3073260</v>
      </c>
    </row>
    <row r="28">
      <c r="A28" t="n">
        <v>11831</v>
      </c>
      <c r="B28" s="72" t="n">
        <v>45389.39375</v>
      </c>
      <c r="C28" t="inlineStr">
        <is>
          <t>Atlántico</t>
        </is>
      </c>
      <c r="D28" t="inlineStr">
        <is>
          <t>Barranquilla</t>
        </is>
      </c>
      <c r="E28" t="inlineStr">
        <is>
          <t>Tecnología</t>
        </is>
      </c>
      <c r="F28" t="inlineStr">
        <is>
          <t>Web</t>
        </is>
      </c>
      <c r="G28" t="inlineStr">
        <is>
          <t>1. Visita</t>
        </is>
      </c>
      <c r="H28" t="n">
        <v>1</v>
      </c>
      <c r="I28" s="73" t="n">
        <v>946000</v>
      </c>
      <c r="J28" s="73" t="n">
        <v>1087900</v>
      </c>
      <c r="K28" s="73" t="n">
        <v>618016</v>
      </c>
    </row>
    <row r="29">
      <c r="A29" t="n">
        <v>10599</v>
      </c>
      <c r="B29" s="72" t="n">
        <v>45389.47777777778</v>
      </c>
      <c r="C29" t="inlineStr">
        <is>
          <t>Bolívar</t>
        </is>
      </c>
      <c r="D29" t="inlineStr">
        <is>
          <t>Cartagena</t>
        </is>
      </c>
      <c r="E29" t="inlineStr">
        <is>
          <t>Tecnología</t>
        </is>
      </c>
      <c r="F29" t="inlineStr">
        <is>
          <t>Tienda física</t>
        </is>
      </c>
      <c r="G29" t="inlineStr">
        <is>
          <t>2. Carrito</t>
        </is>
      </c>
      <c r="H29" t="n">
        <v>2</v>
      </c>
      <c r="I29" s="73" t="n">
        <v>1008600</v>
      </c>
      <c r="J29" s="73" t="n">
        <v>2319780</v>
      </c>
      <c r="K29" s="73" t="n">
        <v>1738088</v>
      </c>
    </row>
    <row r="30">
      <c r="A30" t="n">
        <v>10648</v>
      </c>
      <c r="B30" s="72" t="n">
        <v>45389.67013888889</v>
      </c>
      <c r="C30" t="inlineStr">
        <is>
          <t>Risaralda</t>
        </is>
      </c>
      <c r="D30" t="inlineStr">
        <is>
          <t>Pereira</t>
        </is>
      </c>
      <c r="E30" t="inlineStr">
        <is>
          <t>Belleza</t>
        </is>
      </c>
      <c r="F30" t="inlineStr">
        <is>
          <t>App</t>
        </is>
      </c>
      <c r="G30" t="inlineStr">
        <is>
          <t>1. Visita</t>
        </is>
      </c>
      <c r="H30" t="n">
        <v>2</v>
      </c>
      <c r="I30" s="73" t="n">
        <v>80400</v>
      </c>
      <c r="J30" s="73" t="n">
        <v>184920</v>
      </c>
      <c r="K30" s="73" t="n">
        <v>126010</v>
      </c>
    </row>
    <row r="31">
      <c r="A31" t="n">
        <v>11992</v>
      </c>
      <c r="B31" s="72" t="n">
        <v>45389.78194444445</v>
      </c>
      <c r="C31" t="inlineStr">
        <is>
          <t>Valle del Cauca</t>
        </is>
      </c>
      <c r="D31" t="inlineStr">
        <is>
          <t>Cali</t>
        </is>
      </c>
      <c r="E31" t="inlineStr">
        <is>
          <t>Belleza</t>
        </is>
      </c>
      <c r="F31" t="inlineStr">
        <is>
          <t>Tienda física</t>
        </is>
      </c>
      <c r="G31" t="inlineStr">
        <is>
          <t>1. Visita</t>
        </is>
      </c>
      <c r="H31" t="n">
        <v>4</v>
      </c>
      <c r="I31" s="73" t="n">
        <v>71200</v>
      </c>
      <c r="J31" s="73" t="n">
        <v>327520</v>
      </c>
      <c r="K31" s="73" t="n">
        <v>240860</v>
      </c>
    </row>
    <row r="32">
      <c r="A32" t="n">
        <v>10523</v>
      </c>
      <c r="B32" s="72" t="n">
        <v>45390.51180555556</v>
      </c>
      <c r="C32" t="inlineStr">
        <is>
          <t>Bogotá D.C.</t>
        </is>
      </c>
      <c r="D32" t="inlineStr">
        <is>
          <t>Bogotá</t>
        </is>
      </c>
      <c r="E32" t="inlineStr">
        <is>
          <t>Tecnología</t>
        </is>
      </c>
      <c r="F32" t="inlineStr">
        <is>
          <t>Marketplace</t>
        </is>
      </c>
      <c r="G32" t="inlineStr">
        <is>
          <t>1. Visita</t>
        </is>
      </c>
      <c r="H32" t="n">
        <v>4</v>
      </c>
      <c r="I32" s="73" t="n">
        <v>630800</v>
      </c>
      <c r="J32" s="73" t="n">
        <v>2523200</v>
      </c>
      <c r="K32" s="73" t="n">
        <v>1699884</v>
      </c>
    </row>
    <row r="33">
      <c r="A33" t="n">
        <v>10454</v>
      </c>
      <c r="B33" s="72" t="n">
        <v>45390.51597222222</v>
      </c>
      <c r="C33" t="inlineStr">
        <is>
          <t>Valle del Cauca</t>
        </is>
      </c>
      <c r="D33" t="inlineStr">
        <is>
          <t>Cali</t>
        </is>
      </c>
      <c r="E33" t="inlineStr">
        <is>
          <t>Hogar</t>
        </is>
      </c>
      <c r="F33" t="inlineStr">
        <is>
          <t>App</t>
        </is>
      </c>
      <c r="G33" t="inlineStr">
        <is>
          <t>3. Pago</t>
        </is>
      </c>
      <c r="H33" t="n">
        <v>2</v>
      </c>
      <c r="I33" s="73" t="n">
        <v>271400</v>
      </c>
      <c r="J33" s="73" t="n">
        <v>542800</v>
      </c>
      <c r="K33" s="73" t="n">
        <v>310336</v>
      </c>
    </row>
    <row r="34">
      <c r="A34" t="n">
        <v>12105</v>
      </c>
      <c r="B34" s="72" t="n">
        <v>45390.52916666667</v>
      </c>
      <c r="C34" t="inlineStr">
        <is>
          <t>Atlántico</t>
        </is>
      </c>
      <c r="D34" t="inlineStr">
        <is>
          <t>Barranquilla</t>
        </is>
      </c>
      <c r="E34" t="inlineStr">
        <is>
          <t>Belleza</t>
        </is>
      </c>
      <c r="F34" t="inlineStr">
        <is>
          <t>Tienda física</t>
        </is>
      </c>
      <c r="G34" t="inlineStr">
        <is>
          <t>1. Visita</t>
        </is>
      </c>
      <c r="H34" t="n">
        <v>1</v>
      </c>
      <c r="I34" s="73" t="n">
        <v>66500</v>
      </c>
      <c r="J34" s="73" t="n">
        <v>66500</v>
      </c>
      <c r="K34" s="73" t="n">
        <v>40983</v>
      </c>
    </row>
    <row r="35">
      <c r="A35" t="n">
        <v>10005</v>
      </c>
      <c r="B35" s="72" t="n">
        <v>45390.87777777778</v>
      </c>
      <c r="C35" t="inlineStr">
        <is>
          <t>Bogotá D.C.</t>
        </is>
      </c>
      <c r="D35" t="inlineStr">
        <is>
          <t>Bogotá</t>
        </is>
      </c>
      <c r="E35" t="inlineStr">
        <is>
          <t>Hogar</t>
        </is>
      </c>
      <c r="F35" t="inlineStr">
        <is>
          <t>Web</t>
        </is>
      </c>
      <c r="G35" t="inlineStr">
        <is>
          <t>4. Compra</t>
        </is>
      </c>
      <c r="H35" t="n">
        <v>1</v>
      </c>
      <c r="I35" s="73" t="n">
        <v>231800</v>
      </c>
      <c r="J35" s="73" t="n">
        <v>231800</v>
      </c>
      <c r="K35" s="73" t="n">
        <v>137557</v>
      </c>
    </row>
    <row r="36">
      <c r="A36" t="n">
        <v>10991</v>
      </c>
      <c r="B36" s="72" t="n">
        <v>45390.88611111111</v>
      </c>
      <c r="C36" t="inlineStr">
        <is>
          <t>Antioquia</t>
        </is>
      </c>
      <c r="D36" t="inlineStr">
        <is>
          <t>Medellín</t>
        </is>
      </c>
      <c r="E36" t="inlineStr">
        <is>
          <t>Hogar</t>
        </is>
      </c>
      <c r="F36" t="inlineStr">
        <is>
          <t>App</t>
        </is>
      </c>
      <c r="G36" t="inlineStr">
        <is>
          <t>1. Visita</t>
        </is>
      </c>
      <c r="H36" t="n">
        <v>1</v>
      </c>
      <c r="I36" s="73" t="n">
        <v>252800</v>
      </c>
      <c r="J36" s="73" t="n">
        <v>252800</v>
      </c>
      <c r="K36" s="73" t="n">
        <v>186463</v>
      </c>
    </row>
    <row r="37">
      <c r="A37" t="n">
        <v>10091</v>
      </c>
      <c r="B37" s="72" t="n">
        <v>45391.55069444444</v>
      </c>
      <c r="C37" t="inlineStr">
        <is>
          <t>Antioquia</t>
        </is>
      </c>
      <c r="D37" t="inlineStr">
        <is>
          <t>Medellín</t>
        </is>
      </c>
      <c r="E37" t="inlineStr">
        <is>
          <t>Tecnología</t>
        </is>
      </c>
      <c r="F37" t="inlineStr">
        <is>
          <t>Web</t>
        </is>
      </c>
      <c r="G37" t="inlineStr">
        <is>
          <t>1. Visita</t>
        </is>
      </c>
      <c r="H37" t="n">
        <v>4</v>
      </c>
      <c r="I37" s="73" t="n">
        <v>965700</v>
      </c>
      <c r="J37" s="73" t="n">
        <v>3862800</v>
      </c>
      <c r="K37" s="73" t="n">
        <v>2718457</v>
      </c>
    </row>
    <row r="38">
      <c r="A38" t="n">
        <v>10426</v>
      </c>
      <c r="B38" s="72" t="n">
        <v>45391.68402777778</v>
      </c>
      <c r="C38" t="inlineStr">
        <is>
          <t>Bogotá D.C.</t>
        </is>
      </c>
      <c r="D38" t="inlineStr">
        <is>
          <t>Bogotá</t>
        </is>
      </c>
      <c r="E38" t="inlineStr">
        <is>
          <t>Hogar</t>
        </is>
      </c>
      <c r="F38" t="inlineStr">
        <is>
          <t>Web</t>
        </is>
      </c>
      <c r="G38" t="inlineStr">
        <is>
          <t>2. Carrito</t>
        </is>
      </c>
      <c r="H38" t="n">
        <v>5</v>
      </c>
      <c r="I38" s="73" t="n">
        <v>266800</v>
      </c>
      <c r="J38" s="73" t="n">
        <v>1334000</v>
      </c>
      <c r="K38" s="73" t="n">
        <v>847794</v>
      </c>
    </row>
    <row r="39">
      <c r="A39" t="n">
        <v>11422</v>
      </c>
      <c r="B39" s="72" t="n">
        <v>45391.72083333333</v>
      </c>
      <c r="C39" t="inlineStr">
        <is>
          <t>Valle del Cauca</t>
        </is>
      </c>
      <c r="D39" t="inlineStr">
        <is>
          <t>Cali</t>
        </is>
      </c>
      <c r="E39" t="inlineStr">
        <is>
          <t>Deportes</t>
        </is>
      </c>
      <c r="F39" t="inlineStr">
        <is>
          <t>Web</t>
        </is>
      </c>
      <c r="G39" t="inlineStr">
        <is>
          <t>1. Visita</t>
        </is>
      </c>
      <c r="H39" t="n">
        <v>4</v>
      </c>
      <c r="I39" s="73" t="n">
        <v>167400</v>
      </c>
      <c r="J39" s="73" t="n">
        <v>669600</v>
      </c>
      <c r="K39" s="73" t="n">
        <v>387718</v>
      </c>
    </row>
    <row r="40">
      <c r="A40" t="n">
        <v>12138</v>
      </c>
      <c r="B40" s="72" t="n">
        <v>45391.80763888889</v>
      </c>
      <c r="C40" t="inlineStr">
        <is>
          <t>Santander</t>
        </is>
      </c>
      <c r="D40" t="inlineStr">
        <is>
          <t>Bucaramanga</t>
        </is>
      </c>
      <c r="E40" t="inlineStr">
        <is>
          <t>Tecnología</t>
        </is>
      </c>
      <c r="F40" t="inlineStr">
        <is>
          <t>App</t>
        </is>
      </c>
      <c r="G40" t="inlineStr">
        <is>
          <t>1. Visita</t>
        </is>
      </c>
      <c r="H40" t="n">
        <v>5</v>
      </c>
      <c r="I40" s="73" t="n">
        <v>923700</v>
      </c>
      <c r="J40" s="73" t="n">
        <v>4618500</v>
      </c>
      <c r="K40" s="73" t="n">
        <v>3459982</v>
      </c>
    </row>
    <row r="41">
      <c r="A41" t="n">
        <v>10243</v>
      </c>
      <c r="B41" s="72" t="n">
        <v>45392.65763888889</v>
      </c>
      <c r="C41" t="inlineStr">
        <is>
          <t>Bogotá D.C.</t>
        </is>
      </c>
      <c r="D41" t="inlineStr">
        <is>
          <t>Bogotá</t>
        </is>
      </c>
      <c r="E41" t="inlineStr">
        <is>
          <t>Hogar</t>
        </is>
      </c>
      <c r="F41" t="inlineStr">
        <is>
          <t>App</t>
        </is>
      </c>
      <c r="G41" t="inlineStr">
        <is>
          <t>3. Pago</t>
        </is>
      </c>
      <c r="H41" t="n">
        <v>1</v>
      </c>
      <c r="I41" s="73" t="n">
        <v>234200</v>
      </c>
      <c r="J41" s="73" t="n">
        <v>234200</v>
      </c>
      <c r="K41" s="73" t="n">
        <v>146759</v>
      </c>
    </row>
    <row r="42">
      <c r="A42" t="n">
        <v>10008</v>
      </c>
      <c r="B42" s="72" t="n">
        <v>45393.5125</v>
      </c>
      <c r="C42" t="inlineStr">
        <is>
          <t>Antioquia</t>
        </is>
      </c>
      <c r="D42" t="inlineStr">
        <is>
          <t>Medellín</t>
        </is>
      </c>
      <c r="E42" t="inlineStr">
        <is>
          <t>Belleza</t>
        </is>
      </c>
      <c r="F42" t="inlineStr">
        <is>
          <t>Tienda física</t>
        </is>
      </c>
      <c r="G42" t="inlineStr">
        <is>
          <t>2. Carrito</t>
        </is>
      </c>
      <c r="H42" t="n">
        <v>1</v>
      </c>
      <c r="I42" s="73" t="n">
        <v>50000</v>
      </c>
      <c r="J42" s="73" t="n">
        <v>50000</v>
      </c>
      <c r="K42" s="73" t="n">
        <v>28772</v>
      </c>
    </row>
    <row r="43">
      <c r="A43" t="n">
        <v>12398</v>
      </c>
      <c r="B43" s="72" t="n">
        <v>45394.35555555556</v>
      </c>
      <c r="C43" t="inlineStr">
        <is>
          <t>Antioquia</t>
        </is>
      </c>
      <c r="D43" t="inlineStr">
        <is>
          <t>Medellín</t>
        </is>
      </c>
      <c r="E43" t="inlineStr">
        <is>
          <t>Juguetes</t>
        </is>
      </c>
      <c r="F43" t="inlineStr">
        <is>
          <t>Web</t>
        </is>
      </c>
      <c r="G43" t="inlineStr">
        <is>
          <t>2. Carrito</t>
        </is>
      </c>
      <c r="H43" t="n">
        <v>1</v>
      </c>
      <c r="I43" s="73" t="n">
        <v>115700</v>
      </c>
      <c r="J43" s="73" t="n">
        <v>133055</v>
      </c>
      <c r="K43" s="73" t="n">
        <v>84731</v>
      </c>
    </row>
    <row r="44">
      <c r="A44" t="n">
        <v>11212</v>
      </c>
      <c r="B44" s="72" t="n">
        <v>45394.39791666667</v>
      </c>
      <c r="C44" t="inlineStr">
        <is>
          <t>Bogotá D.C.</t>
        </is>
      </c>
      <c r="D44" t="inlineStr">
        <is>
          <t>Bogotá</t>
        </is>
      </c>
      <c r="E44" t="inlineStr">
        <is>
          <t>Hogar</t>
        </is>
      </c>
      <c r="F44" t="inlineStr">
        <is>
          <t>Web</t>
        </is>
      </c>
      <c r="G44" t="inlineStr">
        <is>
          <t>2. Carrito</t>
        </is>
      </c>
      <c r="H44" t="n">
        <v>2</v>
      </c>
      <c r="I44" s="73" t="n">
        <v>179400</v>
      </c>
      <c r="J44" s="73" t="n">
        <v>412620</v>
      </c>
      <c r="K44" s="73" t="n">
        <v>280928</v>
      </c>
    </row>
    <row r="45">
      <c r="A45" t="n">
        <v>11525</v>
      </c>
      <c r="B45" s="72" t="n">
        <v>45394.77708333333</v>
      </c>
      <c r="C45" t="inlineStr">
        <is>
          <t>Bolívar</t>
        </is>
      </c>
      <c r="D45" t="inlineStr">
        <is>
          <t>Cartagena</t>
        </is>
      </c>
      <c r="E45" t="inlineStr">
        <is>
          <t>Moda</t>
        </is>
      </c>
      <c r="F45" t="inlineStr">
        <is>
          <t>Web</t>
        </is>
      </c>
      <c r="G45" t="inlineStr">
        <is>
          <t>1. Visita</t>
        </is>
      </c>
      <c r="H45" t="n">
        <v>3</v>
      </c>
      <c r="I45" s="73" t="n">
        <v>100900</v>
      </c>
      <c r="J45" s="73" t="n">
        <v>348105</v>
      </c>
      <c r="K45" s="73" t="n">
        <v>229073</v>
      </c>
    </row>
    <row r="46">
      <c r="A46" t="n">
        <v>11747</v>
      </c>
      <c r="B46" s="72" t="n">
        <v>45394.82777777778</v>
      </c>
      <c r="C46" t="inlineStr">
        <is>
          <t>Bogotá D.C.</t>
        </is>
      </c>
      <c r="D46" t="inlineStr">
        <is>
          <t>Bogotá</t>
        </is>
      </c>
      <c r="E46" t="inlineStr">
        <is>
          <t>Hogar</t>
        </is>
      </c>
      <c r="F46" t="inlineStr">
        <is>
          <t>App</t>
        </is>
      </c>
      <c r="G46" t="inlineStr">
        <is>
          <t>1. Visita</t>
        </is>
      </c>
      <c r="H46" t="n">
        <v>5</v>
      </c>
      <c r="I46" s="73" t="n">
        <v>236700</v>
      </c>
      <c r="J46" s="73" t="n">
        <v>1361025</v>
      </c>
      <c r="K46" s="73" t="n">
        <v>815342</v>
      </c>
    </row>
    <row r="47">
      <c r="A47" t="n">
        <v>10463</v>
      </c>
      <c r="B47" s="72" t="n">
        <v>45395.55</v>
      </c>
      <c r="C47" t="inlineStr">
        <is>
          <t>Antioquia</t>
        </is>
      </c>
      <c r="D47" t="inlineStr">
        <is>
          <t>Medellín</t>
        </is>
      </c>
      <c r="E47" t="inlineStr">
        <is>
          <t>Deportes</t>
        </is>
      </c>
      <c r="F47" t="inlineStr">
        <is>
          <t>Web</t>
        </is>
      </c>
      <c r="G47" t="inlineStr">
        <is>
          <t>1. Visita</t>
        </is>
      </c>
      <c r="H47" t="n">
        <v>2</v>
      </c>
      <c r="I47" s="73" t="n">
        <v>145400</v>
      </c>
      <c r="J47" s="73" t="n">
        <v>334420</v>
      </c>
      <c r="K47" s="73" t="n">
        <v>191940</v>
      </c>
    </row>
    <row r="48">
      <c r="A48" t="n">
        <v>10077</v>
      </c>
      <c r="B48" s="72" t="n">
        <v>45395.63402777778</v>
      </c>
      <c r="C48" t="inlineStr">
        <is>
          <t>Atlántico</t>
        </is>
      </c>
      <c r="D48" t="inlineStr">
        <is>
          <t>Barranquilla</t>
        </is>
      </c>
      <c r="E48" t="inlineStr">
        <is>
          <t>Deportes</t>
        </is>
      </c>
      <c r="F48" t="inlineStr">
        <is>
          <t>Web</t>
        </is>
      </c>
      <c r="G48" t="inlineStr">
        <is>
          <t>1. Visita</t>
        </is>
      </c>
      <c r="H48" t="n">
        <v>2</v>
      </c>
      <c r="I48" s="73" t="n">
        <v>128100</v>
      </c>
      <c r="J48" s="73" t="n">
        <v>294630</v>
      </c>
      <c r="K48" s="73" t="n">
        <v>172112</v>
      </c>
    </row>
    <row r="49">
      <c r="A49" t="n">
        <v>10770</v>
      </c>
      <c r="B49" s="72" t="n">
        <v>45395.64166666667</v>
      </c>
      <c r="C49" t="inlineStr">
        <is>
          <t>Bogotá D.C.</t>
        </is>
      </c>
      <c r="D49" t="inlineStr">
        <is>
          <t>Bogotá</t>
        </is>
      </c>
      <c r="E49" t="inlineStr">
        <is>
          <t>Juguetes</t>
        </is>
      </c>
      <c r="F49" t="inlineStr">
        <is>
          <t>Marketplace</t>
        </is>
      </c>
      <c r="G49" t="inlineStr">
        <is>
          <t>1. Visita</t>
        </is>
      </c>
      <c r="H49" t="n">
        <v>3</v>
      </c>
      <c r="I49" s="73" t="n">
        <v>110100</v>
      </c>
      <c r="J49" s="73" t="n">
        <v>379845</v>
      </c>
      <c r="K49" s="73" t="n">
        <v>269856</v>
      </c>
    </row>
    <row r="50">
      <c r="A50" t="n">
        <v>11885</v>
      </c>
      <c r="B50" s="72" t="n">
        <v>45395.75555555556</v>
      </c>
      <c r="C50" t="inlineStr">
        <is>
          <t>Bogotá D.C.</t>
        </is>
      </c>
      <c r="D50" t="inlineStr">
        <is>
          <t>Bogotá</t>
        </is>
      </c>
      <c r="E50" t="inlineStr">
        <is>
          <t>Belleza</t>
        </is>
      </c>
      <c r="F50" t="inlineStr">
        <is>
          <t>Tienda física</t>
        </is>
      </c>
      <c r="G50" t="inlineStr">
        <is>
          <t>4. Compra</t>
        </is>
      </c>
      <c r="H50" t="n">
        <v>1</v>
      </c>
      <c r="I50" s="73" t="n">
        <v>87000</v>
      </c>
      <c r="J50" s="73" t="n">
        <v>100050</v>
      </c>
      <c r="K50" s="73" t="n">
        <v>63244</v>
      </c>
    </row>
    <row r="51">
      <c r="A51" t="n">
        <v>12334</v>
      </c>
      <c r="B51" s="72" t="n">
        <v>45395.80763888889</v>
      </c>
      <c r="C51" t="inlineStr">
        <is>
          <t>Bogotá D.C.</t>
        </is>
      </c>
      <c r="D51" t="inlineStr">
        <is>
          <t>Bogotá</t>
        </is>
      </c>
      <c r="E51" t="inlineStr">
        <is>
          <t>Tecnología</t>
        </is>
      </c>
      <c r="F51" t="inlineStr">
        <is>
          <t>Tienda física</t>
        </is>
      </c>
      <c r="G51" t="inlineStr">
        <is>
          <t>4. Compra</t>
        </is>
      </c>
      <c r="H51" t="n">
        <v>3</v>
      </c>
      <c r="I51" s="73" t="n">
        <v>959400</v>
      </c>
      <c r="J51" s="73" t="n">
        <v>3309930</v>
      </c>
      <c r="K51" s="73" t="n">
        <v>1999824</v>
      </c>
    </row>
    <row r="52">
      <c r="A52" t="n">
        <v>11005</v>
      </c>
      <c r="B52" s="72" t="n">
        <v>45395.81111111111</v>
      </c>
      <c r="C52" t="inlineStr">
        <is>
          <t>Risaralda</t>
        </is>
      </c>
      <c r="D52" t="inlineStr">
        <is>
          <t>Pereira</t>
        </is>
      </c>
      <c r="E52" t="inlineStr">
        <is>
          <t>Tecnología</t>
        </is>
      </c>
      <c r="F52" t="inlineStr">
        <is>
          <t>Tienda física</t>
        </is>
      </c>
      <c r="G52" t="inlineStr">
        <is>
          <t>1. Visita</t>
        </is>
      </c>
      <c r="H52" t="n">
        <v>5</v>
      </c>
      <c r="I52" s="73" t="n">
        <v>621400</v>
      </c>
      <c r="J52" s="73" t="n">
        <v>3573050</v>
      </c>
      <c r="K52" s="73" t="n">
        <v>2358882</v>
      </c>
    </row>
    <row r="53">
      <c r="A53" t="n">
        <v>12206</v>
      </c>
      <c r="B53" s="72" t="n">
        <v>45395.94166666667</v>
      </c>
      <c r="C53" t="inlineStr">
        <is>
          <t>Bogotá D.C.</t>
        </is>
      </c>
      <c r="D53" t="inlineStr">
        <is>
          <t>Bogotá</t>
        </is>
      </c>
      <c r="E53" t="inlineStr">
        <is>
          <t>Tecnología</t>
        </is>
      </c>
      <c r="F53" t="inlineStr">
        <is>
          <t>Tienda física</t>
        </is>
      </c>
      <c r="G53" t="inlineStr">
        <is>
          <t>2. Carrito</t>
        </is>
      </c>
      <c r="H53" t="n">
        <v>2</v>
      </c>
      <c r="I53" s="73" t="n">
        <v>934900</v>
      </c>
      <c r="J53" s="73" t="n">
        <v>2150270</v>
      </c>
      <c r="K53" s="73" t="n">
        <v>1528689</v>
      </c>
    </row>
    <row r="54">
      <c r="A54" t="n">
        <v>10511</v>
      </c>
      <c r="B54" s="72" t="n">
        <v>45396.45138888889</v>
      </c>
      <c r="C54" t="inlineStr">
        <is>
          <t>Antioquia</t>
        </is>
      </c>
      <c r="D54" t="inlineStr">
        <is>
          <t>Medellín</t>
        </is>
      </c>
      <c r="E54" t="inlineStr">
        <is>
          <t>Tecnología</t>
        </is>
      </c>
      <c r="F54" t="inlineStr">
        <is>
          <t>App</t>
        </is>
      </c>
      <c r="G54" t="inlineStr">
        <is>
          <t>2. Carrito</t>
        </is>
      </c>
      <c r="H54" t="n">
        <v>5</v>
      </c>
      <c r="I54" s="73" t="n">
        <v>893600</v>
      </c>
      <c r="J54" s="73" t="n">
        <v>5138200</v>
      </c>
      <c r="K54" s="73" t="n">
        <v>3266027</v>
      </c>
    </row>
    <row r="55">
      <c r="A55" t="n">
        <v>11144</v>
      </c>
      <c r="B55" s="72" t="n">
        <v>45396.53611111111</v>
      </c>
      <c r="C55" t="inlineStr">
        <is>
          <t>Bogotá D.C.</t>
        </is>
      </c>
      <c r="D55" t="inlineStr">
        <is>
          <t>Bogotá</t>
        </is>
      </c>
      <c r="E55" t="inlineStr">
        <is>
          <t>Deportes</t>
        </is>
      </c>
      <c r="F55" t="inlineStr">
        <is>
          <t>App</t>
        </is>
      </c>
      <c r="G55" t="inlineStr">
        <is>
          <t>2. Carrito</t>
        </is>
      </c>
      <c r="H55" t="n">
        <v>1</v>
      </c>
      <c r="I55" s="73" t="n">
        <v>144400</v>
      </c>
      <c r="J55" s="73" t="n">
        <v>166060</v>
      </c>
      <c r="K55" s="73" t="n">
        <v>96300</v>
      </c>
    </row>
    <row r="56">
      <c r="A56" t="n">
        <v>10237</v>
      </c>
      <c r="B56" s="72" t="n">
        <v>45396.76597222222</v>
      </c>
      <c r="C56" t="inlineStr">
        <is>
          <t>Bogotá D.C.</t>
        </is>
      </c>
      <c r="D56" t="inlineStr">
        <is>
          <t>Bogotá</t>
        </is>
      </c>
      <c r="E56" t="inlineStr">
        <is>
          <t>Deportes</t>
        </is>
      </c>
      <c r="F56" t="inlineStr">
        <is>
          <t>Web</t>
        </is>
      </c>
      <c r="G56" t="inlineStr">
        <is>
          <t>2. Carrito</t>
        </is>
      </c>
      <c r="H56" t="n">
        <v>4</v>
      </c>
      <c r="I56" s="73" t="n">
        <v>155700</v>
      </c>
      <c r="J56" s="73" t="n">
        <v>716220</v>
      </c>
      <c r="K56" s="73" t="n">
        <v>480514</v>
      </c>
    </row>
    <row r="57">
      <c r="A57" t="n">
        <v>11280</v>
      </c>
      <c r="B57" s="72" t="n">
        <v>45396.81527777778</v>
      </c>
      <c r="C57" t="inlineStr">
        <is>
          <t>Nariño</t>
        </is>
      </c>
      <c r="D57" t="inlineStr">
        <is>
          <t>Pasto</t>
        </is>
      </c>
      <c r="E57" t="inlineStr">
        <is>
          <t>Juguetes</t>
        </is>
      </c>
      <c r="F57" t="inlineStr">
        <is>
          <t>App</t>
        </is>
      </c>
      <c r="G57" t="inlineStr">
        <is>
          <t>2. Carrito</t>
        </is>
      </c>
      <c r="H57" t="n">
        <v>2</v>
      </c>
      <c r="I57" s="73" t="n">
        <v>65700</v>
      </c>
      <c r="J57" s="73" t="n">
        <v>151110</v>
      </c>
      <c r="K57" s="73" t="n">
        <v>97250</v>
      </c>
    </row>
    <row r="58">
      <c r="A58" t="n">
        <v>10110</v>
      </c>
      <c r="B58" s="72" t="n">
        <v>45396.94305555556</v>
      </c>
      <c r="C58" t="inlineStr">
        <is>
          <t>Bogotá D.C.</t>
        </is>
      </c>
      <c r="D58" t="inlineStr">
        <is>
          <t>Bogotá</t>
        </is>
      </c>
      <c r="E58" t="inlineStr">
        <is>
          <t>Deportes</t>
        </is>
      </c>
      <c r="F58" t="inlineStr">
        <is>
          <t>Marketplace</t>
        </is>
      </c>
      <c r="G58" t="inlineStr">
        <is>
          <t>4. Compra</t>
        </is>
      </c>
      <c r="H58" t="n">
        <v>5</v>
      </c>
      <c r="I58" s="73" t="n">
        <v>133000</v>
      </c>
      <c r="J58" s="73" t="n">
        <v>764750</v>
      </c>
      <c r="K58" s="73" t="n">
        <v>427827</v>
      </c>
    </row>
    <row r="59">
      <c r="A59" t="n">
        <v>11815</v>
      </c>
      <c r="B59" s="72" t="n">
        <v>45397.44583333333</v>
      </c>
      <c r="C59" t="inlineStr">
        <is>
          <t>Huila</t>
        </is>
      </c>
      <c r="D59" t="inlineStr">
        <is>
          <t>Neiva</t>
        </is>
      </c>
      <c r="E59" t="inlineStr">
        <is>
          <t>Juguetes</t>
        </is>
      </c>
      <c r="F59" t="inlineStr">
        <is>
          <t>Web</t>
        </is>
      </c>
      <c r="G59" t="inlineStr">
        <is>
          <t>1. Visita</t>
        </is>
      </c>
      <c r="H59" t="n">
        <v>2</v>
      </c>
      <c r="I59" s="73" t="n">
        <v>108600</v>
      </c>
      <c r="J59" s="73" t="n">
        <v>217200</v>
      </c>
      <c r="K59" s="73" t="n">
        <v>122407</v>
      </c>
    </row>
    <row r="60">
      <c r="A60" t="n">
        <v>12018</v>
      </c>
      <c r="B60" s="72" t="n">
        <v>45397.85763888889</v>
      </c>
      <c r="C60" t="inlineStr">
        <is>
          <t>Atlántico</t>
        </is>
      </c>
      <c r="D60" t="inlineStr">
        <is>
          <t>Barranquilla</t>
        </is>
      </c>
      <c r="E60" t="inlineStr">
        <is>
          <t>Hogar</t>
        </is>
      </c>
      <c r="F60" t="inlineStr">
        <is>
          <t>App</t>
        </is>
      </c>
      <c r="G60" t="inlineStr">
        <is>
          <t>1. Visita</t>
        </is>
      </c>
      <c r="H60" t="n">
        <v>3</v>
      </c>
      <c r="I60" s="73" t="n">
        <v>272000</v>
      </c>
      <c r="J60" s="73" t="n">
        <v>816000</v>
      </c>
      <c r="K60" s="73" t="n">
        <v>576576</v>
      </c>
    </row>
    <row r="61">
      <c r="A61" t="n">
        <v>10125</v>
      </c>
      <c r="B61" s="72" t="n">
        <v>45397.86388888889</v>
      </c>
      <c r="C61" t="inlineStr">
        <is>
          <t>Antioquia</t>
        </is>
      </c>
      <c r="D61" t="inlineStr">
        <is>
          <t>Medellín</t>
        </is>
      </c>
      <c r="E61" t="inlineStr">
        <is>
          <t>Belleza</t>
        </is>
      </c>
      <c r="F61" t="inlineStr">
        <is>
          <t>Marketplace</t>
        </is>
      </c>
      <c r="G61" t="inlineStr">
        <is>
          <t>4. Compra</t>
        </is>
      </c>
      <c r="H61" t="n">
        <v>1</v>
      </c>
      <c r="I61" s="73" t="n">
        <v>80800</v>
      </c>
      <c r="J61" s="73" t="n">
        <v>80800</v>
      </c>
      <c r="K61" s="73" t="n">
        <v>51478</v>
      </c>
    </row>
    <row r="62">
      <c r="A62" t="n">
        <v>11489</v>
      </c>
      <c r="B62" s="72" t="n">
        <v>45398.55486111111</v>
      </c>
      <c r="C62" t="inlineStr">
        <is>
          <t>Meta</t>
        </is>
      </c>
      <c r="D62" t="inlineStr">
        <is>
          <t>Villavicencio</t>
        </is>
      </c>
      <c r="E62" t="inlineStr">
        <is>
          <t>Moda</t>
        </is>
      </c>
      <c r="F62" t="inlineStr">
        <is>
          <t>App</t>
        </is>
      </c>
      <c r="G62" t="inlineStr">
        <is>
          <t>1. Visita</t>
        </is>
      </c>
      <c r="H62" t="n">
        <v>2</v>
      </c>
      <c r="I62" s="73" t="n">
        <v>117200</v>
      </c>
      <c r="J62" s="73" t="n">
        <v>234400</v>
      </c>
      <c r="K62" s="73" t="n">
        <v>130329</v>
      </c>
    </row>
    <row r="63">
      <c r="A63" t="n">
        <v>10148</v>
      </c>
      <c r="B63" s="72" t="n">
        <v>45398.61180555556</v>
      </c>
      <c r="C63" t="inlineStr">
        <is>
          <t>Atlántico</t>
        </is>
      </c>
      <c r="D63" t="inlineStr">
        <is>
          <t>Barranquilla</t>
        </is>
      </c>
      <c r="E63" t="inlineStr">
        <is>
          <t>Juguetes</t>
        </is>
      </c>
      <c r="F63" t="inlineStr">
        <is>
          <t>Web</t>
        </is>
      </c>
      <c r="G63" t="inlineStr">
        <is>
          <t>1. Visita</t>
        </is>
      </c>
      <c r="H63" t="n">
        <v>5</v>
      </c>
      <c r="I63" s="73" t="n">
        <v>101400</v>
      </c>
      <c r="J63" s="73" t="n">
        <v>507000</v>
      </c>
      <c r="K63" s="73" t="n">
        <v>368058</v>
      </c>
    </row>
    <row r="64">
      <c r="A64" t="n">
        <v>12022</v>
      </c>
      <c r="B64" s="72" t="n">
        <v>45398.61319444444</v>
      </c>
      <c r="C64" t="inlineStr">
        <is>
          <t>Bogotá D.C.</t>
        </is>
      </c>
      <c r="D64" t="inlineStr">
        <is>
          <t>Bogotá</t>
        </is>
      </c>
      <c r="E64" t="inlineStr">
        <is>
          <t>Deportes</t>
        </is>
      </c>
      <c r="F64" t="inlineStr">
        <is>
          <t>Web</t>
        </is>
      </c>
      <c r="G64" t="inlineStr">
        <is>
          <t>2. Carrito</t>
        </is>
      </c>
      <c r="H64" t="n">
        <v>4</v>
      </c>
      <c r="I64" s="73" t="n">
        <v>158500</v>
      </c>
      <c r="J64" s="73" t="n">
        <v>634000</v>
      </c>
      <c r="K64" s="73" t="n">
        <v>469923</v>
      </c>
    </row>
    <row r="65">
      <c r="A65" t="n">
        <v>11716</v>
      </c>
      <c r="B65" s="72" t="n">
        <v>45398.62916666667</v>
      </c>
      <c r="C65" t="inlineStr">
        <is>
          <t>Bogotá D.C.</t>
        </is>
      </c>
      <c r="D65" t="inlineStr">
        <is>
          <t>Bogotá</t>
        </is>
      </c>
      <c r="E65" t="inlineStr">
        <is>
          <t>Tecnología</t>
        </is>
      </c>
      <c r="F65" t="inlineStr">
        <is>
          <t>Web</t>
        </is>
      </c>
      <c r="G65" t="inlineStr">
        <is>
          <t>2. Carrito</t>
        </is>
      </c>
      <c r="H65" t="n">
        <v>2</v>
      </c>
      <c r="I65" s="73" t="n">
        <v>976000</v>
      </c>
      <c r="J65" s="73" t="n">
        <v>1952000</v>
      </c>
      <c r="K65" s="73" t="n">
        <v>1412036</v>
      </c>
    </row>
    <row r="66">
      <c r="A66" t="n">
        <v>11444</v>
      </c>
      <c r="B66" s="72" t="n">
        <v>45398.66041666667</v>
      </c>
      <c r="C66" t="inlineStr">
        <is>
          <t>Risaralda</t>
        </is>
      </c>
      <c r="D66" t="inlineStr">
        <is>
          <t>Pereira</t>
        </is>
      </c>
      <c r="E66" t="inlineStr">
        <is>
          <t>Moda</t>
        </is>
      </c>
      <c r="F66" t="inlineStr">
        <is>
          <t>Tienda física</t>
        </is>
      </c>
      <c r="G66" t="inlineStr">
        <is>
          <t>2. Carrito</t>
        </is>
      </c>
      <c r="H66" t="n">
        <v>4</v>
      </c>
      <c r="I66" s="73" t="n">
        <v>120800</v>
      </c>
      <c r="J66" s="73" t="n">
        <v>483200</v>
      </c>
      <c r="K66" s="73" t="n">
        <v>277237</v>
      </c>
    </row>
    <row r="67">
      <c r="A67" t="n">
        <v>11171</v>
      </c>
      <c r="B67" s="72" t="n">
        <v>45398.73680555556</v>
      </c>
      <c r="C67" t="inlineStr">
        <is>
          <t>Bogotá D.C.</t>
        </is>
      </c>
      <c r="D67" t="inlineStr">
        <is>
          <t>Bogotá</t>
        </is>
      </c>
      <c r="E67" t="inlineStr">
        <is>
          <t>Belleza</t>
        </is>
      </c>
      <c r="F67" t="inlineStr">
        <is>
          <t>Tienda física</t>
        </is>
      </c>
      <c r="G67" t="inlineStr">
        <is>
          <t>2. Carrito</t>
        </is>
      </c>
      <c r="H67" t="n">
        <v>4</v>
      </c>
      <c r="I67" s="73" t="n">
        <v>83900</v>
      </c>
      <c r="J67" s="73" t="n">
        <v>335600</v>
      </c>
      <c r="K67" s="73" t="n">
        <v>190610</v>
      </c>
    </row>
    <row r="68">
      <c r="A68" t="n">
        <v>10137</v>
      </c>
      <c r="B68" s="72" t="n">
        <v>45398.775</v>
      </c>
      <c r="C68" t="inlineStr">
        <is>
          <t>Atlántico</t>
        </is>
      </c>
      <c r="D68" t="inlineStr">
        <is>
          <t>Barranquilla</t>
        </is>
      </c>
      <c r="E68" t="inlineStr">
        <is>
          <t>Belleza</t>
        </is>
      </c>
      <c r="F68" t="inlineStr">
        <is>
          <t>App</t>
        </is>
      </c>
      <c r="G68" t="inlineStr">
        <is>
          <t>1. Visita</t>
        </is>
      </c>
      <c r="H68" t="n">
        <v>1</v>
      </c>
      <c r="I68" s="73" t="n">
        <v>76500</v>
      </c>
      <c r="J68" s="73" t="n">
        <v>76500</v>
      </c>
      <c r="K68" s="73" t="n">
        <v>48494</v>
      </c>
    </row>
    <row r="69">
      <c r="A69" t="n">
        <v>11740</v>
      </c>
      <c r="B69" s="72" t="n">
        <v>45398.79583333333</v>
      </c>
      <c r="C69" t="inlineStr">
        <is>
          <t>Valle del Cauca</t>
        </is>
      </c>
      <c r="D69" t="inlineStr">
        <is>
          <t>Cali</t>
        </is>
      </c>
      <c r="E69" t="inlineStr">
        <is>
          <t>Tecnología</t>
        </is>
      </c>
      <c r="F69" t="inlineStr">
        <is>
          <t>Tienda física</t>
        </is>
      </c>
      <c r="G69" t="inlineStr">
        <is>
          <t>1. Visita</t>
        </is>
      </c>
      <c r="H69" t="n">
        <v>2</v>
      </c>
      <c r="I69" s="73" t="n">
        <v>895200</v>
      </c>
      <c r="J69" s="73" t="n">
        <v>1790400</v>
      </c>
      <c r="K69" s="73" t="n">
        <v>1125466</v>
      </c>
    </row>
    <row r="70">
      <c r="A70" t="n">
        <v>11397</v>
      </c>
      <c r="B70" s="72" t="n">
        <v>45398.83194444444</v>
      </c>
      <c r="C70" t="inlineStr">
        <is>
          <t>Bolívar</t>
        </is>
      </c>
      <c r="D70" t="inlineStr">
        <is>
          <t>Cartagena</t>
        </is>
      </c>
      <c r="E70" t="inlineStr">
        <is>
          <t>Juguetes</t>
        </is>
      </c>
      <c r="F70" t="inlineStr">
        <is>
          <t>Web</t>
        </is>
      </c>
      <c r="G70" t="inlineStr">
        <is>
          <t>4. Compra</t>
        </is>
      </c>
      <c r="H70" t="n">
        <v>3</v>
      </c>
      <c r="I70" s="73" t="n">
        <v>78600</v>
      </c>
      <c r="J70" s="73" t="n">
        <v>235800</v>
      </c>
      <c r="K70" s="73" t="n">
        <v>175540</v>
      </c>
    </row>
    <row r="71">
      <c r="A71" t="n">
        <v>11672</v>
      </c>
      <c r="B71" s="72" t="n">
        <v>45399.49375</v>
      </c>
      <c r="C71" t="inlineStr">
        <is>
          <t>Antioquia</t>
        </is>
      </c>
      <c r="D71" t="inlineStr">
        <is>
          <t>Medellín</t>
        </is>
      </c>
      <c r="E71" t="inlineStr">
        <is>
          <t>Juguetes</t>
        </is>
      </c>
      <c r="F71" t="inlineStr">
        <is>
          <t>Web</t>
        </is>
      </c>
      <c r="G71" t="inlineStr">
        <is>
          <t>1. Visita</t>
        </is>
      </c>
      <c r="H71" t="n">
        <v>1</v>
      </c>
      <c r="I71" s="73" t="n">
        <v>65500</v>
      </c>
      <c r="J71" s="73" t="n">
        <v>65500</v>
      </c>
      <c r="K71" s="73" t="n">
        <v>45577</v>
      </c>
    </row>
    <row r="72">
      <c r="A72" t="n">
        <v>10655</v>
      </c>
      <c r="B72" s="72" t="n">
        <v>45399.50138888889</v>
      </c>
      <c r="C72" t="inlineStr">
        <is>
          <t>Antioquia</t>
        </is>
      </c>
      <c r="D72" t="inlineStr">
        <is>
          <t>Medellín</t>
        </is>
      </c>
      <c r="E72" t="inlineStr">
        <is>
          <t>Deportes</t>
        </is>
      </c>
      <c r="F72" t="inlineStr">
        <is>
          <t>Web</t>
        </is>
      </c>
      <c r="G72" t="inlineStr">
        <is>
          <t>2. Carrito</t>
        </is>
      </c>
      <c r="H72" t="n">
        <v>5</v>
      </c>
      <c r="I72" s="73" t="n">
        <v>137800</v>
      </c>
      <c r="J72" s="73" t="n">
        <v>689000</v>
      </c>
      <c r="K72" s="73" t="n">
        <v>510602</v>
      </c>
    </row>
    <row r="73">
      <c r="A73" t="n">
        <v>11354</v>
      </c>
      <c r="B73" s="72" t="n">
        <v>45399.78958333333</v>
      </c>
      <c r="C73" t="inlineStr">
        <is>
          <t>Valle del Cauca</t>
        </is>
      </c>
      <c r="D73" t="inlineStr">
        <is>
          <t>Cali</t>
        </is>
      </c>
      <c r="E73" t="inlineStr">
        <is>
          <t>Belleza</t>
        </is>
      </c>
      <c r="F73" t="inlineStr">
        <is>
          <t>Web</t>
        </is>
      </c>
      <c r="G73" t="inlineStr">
        <is>
          <t>2. Carrito</t>
        </is>
      </c>
      <c r="H73" t="n">
        <v>4</v>
      </c>
      <c r="I73" s="73" t="n">
        <v>77400</v>
      </c>
      <c r="J73" s="73" t="n">
        <v>309600</v>
      </c>
      <c r="K73" s="73" t="n">
        <v>197305</v>
      </c>
    </row>
    <row r="74">
      <c r="A74" t="n">
        <v>10616</v>
      </c>
      <c r="B74" s="72" t="n">
        <v>45399.84444444445</v>
      </c>
      <c r="C74" t="inlineStr">
        <is>
          <t>Bogotá D.C.</t>
        </is>
      </c>
      <c r="D74" t="inlineStr">
        <is>
          <t>Bogotá</t>
        </is>
      </c>
      <c r="E74" t="inlineStr">
        <is>
          <t>Deportes</t>
        </is>
      </c>
      <c r="F74" t="inlineStr">
        <is>
          <t>Web</t>
        </is>
      </c>
      <c r="G74" t="inlineStr">
        <is>
          <t>1. Visita</t>
        </is>
      </c>
      <c r="H74" t="n">
        <v>4</v>
      </c>
      <c r="I74" s="73" t="n">
        <v>127200</v>
      </c>
      <c r="J74" s="73" t="n">
        <v>508800</v>
      </c>
      <c r="K74" s="73" t="n">
        <v>300933</v>
      </c>
    </row>
    <row r="75">
      <c r="A75" t="n">
        <v>10629</v>
      </c>
      <c r="B75" s="72" t="n">
        <v>45399.92916666667</v>
      </c>
      <c r="C75" t="inlineStr">
        <is>
          <t>Bogotá D.C.</t>
        </is>
      </c>
      <c r="D75" t="inlineStr">
        <is>
          <t>Bogotá</t>
        </is>
      </c>
      <c r="E75" t="inlineStr">
        <is>
          <t>Hogar</t>
        </is>
      </c>
      <c r="F75" t="inlineStr">
        <is>
          <t>App</t>
        </is>
      </c>
      <c r="G75" t="inlineStr">
        <is>
          <t>2. Carrito</t>
        </is>
      </c>
      <c r="H75" t="n">
        <v>2</v>
      </c>
      <c r="I75" s="73" t="n">
        <v>151000</v>
      </c>
      <c r="J75" s="73" t="n">
        <v>302000</v>
      </c>
      <c r="K75" s="73" t="n">
        <v>215907</v>
      </c>
    </row>
    <row r="76">
      <c r="A76" t="n">
        <v>10119</v>
      </c>
      <c r="B76" s="72" t="n">
        <v>45400.44791666666</v>
      </c>
      <c r="C76" t="inlineStr">
        <is>
          <t>Bogotá D.C.</t>
        </is>
      </c>
      <c r="D76" t="inlineStr">
        <is>
          <t>Bogotá</t>
        </is>
      </c>
      <c r="E76" t="inlineStr">
        <is>
          <t>Deportes</t>
        </is>
      </c>
      <c r="F76" t="inlineStr">
        <is>
          <t>Web</t>
        </is>
      </c>
      <c r="G76" t="inlineStr">
        <is>
          <t>4. Compra</t>
        </is>
      </c>
      <c r="H76" t="n">
        <v>4</v>
      </c>
      <c r="I76" s="73" t="n">
        <v>152300</v>
      </c>
      <c r="J76" s="73" t="n">
        <v>609200</v>
      </c>
      <c r="K76" s="73" t="n">
        <v>437788</v>
      </c>
    </row>
    <row r="77">
      <c r="A77" t="n">
        <v>12374</v>
      </c>
      <c r="B77" s="72" t="n">
        <v>45400.57291666666</v>
      </c>
      <c r="C77" t="inlineStr">
        <is>
          <t>Atlántico</t>
        </is>
      </c>
      <c r="D77" t="inlineStr">
        <is>
          <t>Barranquilla</t>
        </is>
      </c>
      <c r="E77" t="inlineStr">
        <is>
          <t>Moda</t>
        </is>
      </c>
      <c r="F77" t="inlineStr">
        <is>
          <t>Web</t>
        </is>
      </c>
      <c r="G77" t="inlineStr">
        <is>
          <t>2. Carrito</t>
        </is>
      </c>
      <c r="H77" t="n">
        <v>5</v>
      </c>
      <c r="I77" s="73" t="n">
        <v>144400</v>
      </c>
      <c r="J77" s="73" t="n">
        <v>722000</v>
      </c>
      <c r="K77" s="73" t="n">
        <v>447915</v>
      </c>
    </row>
    <row r="78">
      <c r="A78" t="n">
        <v>11145</v>
      </c>
      <c r="B78" s="72" t="n">
        <v>45400.71458333333</v>
      </c>
      <c r="C78" t="inlineStr">
        <is>
          <t>Antioquia</t>
        </is>
      </c>
      <c r="D78" t="inlineStr">
        <is>
          <t>Medellín</t>
        </is>
      </c>
      <c r="E78" t="inlineStr">
        <is>
          <t>Moda</t>
        </is>
      </c>
      <c r="F78" t="inlineStr">
        <is>
          <t>App</t>
        </is>
      </c>
      <c r="G78" t="inlineStr">
        <is>
          <t>1. Visita</t>
        </is>
      </c>
      <c r="H78" t="n">
        <v>5</v>
      </c>
      <c r="I78" s="73" t="n">
        <v>144500</v>
      </c>
      <c r="J78" s="73" t="n">
        <v>722500</v>
      </c>
      <c r="K78" s="73" t="n">
        <v>493459</v>
      </c>
    </row>
    <row r="79">
      <c r="A79" t="n">
        <v>11705</v>
      </c>
      <c r="B79" s="72" t="n">
        <v>45400.73125</v>
      </c>
      <c r="C79" t="inlineStr">
        <is>
          <t>Atlántico</t>
        </is>
      </c>
      <c r="D79" t="inlineStr">
        <is>
          <t>Barranquilla</t>
        </is>
      </c>
      <c r="E79" t="inlineStr">
        <is>
          <t>Belleza</t>
        </is>
      </c>
      <c r="F79" t="inlineStr">
        <is>
          <t>Web</t>
        </is>
      </c>
      <c r="G79" t="inlineStr">
        <is>
          <t>1. Visita</t>
        </is>
      </c>
      <c r="H79" t="n">
        <v>4</v>
      </c>
      <c r="I79" s="73" t="n">
        <v>70500</v>
      </c>
      <c r="J79" s="73" t="n">
        <v>282000</v>
      </c>
      <c r="K79" s="73" t="n">
        <v>208584</v>
      </c>
    </row>
    <row r="80">
      <c r="A80" t="n">
        <v>11094</v>
      </c>
      <c r="B80" s="72" t="n">
        <v>45400.81944444445</v>
      </c>
      <c r="C80" t="inlineStr">
        <is>
          <t>Bogotá D.C.</t>
        </is>
      </c>
      <c r="D80" t="inlineStr">
        <is>
          <t>Bogotá</t>
        </is>
      </c>
      <c r="E80" t="inlineStr">
        <is>
          <t>Hogar</t>
        </is>
      </c>
      <c r="F80" t="inlineStr">
        <is>
          <t>App</t>
        </is>
      </c>
      <c r="G80" t="inlineStr">
        <is>
          <t>1. Visita</t>
        </is>
      </c>
      <c r="H80" t="n">
        <v>1</v>
      </c>
      <c r="I80" s="73" t="n">
        <v>198100</v>
      </c>
      <c r="J80" s="73" t="n">
        <v>198100</v>
      </c>
      <c r="K80" s="73" t="n">
        <v>143682</v>
      </c>
    </row>
    <row r="81">
      <c r="A81" t="n">
        <v>10345</v>
      </c>
      <c r="B81" s="72" t="n">
        <v>45400.85208333333</v>
      </c>
      <c r="C81" t="inlineStr">
        <is>
          <t>Antioquia</t>
        </is>
      </c>
      <c r="D81" t="inlineStr">
        <is>
          <t>Medellín</t>
        </is>
      </c>
      <c r="E81" t="inlineStr">
        <is>
          <t>Hogar</t>
        </is>
      </c>
      <c r="F81" t="inlineStr">
        <is>
          <t>Web</t>
        </is>
      </c>
      <c r="G81" t="inlineStr">
        <is>
          <t>2. Carrito</t>
        </is>
      </c>
      <c r="H81" t="n">
        <v>2</v>
      </c>
      <c r="I81" s="73" t="n">
        <v>169100</v>
      </c>
      <c r="J81" s="73" t="n">
        <v>338200</v>
      </c>
      <c r="K81" s="73" t="n">
        <v>192899</v>
      </c>
    </row>
    <row r="82">
      <c r="A82" t="n">
        <v>10729</v>
      </c>
      <c r="B82" s="72" t="n">
        <v>45400.91458333333</v>
      </c>
      <c r="C82" t="inlineStr">
        <is>
          <t>Atlántico</t>
        </is>
      </c>
      <c r="D82" t="inlineStr">
        <is>
          <t>Barranquilla</t>
        </is>
      </c>
      <c r="E82" t="inlineStr">
        <is>
          <t>Belleza</t>
        </is>
      </c>
      <c r="F82" t="inlineStr">
        <is>
          <t>App</t>
        </is>
      </c>
      <c r="G82" t="inlineStr">
        <is>
          <t>3. Pago</t>
        </is>
      </c>
      <c r="H82" t="n">
        <v>3</v>
      </c>
      <c r="I82" s="73" t="n">
        <v>90600</v>
      </c>
      <c r="J82" s="73" t="n">
        <v>271800</v>
      </c>
      <c r="K82" s="73" t="n">
        <v>151260</v>
      </c>
    </row>
    <row r="83">
      <c r="A83" t="n">
        <v>10146</v>
      </c>
      <c r="B83" s="72" t="n">
        <v>45400.95208333333</v>
      </c>
      <c r="C83" t="inlineStr">
        <is>
          <t>Santander</t>
        </is>
      </c>
      <c r="D83" t="inlineStr">
        <is>
          <t>Bucaramanga</t>
        </is>
      </c>
      <c r="E83" t="inlineStr">
        <is>
          <t>Tecnología</t>
        </is>
      </c>
      <c r="F83" t="inlineStr">
        <is>
          <t>Web</t>
        </is>
      </c>
      <c r="G83" t="inlineStr">
        <is>
          <t>4. Compra</t>
        </is>
      </c>
      <c r="H83" t="n">
        <v>5</v>
      </c>
      <c r="I83" s="73" t="n">
        <v>635100</v>
      </c>
      <c r="J83" s="73" t="n">
        <v>3175500</v>
      </c>
      <c r="K83" s="73" t="n">
        <v>1897497</v>
      </c>
    </row>
    <row r="84">
      <c r="A84" t="n">
        <v>10411</v>
      </c>
      <c r="B84" s="72" t="n">
        <v>45401.37777777778</v>
      </c>
      <c r="C84" t="inlineStr">
        <is>
          <t>Risaralda</t>
        </is>
      </c>
      <c r="D84" t="inlineStr">
        <is>
          <t>Pereira</t>
        </is>
      </c>
      <c r="E84" t="inlineStr">
        <is>
          <t>Tecnología</t>
        </is>
      </c>
      <c r="F84" t="inlineStr">
        <is>
          <t>Web</t>
        </is>
      </c>
      <c r="G84" t="inlineStr">
        <is>
          <t>2. Carrito</t>
        </is>
      </c>
      <c r="H84" t="n">
        <v>3</v>
      </c>
      <c r="I84" s="73" t="n">
        <v>937800</v>
      </c>
      <c r="J84" s="73" t="n">
        <v>3235410</v>
      </c>
      <c r="K84" s="73" t="n">
        <v>2293614</v>
      </c>
    </row>
    <row r="85">
      <c r="A85" t="n">
        <v>10088</v>
      </c>
      <c r="B85" s="72" t="n">
        <v>45402.58958333333</v>
      </c>
      <c r="C85" t="inlineStr">
        <is>
          <t>Bogotá D.C.</t>
        </is>
      </c>
      <c r="D85" t="inlineStr">
        <is>
          <t>Bogotá</t>
        </is>
      </c>
      <c r="E85" t="inlineStr">
        <is>
          <t>Deportes</t>
        </is>
      </c>
      <c r="F85" t="inlineStr">
        <is>
          <t>App</t>
        </is>
      </c>
      <c r="G85" t="inlineStr">
        <is>
          <t>2. Carrito</t>
        </is>
      </c>
      <c r="H85" t="n">
        <v>2</v>
      </c>
      <c r="I85" s="73" t="n">
        <v>193700</v>
      </c>
      <c r="J85" s="73" t="n">
        <v>445510</v>
      </c>
      <c r="K85" s="73" t="n">
        <v>279782</v>
      </c>
    </row>
    <row r="86">
      <c r="A86" t="n">
        <v>12390</v>
      </c>
      <c r="B86" s="72" t="n">
        <v>45402.68333333333</v>
      </c>
      <c r="C86" t="inlineStr">
        <is>
          <t>Santander</t>
        </is>
      </c>
      <c r="D86" t="inlineStr">
        <is>
          <t>Bucaramanga</t>
        </is>
      </c>
      <c r="E86" t="inlineStr">
        <is>
          <t>Juguetes</t>
        </is>
      </c>
      <c r="F86" t="inlineStr">
        <is>
          <t>Marketplace</t>
        </is>
      </c>
      <c r="G86" t="inlineStr">
        <is>
          <t>1. Visita</t>
        </is>
      </c>
      <c r="H86" t="n">
        <v>5</v>
      </c>
      <c r="I86" s="73" t="n">
        <v>90200</v>
      </c>
      <c r="J86" s="73" t="n">
        <v>518650</v>
      </c>
      <c r="K86" s="73" t="n">
        <v>300172</v>
      </c>
    </row>
    <row r="87">
      <c r="A87" t="n">
        <v>10466</v>
      </c>
      <c r="B87" s="72" t="n">
        <v>45402.88194444445</v>
      </c>
      <c r="C87" t="inlineStr">
        <is>
          <t>Huila</t>
        </is>
      </c>
      <c r="D87" t="inlineStr">
        <is>
          <t>Neiva</t>
        </is>
      </c>
      <c r="E87" t="inlineStr">
        <is>
          <t>Deportes</t>
        </is>
      </c>
      <c r="F87" t="inlineStr">
        <is>
          <t>App</t>
        </is>
      </c>
      <c r="G87" t="inlineStr">
        <is>
          <t>1. Visita</t>
        </is>
      </c>
      <c r="H87" t="n">
        <v>3</v>
      </c>
      <c r="I87" s="73" t="n">
        <v>192700</v>
      </c>
      <c r="J87" s="73" t="n">
        <v>664815</v>
      </c>
      <c r="K87" s="73" t="n">
        <v>456992</v>
      </c>
    </row>
    <row r="88">
      <c r="A88" t="n">
        <v>11612</v>
      </c>
      <c r="B88" s="72" t="n">
        <v>45403.53472222222</v>
      </c>
      <c r="C88" t="inlineStr">
        <is>
          <t>Antioquia</t>
        </is>
      </c>
      <c r="D88" t="inlineStr">
        <is>
          <t>Medellín</t>
        </is>
      </c>
      <c r="E88" t="inlineStr">
        <is>
          <t>Juguetes</t>
        </is>
      </c>
      <c r="F88" t="inlineStr">
        <is>
          <t>Tienda física</t>
        </is>
      </c>
      <c r="G88" t="inlineStr">
        <is>
          <t>4. Compra</t>
        </is>
      </c>
      <c r="H88" t="n">
        <v>2</v>
      </c>
      <c r="I88" s="73" t="n">
        <v>63200</v>
      </c>
      <c r="J88" s="73" t="n">
        <v>145360</v>
      </c>
      <c r="K88" s="73" t="n">
        <v>105412</v>
      </c>
    </row>
    <row r="89">
      <c r="A89" t="n">
        <v>10354</v>
      </c>
      <c r="B89" s="72" t="n">
        <v>45403.72638888889</v>
      </c>
      <c r="C89" t="inlineStr">
        <is>
          <t>Atlántico</t>
        </is>
      </c>
      <c r="D89" t="inlineStr">
        <is>
          <t>Barranquilla</t>
        </is>
      </c>
      <c r="E89" t="inlineStr">
        <is>
          <t>Belleza</t>
        </is>
      </c>
      <c r="F89" t="inlineStr">
        <is>
          <t>Web</t>
        </is>
      </c>
      <c r="G89" t="inlineStr">
        <is>
          <t>1. Visita</t>
        </is>
      </c>
      <c r="H89" t="n">
        <v>3</v>
      </c>
      <c r="I89" s="73" t="n">
        <v>79100</v>
      </c>
      <c r="J89" s="73" t="n">
        <v>272895</v>
      </c>
      <c r="K89" s="73" t="n">
        <v>165854</v>
      </c>
    </row>
    <row r="90">
      <c r="A90" t="n">
        <v>11996</v>
      </c>
      <c r="B90" s="72" t="n">
        <v>45403.84166666667</v>
      </c>
      <c r="C90" t="inlineStr">
        <is>
          <t>Antioquia</t>
        </is>
      </c>
      <c r="D90" t="inlineStr">
        <is>
          <t>Medellín</t>
        </is>
      </c>
      <c r="E90" t="inlineStr">
        <is>
          <t>Juguetes</t>
        </is>
      </c>
      <c r="F90" t="inlineStr">
        <is>
          <t>App</t>
        </is>
      </c>
      <c r="G90" t="inlineStr">
        <is>
          <t>2. Carrito</t>
        </is>
      </c>
      <c r="H90" t="n">
        <v>1</v>
      </c>
      <c r="I90" s="73" t="n">
        <v>96300</v>
      </c>
      <c r="J90" s="73" t="n">
        <v>110745</v>
      </c>
      <c r="K90" s="73" t="n">
        <v>73846</v>
      </c>
    </row>
    <row r="91">
      <c r="A91" t="n">
        <v>11346</v>
      </c>
      <c r="B91" s="72" t="n">
        <v>45403.84444444445</v>
      </c>
      <c r="C91" t="inlineStr">
        <is>
          <t>Atlántico</t>
        </is>
      </c>
      <c r="D91" t="inlineStr">
        <is>
          <t>Barranquilla</t>
        </is>
      </c>
      <c r="E91" t="inlineStr">
        <is>
          <t>Hogar</t>
        </is>
      </c>
      <c r="F91" t="inlineStr">
        <is>
          <t>Web</t>
        </is>
      </c>
      <c r="G91" t="inlineStr">
        <is>
          <t>2. Carrito</t>
        </is>
      </c>
      <c r="H91" t="n">
        <v>5</v>
      </c>
      <c r="I91" s="73" t="n">
        <v>219400</v>
      </c>
      <c r="J91" s="73" t="n">
        <v>1261550</v>
      </c>
      <c r="K91" s="73" t="n">
        <v>813951</v>
      </c>
    </row>
    <row r="92">
      <c r="A92" t="n">
        <v>10378</v>
      </c>
      <c r="B92" s="72" t="n">
        <v>45403.8875</v>
      </c>
      <c r="C92" t="inlineStr">
        <is>
          <t>Antioquia</t>
        </is>
      </c>
      <c r="D92" t="inlineStr">
        <is>
          <t>Medellín</t>
        </is>
      </c>
      <c r="E92" t="inlineStr">
        <is>
          <t>Moda</t>
        </is>
      </c>
      <c r="F92" t="inlineStr">
        <is>
          <t>Tienda física</t>
        </is>
      </c>
      <c r="G92" t="inlineStr">
        <is>
          <t>4. Compra</t>
        </is>
      </c>
      <c r="H92" t="n">
        <v>2</v>
      </c>
      <c r="I92" s="73" t="n">
        <v>143200</v>
      </c>
      <c r="J92" s="73" t="n">
        <v>329360</v>
      </c>
      <c r="K92" s="73" t="n">
        <v>189307</v>
      </c>
    </row>
    <row r="93">
      <c r="A93" t="n">
        <v>12173</v>
      </c>
      <c r="B93" s="72" t="n">
        <v>45403.96180555555</v>
      </c>
      <c r="C93" t="inlineStr">
        <is>
          <t>Valle del Cauca</t>
        </is>
      </c>
      <c r="D93" t="inlineStr">
        <is>
          <t>Cali</t>
        </is>
      </c>
      <c r="E93" t="inlineStr">
        <is>
          <t>Deportes</t>
        </is>
      </c>
      <c r="F93" t="inlineStr">
        <is>
          <t>Tienda física</t>
        </is>
      </c>
      <c r="G93" t="inlineStr">
        <is>
          <t>2. Carrito</t>
        </is>
      </c>
      <c r="H93" t="n">
        <v>1</v>
      </c>
      <c r="I93" s="73" t="n">
        <v>183400</v>
      </c>
      <c r="J93" s="73" t="n">
        <v>210910</v>
      </c>
      <c r="K93" s="73" t="n">
        <v>147321</v>
      </c>
    </row>
    <row r="94">
      <c r="A94" t="n">
        <v>11671</v>
      </c>
      <c r="B94" s="72" t="n">
        <v>45403.99513888889</v>
      </c>
      <c r="C94" t="inlineStr">
        <is>
          <t>Valle del Cauca</t>
        </is>
      </c>
      <c r="D94" t="inlineStr">
        <is>
          <t>Cali</t>
        </is>
      </c>
      <c r="E94" t="inlineStr">
        <is>
          <t>Tecnología</t>
        </is>
      </c>
      <c r="F94" t="inlineStr">
        <is>
          <t>App</t>
        </is>
      </c>
      <c r="G94" t="inlineStr">
        <is>
          <t>1. Visita</t>
        </is>
      </c>
      <c r="H94" t="n">
        <v>2</v>
      </c>
      <c r="I94" s="73" t="n">
        <v>735700</v>
      </c>
      <c r="J94" s="73" t="n">
        <v>1692110</v>
      </c>
      <c r="K94" s="73" t="n">
        <v>1060098</v>
      </c>
    </row>
    <row r="95">
      <c r="A95" t="n">
        <v>10712</v>
      </c>
      <c r="B95" s="72" t="n">
        <v>45404.35763888889</v>
      </c>
      <c r="C95" t="inlineStr">
        <is>
          <t>Antioquia</t>
        </is>
      </c>
      <c r="D95" t="inlineStr">
        <is>
          <t>Medellín</t>
        </is>
      </c>
      <c r="E95" t="inlineStr">
        <is>
          <t>Deportes</t>
        </is>
      </c>
      <c r="F95" t="inlineStr">
        <is>
          <t>Web</t>
        </is>
      </c>
      <c r="G95" t="inlineStr">
        <is>
          <t>1. Visita</t>
        </is>
      </c>
      <c r="H95" t="n">
        <v>1</v>
      </c>
      <c r="I95" s="73" t="n">
        <v>147500</v>
      </c>
      <c r="J95" s="73" t="n">
        <v>147500</v>
      </c>
      <c r="K95" s="73" t="n">
        <v>108165</v>
      </c>
    </row>
    <row r="96">
      <c r="A96" t="n">
        <v>11637</v>
      </c>
      <c r="B96" s="72" t="n">
        <v>45404.38333333333</v>
      </c>
      <c r="C96" t="inlineStr">
        <is>
          <t>Antioquia</t>
        </is>
      </c>
      <c r="D96" t="inlineStr">
        <is>
          <t>Medellín</t>
        </is>
      </c>
      <c r="E96" t="inlineStr">
        <is>
          <t>Juguetes</t>
        </is>
      </c>
      <c r="F96" t="inlineStr">
        <is>
          <t>App</t>
        </is>
      </c>
      <c r="G96" t="inlineStr">
        <is>
          <t>2. Carrito</t>
        </is>
      </c>
      <c r="H96" t="n">
        <v>2</v>
      </c>
      <c r="I96" s="73" t="n">
        <v>111200</v>
      </c>
      <c r="J96" s="73" t="n">
        <v>222400</v>
      </c>
      <c r="K96" s="73" t="n">
        <v>144501</v>
      </c>
    </row>
    <row r="97">
      <c r="A97" t="n">
        <v>10602</v>
      </c>
      <c r="B97" s="72" t="n">
        <v>45404.75902777778</v>
      </c>
      <c r="C97" t="inlineStr">
        <is>
          <t>Antioquia</t>
        </is>
      </c>
      <c r="D97" t="inlineStr">
        <is>
          <t>Medellín</t>
        </is>
      </c>
      <c r="E97" t="inlineStr">
        <is>
          <t>Moda</t>
        </is>
      </c>
      <c r="F97" t="inlineStr">
        <is>
          <t>Tienda física</t>
        </is>
      </c>
      <c r="G97" t="inlineStr">
        <is>
          <t>1. Visita</t>
        </is>
      </c>
      <c r="H97" t="n">
        <v>1</v>
      </c>
      <c r="I97" s="73" t="n">
        <v>128400</v>
      </c>
      <c r="J97" s="73" t="n">
        <v>128400</v>
      </c>
      <c r="K97" s="73" t="n">
        <v>82516</v>
      </c>
    </row>
    <row r="98">
      <c r="A98" t="n">
        <v>10135</v>
      </c>
      <c r="B98" s="72" t="n">
        <v>45405.37569444445</v>
      </c>
      <c r="C98" t="inlineStr">
        <is>
          <t>Antioquia</t>
        </is>
      </c>
      <c r="D98" t="inlineStr">
        <is>
          <t>Medellín</t>
        </is>
      </c>
      <c r="E98" t="inlineStr">
        <is>
          <t>Deportes</t>
        </is>
      </c>
      <c r="F98" t="inlineStr">
        <is>
          <t>Tienda física</t>
        </is>
      </c>
      <c r="G98" t="inlineStr">
        <is>
          <t>1. Visita</t>
        </is>
      </c>
      <c r="H98" t="n">
        <v>3</v>
      </c>
      <c r="I98" s="73" t="n">
        <v>148900</v>
      </c>
      <c r="J98" s="73" t="n">
        <v>446700</v>
      </c>
      <c r="K98" s="73" t="n">
        <v>263599</v>
      </c>
    </row>
    <row r="99">
      <c r="A99" t="n">
        <v>12381</v>
      </c>
      <c r="B99" s="72" t="n">
        <v>45405.41597222222</v>
      </c>
      <c r="C99" t="inlineStr">
        <is>
          <t>Bogotá D.C.</t>
        </is>
      </c>
      <c r="D99" t="inlineStr">
        <is>
          <t>Bogotá</t>
        </is>
      </c>
      <c r="E99" t="inlineStr">
        <is>
          <t>Belleza</t>
        </is>
      </c>
      <c r="F99" t="inlineStr">
        <is>
          <t>Web</t>
        </is>
      </c>
      <c r="G99" t="inlineStr">
        <is>
          <t>1. Visita</t>
        </is>
      </c>
      <c r="H99" t="n">
        <v>2</v>
      </c>
      <c r="I99" s="73" t="n">
        <v>73200</v>
      </c>
      <c r="J99" s="73" t="n">
        <v>146400</v>
      </c>
      <c r="K99" s="73" t="n">
        <v>107239</v>
      </c>
    </row>
    <row r="100">
      <c r="A100" t="n">
        <v>10267</v>
      </c>
      <c r="B100" s="72" t="n">
        <v>45405.51388888889</v>
      </c>
      <c r="C100" t="inlineStr">
        <is>
          <t>Atlántico</t>
        </is>
      </c>
      <c r="D100" t="inlineStr">
        <is>
          <t>Barranquilla</t>
        </is>
      </c>
      <c r="E100" t="inlineStr">
        <is>
          <t>Juguetes</t>
        </is>
      </c>
      <c r="F100" t="inlineStr">
        <is>
          <t>Web</t>
        </is>
      </c>
      <c r="G100" t="inlineStr">
        <is>
          <t>1. Visita</t>
        </is>
      </c>
      <c r="H100" t="n">
        <v>5</v>
      </c>
      <c r="I100" s="73" t="n">
        <v>91400</v>
      </c>
      <c r="J100" s="73" t="n">
        <v>457000</v>
      </c>
      <c r="K100" s="73" t="n">
        <v>316707</v>
      </c>
    </row>
    <row r="101">
      <c r="A101" t="n">
        <v>11036</v>
      </c>
      <c r="B101" s="72" t="n">
        <v>45405.75902777778</v>
      </c>
      <c r="C101" t="inlineStr">
        <is>
          <t>Bogotá D.C.</t>
        </is>
      </c>
      <c r="D101" t="inlineStr">
        <is>
          <t>Bogotá</t>
        </is>
      </c>
      <c r="E101" t="inlineStr">
        <is>
          <t>Tecnología</t>
        </is>
      </c>
      <c r="F101" t="inlineStr">
        <is>
          <t>Tienda física</t>
        </is>
      </c>
      <c r="G101" t="inlineStr">
        <is>
          <t>1. Visita</t>
        </is>
      </c>
      <c r="H101" t="n">
        <v>1</v>
      </c>
      <c r="I101" s="73" t="n">
        <v>1079600</v>
      </c>
      <c r="J101" s="73" t="n">
        <v>1079600</v>
      </c>
      <c r="K101" s="73" t="n">
        <v>719373</v>
      </c>
    </row>
    <row r="102">
      <c r="A102" t="n">
        <v>11172</v>
      </c>
      <c r="B102" s="72" t="n">
        <v>45405.76944444444</v>
      </c>
      <c r="C102" t="inlineStr">
        <is>
          <t>Santander</t>
        </is>
      </c>
      <c r="D102" t="inlineStr">
        <is>
          <t>Bucaramanga</t>
        </is>
      </c>
      <c r="E102" t="inlineStr">
        <is>
          <t>Deportes</t>
        </is>
      </c>
      <c r="F102" t="inlineStr">
        <is>
          <t>App</t>
        </is>
      </c>
      <c r="G102" t="inlineStr">
        <is>
          <t>3. Pago</t>
        </is>
      </c>
      <c r="H102" t="n">
        <v>5</v>
      </c>
      <c r="I102" s="73" t="n">
        <v>112400</v>
      </c>
      <c r="J102" s="73" t="n">
        <v>562000</v>
      </c>
      <c r="K102" s="73" t="n">
        <v>362910</v>
      </c>
    </row>
    <row r="103">
      <c r="A103" t="n">
        <v>11156</v>
      </c>
      <c r="B103" s="72" t="n">
        <v>45405.90486111111</v>
      </c>
      <c r="C103" t="inlineStr">
        <is>
          <t>Valle del Cauca</t>
        </is>
      </c>
      <c r="D103" t="inlineStr">
        <is>
          <t>Cali</t>
        </is>
      </c>
      <c r="E103" t="inlineStr">
        <is>
          <t>Tecnología</t>
        </is>
      </c>
      <c r="F103" t="inlineStr">
        <is>
          <t>Tienda física</t>
        </is>
      </c>
      <c r="G103" t="inlineStr">
        <is>
          <t>1. Visita</t>
        </is>
      </c>
      <c r="H103" t="n">
        <v>1</v>
      </c>
      <c r="I103" s="73" t="n">
        <v>1075100</v>
      </c>
      <c r="J103" s="73" t="n">
        <v>1075100</v>
      </c>
      <c r="K103" s="73" t="n">
        <v>678276</v>
      </c>
    </row>
    <row r="104">
      <c r="A104" t="n">
        <v>11383</v>
      </c>
      <c r="B104" s="72" t="n">
        <v>45406.01180555556</v>
      </c>
      <c r="C104" t="inlineStr">
        <is>
          <t>Bogotá D.C.</t>
        </is>
      </c>
      <c r="D104" t="inlineStr">
        <is>
          <t>Bogotá</t>
        </is>
      </c>
      <c r="E104" t="inlineStr">
        <is>
          <t>Deportes</t>
        </is>
      </c>
      <c r="F104" t="inlineStr">
        <is>
          <t>Tienda física</t>
        </is>
      </c>
      <c r="G104" t="inlineStr">
        <is>
          <t>2. Carrito</t>
        </is>
      </c>
      <c r="H104" t="n">
        <v>4</v>
      </c>
      <c r="I104" s="73" t="n">
        <v>154100</v>
      </c>
      <c r="J104" s="73" t="n">
        <v>616400</v>
      </c>
      <c r="K104" s="73" t="n">
        <v>429511</v>
      </c>
    </row>
    <row r="105">
      <c r="A105" t="n">
        <v>10212</v>
      </c>
      <c r="B105" s="72" t="n">
        <v>45406.50555555556</v>
      </c>
      <c r="C105" t="inlineStr">
        <is>
          <t>Santander</t>
        </is>
      </c>
      <c r="D105" t="inlineStr">
        <is>
          <t>Bucaramanga</t>
        </is>
      </c>
      <c r="E105" t="inlineStr">
        <is>
          <t>Hogar</t>
        </is>
      </c>
      <c r="F105" t="inlineStr">
        <is>
          <t>Web</t>
        </is>
      </c>
      <c r="G105" t="inlineStr">
        <is>
          <t>2. Carrito</t>
        </is>
      </c>
      <c r="H105" t="n">
        <v>2</v>
      </c>
      <c r="I105" s="73" t="n">
        <v>210900</v>
      </c>
      <c r="J105" s="73" t="n">
        <v>421800</v>
      </c>
      <c r="K105" s="73" t="n">
        <v>258759</v>
      </c>
    </row>
    <row r="106">
      <c r="A106" t="n">
        <v>10285</v>
      </c>
      <c r="B106" s="72" t="n">
        <v>45406.62291666667</v>
      </c>
      <c r="C106" t="inlineStr">
        <is>
          <t>Nariño</t>
        </is>
      </c>
      <c r="D106" t="inlineStr">
        <is>
          <t>Pasto</t>
        </is>
      </c>
      <c r="E106" t="inlineStr">
        <is>
          <t>Belleza</t>
        </is>
      </c>
      <c r="F106" t="inlineStr">
        <is>
          <t>App</t>
        </is>
      </c>
      <c r="G106" t="inlineStr">
        <is>
          <t>3. Pago</t>
        </is>
      </c>
      <c r="H106" t="n">
        <v>2</v>
      </c>
      <c r="I106" s="73" t="n">
        <v>55000</v>
      </c>
      <c r="J106" s="73" t="n">
        <v>110000</v>
      </c>
      <c r="K106" s="73" t="n">
        <v>81783</v>
      </c>
    </row>
    <row r="107">
      <c r="A107" t="n">
        <v>11330</v>
      </c>
      <c r="B107" s="72" t="n">
        <v>45406.62847222222</v>
      </c>
      <c r="C107" t="inlineStr">
        <is>
          <t>Valle del Cauca</t>
        </is>
      </c>
      <c r="D107" t="inlineStr">
        <is>
          <t>Cali</t>
        </is>
      </c>
      <c r="E107" t="inlineStr">
        <is>
          <t>Juguetes</t>
        </is>
      </c>
      <c r="F107" t="inlineStr">
        <is>
          <t>Web</t>
        </is>
      </c>
      <c r="G107" t="inlineStr">
        <is>
          <t>2. Carrito</t>
        </is>
      </c>
      <c r="H107" t="n">
        <v>1</v>
      </c>
      <c r="I107" s="73" t="n">
        <v>69000</v>
      </c>
      <c r="J107" s="73" t="n">
        <v>69000</v>
      </c>
      <c r="K107" s="73" t="n">
        <v>47997</v>
      </c>
    </row>
    <row r="108">
      <c r="A108" t="n">
        <v>11411</v>
      </c>
      <c r="B108" s="72" t="n">
        <v>45406.66666666666</v>
      </c>
      <c r="C108" t="inlineStr">
        <is>
          <t>Bogotá D.C.</t>
        </is>
      </c>
      <c r="D108" t="inlineStr">
        <is>
          <t>Bogotá</t>
        </is>
      </c>
      <c r="E108" t="inlineStr">
        <is>
          <t>Tecnología</t>
        </is>
      </c>
      <c r="F108" t="inlineStr">
        <is>
          <t>Web</t>
        </is>
      </c>
      <c r="G108" t="inlineStr">
        <is>
          <t>3. Pago</t>
        </is>
      </c>
      <c r="H108" t="n">
        <v>5</v>
      </c>
      <c r="I108" s="73" t="n">
        <v>764900</v>
      </c>
      <c r="J108" s="73" t="n">
        <v>3824500</v>
      </c>
      <c r="K108" s="73" t="n">
        <v>2794421</v>
      </c>
    </row>
    <row r="109">
      <c r="A109" t="n">
        <v>11999</v>
      </c>
      <c r="B109" s="72" t="n">
        <v>45406.71041666667</v>
      </c>
      <c r="C109" t="inlineStr">
        <is>
          <t>Bogotá D.C.</t>
        </is>
      </c>
      <c r="D109" t="inlineStr">
        <is>
          <t>Bogotá</t>
        </is>
      </c>
      <c r="E109" t="inlineStr">
        <is>
          <t>Hogar</t>
        </is>
      </c>
      <c r="F109" t="inlineStr">
        <is>
          <t>Web</t>
        </is>
      </c>
      <c r="G109" t="inlineStr">
        <is>
          <t>1. Visita</t>
        </is>
      </c>
      <c r="H109" t="n">
        <v>3</v>
      </c>
      <c r="I109" s="73" t="n">
        <v>191800</v>
      </c>
      <c r="J109" s="73" t="n">
        <v>575400</v>
      </c>
      <c r="K109" s="73" t="n">
        <v>363099</v>
      </c>
    </row>
    <row r="110">
      <c r="A110" t="n">
        <v>10310</v>
      </c>
      <c r="B110" s="72" t="n">
        <v>45406.9</v>
      </c>
      <c r="C110" t="inlineStr">
        <is>
          <t>Bogotá D.C.</t>
        </is>
      </c>
      <c r="D110" t="inlineStr">
        <is>
          <t>Bogotá</t>
        </is>
      </c>
      <c r="E110" t="inlineStr">
        <is>
          <t>Deportes</t>
        </is>
      </c>
      <c r="F110" t="inlineStr">
        <is>
          <t>Web</t>
        </is>
      </c>
      <c r="G110" t="inlineStr">
        <is>
          <t>2. Carrito</t>
        </is>
      </c>
      <c r="H110" t="n">
        <v>3</v>
      </c>
      <c r="I110" s="73" t="n">
        <v>189700</v>
      </c>
      <c r="J110" s="73" t="n">
        <v>569100</v>
      </c>
      <c r="K110" s="73" t="n">
        <v>321778</v>
      </c>
    </row>
    <row r="111">
      <c r="A111" t="n">
        <v>10588</v>
      </c>
      <c r="B111" s="72" t="n">
        <v>45406.93055555555</v>
      </c>
      <c r="C111" t="inlineStr">
        <is>
          <t>Valle del Cauca</t>
        </is>
      </c>
      <c r="D111" t="inlineStr">
        <is>
          <t>Cali</t>
        </is>
      </c>
      <c r="E111" t="inlineStr">
        <is>
          <t>Moda</t>
        </is>
      </c>
      <c r="F111" t="inlineStr">
        <is>
          <t>Web</t>
        </is>
      </c>
      <c r="G111" t="inlineStr">
        <is>
          <t>3. Pago</t>
        </is>
      </c>
      <c r="H111" t="n">
        <v>5</v>
      </c>
      <c r="I111" s="73" t="n">
        <v>100000</v>
      </c>
      <c r="J111" s="73" t="n">
        <v>500000</v>
      </c>
      <c r="K111" s="73" t="n">
        <v>341720</v>
      </c>
    </row>
    <row r="112">
      <c r="A112" t="n">
        <v>11491</v>
      </c>
      <c r="B112" s="72" t="n">
        <v>45406.95902777778</v>
      </c>
      <c r="C112" t="inlineStr">
        <is>
          <t>Risaralda</t>
        </is>
      </c>
      <c r="D112" t="inlineStr">
        <is>
          <t>Pereira</t>
        </is>
      </c>
      <c r="E112" t="inlineStr">
        <is>
          <t>Hogar</t>
        </is>
      </c>
      <c r="F112" t="inlineStr">
        <is>
          <t>Tienda física</t>
        </is>
      </c>
      <c r="G112" t="inlineStr">
        <is>
          <t>2. Carrito</t>
        </is>
      </c>
      <c r="H112" t="n">
        <v>5</v>
      </c>
      <c r="I112" s="73" t="n">
        <v>206600</v>
      </c>
      <c r="J112" s="73" t="n">
        <v>1033000</v>
      </c>
      <c r="K112" s="73" t="n">
        <v>598628</v>
      </c>
    </row>
    <row r="113">
      <c r="A113" t="n">
        <v>10905</v>
      </c>
      <c r="B113" s="72" t="n">
        <v>45407.46875</v>
      </c>
      <c r="C113" t="inlineStr">
        <is>
          <t>Nariño</t>
        </is>
      </c>
      <c r="D113" t="inlineStr">
        <is>
          <t>Pasto</t>
        </is>
      </c>
      <c r="E113" t="inlineStr">
        <is>
          <t>Tecnología</t>
        </is>
      </c>
      <c r="F113" t="inlineStr">
        <is>
          <t>App</t>
        </is>
      </c>
      <c r="G113" t="inlineStr">
        <is>
          <t>1. Visita</t>
        </is>
      </c>
      <c r="H113" t="n">
        <v>3</v>
      </c>
      <c r="I113" s="73" t="n">
        <v>842400</v>
      </c>
      <c r="J113" s="73" t="n">
        <v>2527200</v>
      </c>
      <c r="K113" s="73" t="n">
        <v>1483337</v>
      </c>
    </row>
    <row r="114">
      <c r="A114" t="n">
        <v>10658</v>
      </c>
      <c r="B114" s="72" t="n">
        <v>45407.87777777778</v>
      </c>
      <c r="C114" t="inlineStr">
        <is>
          <t>Santander</t>
        </is>
      </c>
      <c r="D114" t="inlineStr">
        <is>
          <t>Bucaramanga</t>
        </is>
      </c>
      <c r="E114" t="inlineStr">
        <is>
          <t>Moda</t>
        </is>
      </c>
      <c r="F114" t="inlineStr">
        <is>
          <t>Web</t>
        </is>
      </c>
      <c r="G114" t="inlineStr">
        <is>
          <t>2. Carrito</t>
        </is>
      </c>
      <c r="H114" t="n">
        <v>4</v>
      </c>
      <c r="I114" s="73" t="n">
        <v>120800</v>
      </c>
      <c r="J114" s="73" t="n">
        <v>483200</v>
      </c>
      <c r="K114" s="73" t="n">
        <v>295803</v>
      </c>
    </row>
    <row r="115">
      <c r="A115" t="n">
        <v>11675</v>
      </c>
      <c r="B115" s="72" t="n">
        <v>45408.46180555555</v>
      </c>
      <c r="C115" t="inlineStr">
        <is>
          <t>Risaralda</t>
        </is>
      </c>
      <c r="D115" t="inlineStr">
        <is>
          <t>Pereira</t>
        </is>
      </c>
      <c r="E115" t="inlineStr">
        <is>
          <t>Belleza</t>
        </is>
      </c>
      <c r="F115" t="inlineStr">
        <is>
          <t>App</t>
        </is>
      </c>
      <c r="G115" t="inlineStr">
        <is>
          <t>1. Visita</t>
        </is>
      </c>
      <c r="H115" t="n">
        <v>5</v>
      </c>
      <c r="I115" s="73" t="n">
        <v>85000</v>
      </c>
      <c r="J115" s="73" t="n">
        <v>488750</v>
      </c>
      <c r="K115" s="73" t="n">
        <v>301213</v>
      </c>
    </row>
    <row r="116">
      <c r="A116" t="n">
        <v>12169</v>
      </c>
      <c r="B116" s="72" t="n">
        <v>45408.75416666667</v>
      </c>
      <c r="C116" t="inlineStr">
        <is>
          <t>Huila</t>
        </is>
      </c>
      <c r="D116" t="inlineStr">
        <is>
          <t>Neiva</t>
        </is>
      </c>
      <c r="E116" t="inlineStr">
        <is>
          <t>Moda</t>
        </is>
      </c>
      <c r="F116" t="inlineStr">
        <is>
          <t>App</t>
        </is>
      </c>
      <c r="G116" t="inlineStr">
        <is>
          <t>1. Visita</t>
        </is>
      </c>
      <c r="H116" t="n">
        <v>2</v>
      </c>
      <c r="I116" s="73" t="n">
        <v>147200</v>
      </c>
      <c r="J116" s="73" t="n">
        <v>338560</v>
      </c>
      <c r="K116" s="73" t="n">
        <v>245991</v>
      </c>
    </row>
    <row r="117">
      <c r="A117" t="n">
        <v>10669</v>
      </c>
      <c r="B117" s="72" t="n">
        <v>45408.75486111111</v>
      </c>
      <c r="C117" t="inlineStr">
        <is>
          <t>Valle del Cauca</t>
        </is>
      </c>
      <c r="D117" t="inlineStr">
        <is>
          <t>Cali</t>
        </is>
      </c>
      <c r="E117" t="inlineStr">
        <is>
          <t>Juguetes</t>
        </is>
      </c>
      <c r="F117" t="inlineStr">
        <is>
          <t>Web</t>
        </is>
      </c>
      <c r="G117" t="inlineStr">
        <is>
          <t>1. Visita</t>
        </is>
      </c>
      <c r="H117" t="n">
        <v>5</v>
      </c>
      <c r="I117" s="73" t="n">
        <v>70100</v>
      </c>
      <c r="J117" s="73" t="n">
        <v>403075</v>
      </c>
      <c r="K117" s="73" t="n">
        <v>237739</v>
      </c>
    </row>
    <row r="118">
      <c r="A118" t="n">
        <v>11678</v>
      </c>
      <c r="B118" s="72" t="n">
        <v>45408.81805555556</v>
      </c>
      <c r="C118" t="inlineStr">
        <is>
          <t>Bogotá D.C.</t>
        </is>
      </c>
      <c r="D118" t="inlineStr">
        <is>
          <t>Bogotá</t>
        </is>
      </c>
      <c r="E118" t="inlineStr">
        <is>
          <t>Hogar</t>
        </is>
      </c>
      <c r="F118" t="inlineStr">
        <is>
          <t>App</t>
        </is>
      </c>
      <c r="G118" t="inlineStr">
        <is>
          <t>1. Visita</t>
        </is>
      </c>
      <c r="H118" t="n">
        <v>2</v>
      </c>
      <c r="I118" s="73" t="n">
        <v>262400</v>
      </c>
      <c r="J118" s="73" t="n">
        <v>603520</v>
      </c>
      <c r="K118" s="73" t="n">
        <v>421116</v>
      </c>
    </row>
    <row r="119">
      <c r="A119" t="n">
        <v>10053</v>
      </c>
      <c r="B119" s="72" t="n">
        <v>45408.85416666666</v>
      </c>
      <c r="C119" t="inlineStr">
        <is>
          <t>Risaralda</t>
        </is>
      </c>
      <c r="D119" t="inlineStr">
        <is>
          <t>Pereira</t>
        </is>
      </c>
      <c r="E119" t="inlineStr">
        <is>
          <t>Moda</t>
        </is>
      </c>
      <c r="F119" t="inlineStr">
        <is>
          <t>App</t>
        </is>
      </c>
      <c r="G119" t="inlineStr">
        <is>
          <t>1. Visita</t>
        </is>
      </c>
      <c r="H119" t="n">
        <v>1</v>
      </c>
      <c r="I119" s="73" t="n">
        <v>128400</v>
      </c>
      <c r="J119" s="73" t="n">
        <v>147660</v>
      </c>
      <c r="K119" s="73" t="n">
        <v>105830</v>
      </c>
    </row>
    <row r="120">
      <c r="A120" t="n">
        <v>10675</v>
      </c>
      <c r="B120" s="72" t="n">
        <v>45408.92152777778</v>
      </c>
      <c r="C120" t="inlineStr">
        <is>
          <t>Bogotá D.C.</t>
        </is>
      </c>
      <c r="D120" t="inlineStr">
        <is>
          <t>Bogotá</t>
        </is>
      </c>
      <c r="E120" t="inlineStr">
        <is>
          <t>Deportes</t>
        </is>
      </c>
      <c r="F120" t="inlineStr">
        <is>
          <t>App</t>
        </is>
      </c>
      <c r="G120" t="inlineStr">
        <is>
          <t>1. Visita</t>
        </is>
      </c>
      <c r="H120" t="n">
        <v>5</v>
      </c>
      <c r="I120" s="73" t="n">
        <v>193600</v>
      </c>
      <c r="J120" s="73" t="n">
        <v>1113200</v>
      </c>
      <c r="K120" s="73" t="n">
        <v>638803</v>
      </c>
    </row>
    <row r="121">
      <c r="A121" t="n">
        <v>10898</v>
      </c>
      <c r="B121" s="72" t="n">
        <v>45409.49305555555</v>
      </c>
      <c r="C121" t="inlineStr">
        <is>
          <t>Bogotá D.C.</t>
        </is>
      </c>
      <c r="D121" t="inlineStr">
        <is>
          <t>Bogotá</t>
        </is>
      </c>
      <c r="E121" t="inlineStr">
        <is>
          <t>Belleza</t>
        </is>
      </c>
      <c r="F121" t="inlineStr">
        <is>
          <t>Tienda física</t>
        </is>
      </c>
      <c r="G121" t="inlineStr">
        <is>
          <t>3. Pago</t>
        </is>
      </c>
      <c r="H121" t="n">
        <v>2</v>
      </c>
      <c r="I121" s="73" t="n">
        <v>80300</v>
      </c>
      <c r="J121" s="73" t="n">
        <v>184690</v>
      </c>
      <c r="K121" s="73" t="n">
        <v>101622</v>
      </c>
    </row>
    <row r="122">
      <c r="A122" t="n">
        <v>10821</v>
      </c>
      <c r="B122" s="72" t="n">
        <v>45409.71319444444</v>
      </c>
      <c r="C122" t="inlineStr">
        <is>
          <t>Valle del Cauca</t>
        </is>
      </c>
      <c r="D122" t="inlineStr">
        <is>
          <t>Cali</t>
        </is>
      </c>
      <c r="E122" t="inlineStr">
        <is>
          <t>Hogar</t>
        </is>
      </c>
      <c r="F122" t="inlineStr">
        <is>
          <t>Web</t>
        </is>
      </c>
      <c r="G122" t="inlineStr">
        <is>
          <t>1. Visita</t>
        </is>
      </c>
      <c r="H122" t="n">
        <v>3</v>
      </c>
      <c r="I122" s="73" t="n">
        <v>224500</v>
      </c>
      <c r="J122" s="73" t="n">
        <v>774525</v>
      </c>
      <c r="K122" s="73" t="n">
        <v>469430</v>
      </c>
    </row>
    <row r="123">
      <c r="A123" t="n">
        <v>10367</v>
      </c>
      <c r="B123" s="72" t="n">
        <v>45409.81875</v>
      </c>
      <c r="C123" t="inlineStr">
        <is>
          <t>Nariño</t>
        </is>
      </c>
      <c r="D123" t="inlineStr">
        <is>
          <t>Pasto</t>
        </is>
      </c>
      <c r="E123" t="inlineStr">
        <is>
          <t>Tecnología</t>
        </is>
      </c>
      <c r="F123" t="inlineStr">
        <is>
          <t>Web</t>
        </is>
      </c>
      <c r="G123" t="inlineStr">
        <is>
          <t>2. Carrito</t>
        </is>
      </c>
      <c r="H123" t="n">
        <v>1</v>
      </c>
      <c r="I123" s="73" t="n">
        <v>752600</v>
      </c>
      <c r="J123" s="73" t="n">
        <v>865490</v>
      </c>
      <c r="K123" s="73" t="n">
        <v>528265</v>
      </c>
    </row>
    <row r="124">
      <c r="A124" t="n">
        <v>11252</v>
      </c>
      <c r="B124" s="72" t="n">
        <v>45409.95902777778</v>
      </c>
      <c r="C124" t="inlineStr">
        <is>
          <t>Santander</t>
        </is>
      </c>
      <c r="D124" t="inlineStr">
        <is>
          <t>Bucaramanga</t>
        </is>
      </c>
      <c r="E124" t="inlineStr">
        <is>
          <t>Hogar</t>
        </is>
      </c>
      <c r="F124" t="inlineStr">
        <is>
          <t>Tienda física</t>
        </is>
      </c>
      <c r="G124" t="inlineStr">
        <is>
          <t>1. Visita</t>
        </is>
      </c>
      <c r="H124" t="n">
        <v>4</v>
      </c>
      <c r="I124" s="73" t="n">
        <v>167300</v>
      </c>
      <c r="J124" s="73" t="n">
        <v>769580</v>
      </c>
      <c r="K124" s="73" t="n">
        <v>573569</v>
      </c>
    </row>
    <row r="125">
      <c r="A125" t="n">
        <v>11850</v>
      </c>
      <c r="B125" s="72" t="n">
        <v>45410.40555555555</v>
      </c>
      <c r="C125" t="inlineStr">
        <is>
          <t>Meta</t>
        </is>
      </c>
      <c r="D125" t="inlineStr">
        <is>
          <t>Villavicencio</t>
        </is>
      </c>
      <c r="E125" t="inlineStr">
        <is>
          <t>Hogar</t>
        </is>
      </c>
      <c r="F125" t="inlineStr">
        <is>
          <t>Tienda física</t>
        </is>
      </c>
      <c r="G125" t="inlineStr">
        <is>
          <t>1. Visita</t>
        </is>
      </c>
      <c r="H125" t="n">
        <v>3</v>
      </c>
      <c r="I125" s="73" t="n">
        <v>179500</v>
      </c>
      <c r="J125" s="73" t="n">
        <v>619275</v>
      </c>
      <c r="K125" s="73" t="n">
        <v>442918</v>
      </c>
    </row>
    <row r="126">
      <c r="A126" t="n">
        <v>11839</v>
      </c>
      <c r="B126" s="72" t="n">
        <v>45410.42361111111</v>
      </c>
      <c r="C126" t="inlineStr">
        <is>
          <t>Valle del Cauca</t>
        </is>
      </c>
      <c r="D126" t="inlineStr">
        <is>
          <t>Cali</t>
        </is>
      </c>
      <c r="E126" t="inlineStr">
        <is>
          <t>Tecnología</t>
        </is>
      </c>
      <c r="F126" t="inlineStr">
        <is>
          <t>App</t>
        </is>
      </c>
      <c r="G126" t="inlineStr">
        <is>
          <t>1. Visita</t>
        </is>
      </c>
      <c r="H126" t="n">
        <v>2</v>
      </c>
      <c r="I126" s="73" t="n">
        <v>642300</v>
      </c>
      <c r="J126" s="73" t="n">
        <v>1477290</v>
      </c>
      <c r="K126" s="73" t="n">
        <v>998359</v>
      </c>
    </row>
    <row r="127">
      <c r="A127" t="n">
        <v>10633</v>
      </c>
      <c r="B127" s="72" t="n">
        <v>45410.70555555556</v>
      </c>
      <c r="C127" t="inlineStr">
        <is>
          <t>Risaralda</t>
        </is>
      </c>
      <c r="D127" t="inlineStr">
        <is>
          <t>Pereira</t>
        </is>
      </c>
      <c r="E127" t="inlineStr">
        <is>
          <t>Tecnología</t>
        </is>
      </c>
      <c r="F127" t="inlineStr">
        <is>
          <t>App</t>
        </is>
      </c>
      <c r="G127" t="inlineStr">
        <is>
          <t>1. Visita</t>
        </is>
      </c>
      <c r="H127" t="n">
        <v>3</v>
      </c>
      <c r="I127" s="73" t="n">
        <v>730600</v>
      </c>
      <c r="J127" s="73" t="n">
        <v>2520570</v>
      </c>
      <c r="K127" s="73" t="n">
        <v>1578249</v>
      </c>
    </row>
    <row r="128">
      <c r="A128" t="n">
        <v>12327</v>
      </c>
      <c r="B128" s="72" t="n">
        <v>45410.87708333333</v>
      </c>
      <c r="C128" t="inlineStr">
        <is>
          <t>Bogotá D.C.</t>
        </is>
      </c>
      <c r="D128" t="inlineStr">
        <is>
          <t>Bogotá</t>
        </is>
      </c>
      <c r="E128" t="inlineStr">
        <is>
          <t>Moda</t>
        </is>
      </c>
      <c r="F128" t="inlineStr">
        <is>
          <t>App</t>
        </is>
      </c>
      <c r="G128" t="inlineStr">
        <is>
          <t>2. Carrito</t>
        </is>
      </c>
      <c r="H128" t="n">
        <v>2</v>
      </c>
      <c r="I128" s="73" t="n">
        <v>92600</v>
      </c>
      <c r="J128" s="73" t="n">
        <v>212980</v>
      </c>
      <c r="K128" s="73" t="n">
        <v>141545</v>
      </c>
    </row>
    <row r="129">
      <c r="A129" t="n">
        <v>12101</v>
      </c>
      <c r="B129" s="72" t="n">
        <v>45410.97708333333</v>
      </c>
      <c r="C129" t="inlineStr">
        <is>
          <t>Bogotá D.C.</t>
        </is>
      </c>
      <c r="D129" t="inlineStr">
        <is>
          <t>Bogotá</t>
        </is>
      </c>
      <c r="E129" t="inlineStr">
        <is>
          <t>Deportes</t>
        </is>
      </c>
      <c r="F129" t="inlineStr">
        <is>
          <t>Tienda física</t>
        </is>
      </c>
      <c r="G129" t="inlineStr">
        <is>
          <t>1. Visita</t>
        </is>
      </c>
      <c r="H129" t="n">
        <v>2</v>
      </c>
      <c r="I129" s="73" t="n">
        <v>181400</v>
      </c>
      <c r="J129" s="73" t="n">
        <v>417220</v>
      </c>
      <c r="K129" s="73" t="n">
        <v>244154</v>
      </c>
    </row>
    <row r="130">
      <c r="A130" t="n">
        <v>10983</v>
      </c>
      <c r="B130" s="72" t="n">
        <v>45411.29513888889</v>
      </c>
      <c r="C130" t="inlineStr">
        <is>
          <t>Bogotá D.C.</t>
        </is>
      </c>
      <c r="D130" t="inlineStr">
        <is>
          <t>Bogotá</t>
        </is>
      </c>
      <c r="E130" t="inlineStr">
        <is>
          <t>Tecnología</t>
        </is>
      </c>
      <c r="F130" t="inlineStr">
        <is>
          <t>Web</t>
        </is>
      </c>
      <c r="G130" t="inlineStr">
        <is>
          <t>1. Visita</t>
        </is>
      </c>
      <c r="H130" t="n">
        <v>2</v>
      </c>
      <c r="I130" s="73" t="n">
        <v>1084700</v>
      </c>
      <c r="J130" s="73" t="n">
        <v>2169400</v>
      </c>
      <c r="K130" s="73" t="n">
        <v>1229380</v>
      </c>
    </row>
    <row r="131">
      <c r="A131" t="n">
        <v>11984</v>
      </c>
      <c r="B131" s="72" t="n">
        <v>45411.40486111111</v>
      </c>
      <c r="C131" t="inlineStr">
        <is>
          <t>Antioquia</t>
        </is>
      </c>
      <c r="D131" t="inlineStr">
        <is>
          <t>Medellín</t>
        </is>
      </c>
      <c r="E131" t="inlineStr">
        <is>
          <t>Belleza</t>
        </is>
      </c>
      <c r="F131" t="inlineStr">
        <is>
          <t>Web</t>
        </is>
      </c>
      <c r="G131" t="inlineStr">
        <is>
          <t>2. Carrito</t>
        </is>
      </c>
      <c r="H131" t="n">
        <v>2</v>
      </c>
      <c r="I131" s="73" t="n">
        <v>84100</v>
      </c>
      <c r="J131" s="73" t="n">
        <v>168200</v>
      </c>
      <c r="K131" s="73" t="n">
        <v>118471</v>
      </c>
    </row>
    <row r="132">
      <c r="A132" t="n">
        <v>11917</v>
      </c>
      <c r="B132" s="72" t="n">
        <v>45411.71388888889</v>
      </c>
      <c r="C132" t="inlineStr">
        <is>
          <t>Antioquia</t>
        </is>
      </c>
      <c r="D132" t="inlineStr">
        <is>
          <t>Medellín</t>
        </is>
      </c>
      <c r="E132" t="inlineStr">
        <is>
          <t>Hogar</t>
        </is>
      </c>
      <c r="F132" t="inlineStr">
        <is>
          <t>App</t>
        </is>
      </c>
      <c r="G132" t="inlineStr">
        <is>
          <t>2. Carrito</t>
        </is>
      </c>
      <c r="H132" t="n">
        <v>4</v>
      </c>
      <c r="I132" s="73" t="n">
        <v>242000</v>
      </c>
      <c r="J132" s="73" t="n">
        <v>968000</v>
      </c>
      <c r="K132" s="73" t="n">
        <v>632776</v>
      </c>
    </row>
    <row r="133">
      <c r="A133" t="n">
        <v>11611</v>
      </c>
      <c r="B133" s="72" t="n">
        <v>45411.92569444444</v>
      </c>
      <c r="C133" t="inlineStr">
        <is>
          <t>Valle del Cauca</t>
        </is>
      </c>
      <c r="D133" t="inlineStr">
        <is>
          <t>Cali</t>
        </is>
      </c>
      <c r="E133" t="inlineStr">
        <is>
          <t>Deportes</t>
        </is>
      </c>
      <c r="F133" t="inlineStr">
        <is>
          <t>App</t>
        </is>
      </c>
      <c r="G133" t="inlineStr">
        <is>
          <t>2. Carrito</t>
        </is>
      </c>
      <c r="H133" t="n">
        <v>5</v>
      </c>
      <c r="I133" s="73" t="n">
        <v>154800</v>
      </c>
      <c r="J133" s="73" t="n">
        <v>774000</v>
      </c>
      <c r="K133" s="73" t="n">
        <v>568214</v>
      </c>
    </row>
    <row r="134">
      <c r="A134" t="n">
        <v>11418</v>
      </c>
      <c r="B134" s="72" t="n">
        <v>45411.97638888889</v>
      </c>
      <c r="C134" t="inlineStr">
        <is>
          <t>Nariño</t>
        </is>
      </c>
      <c r="D134" t="inlineStr">
        <is>
          <t>Pasto</t>
        </is>
      </c>
      <c r="E134" t="inlineStr">
        <is>
          <t>Tecnología</t>
        </is>
      </c>
      <c r="F134" t="inlineStr">
        <is>
          <t>App</t>
        </is>
      </c>
      <c r="G134" t="inlineStr">
        <is>
          <t>1. Visita</t>
        </is>
      </c>
      <c r="H134" t="n">
        <v>2</v>
      </c>
      <c r="I134" s="73" t="n">
        <v>1007600</v>
      </c>
      <c r="J134" s="73" t="n">
        <v>2015200</v>
      </c>
      <c r="K134" s="73" t="n">
        <v>1207088</v>
      </c>
    </row>
    <row r="135">
      <c r="A135" t="n">
        <v>10986</v>
      </c>
      <c r="B135" s="72" t="n">
        <v>45412.32708333333</v>
      </c>
      <c r="C135" t="inlineStr">
        <is>
          <t>Meta</t>
        </is>
      </c>
      <c r="D135" t="inlineStr">
        <is>
          <t>Villavicencio</t>
        </is>
      </c>
      <c r="E135" t="inlineStr">
        <is>
          <t>Juguetes</t>
        </is>
      </c>
      <c r="F135" t="inlineStr">
        <is>
          <t>App</t>
        </is>
      </c>
      <c r="G135" t="inlineStr">
        <is>
          <t>2. Carrito</t>
        </is>
      </c>
      <c r="H135" t="n">
        <v>1</v>
      </c>
      <c r="I135" s="73" t="n">
        <v>98900</v>
      </c>
      <c r="J135" s="73" t="n">
        <v>98900</v>
      </c>
      <c r="K135" s="73" t="n">
        <v>72799</v>
      </c>
    </row>
    <row r="136">
      <c r="A136" t="n">
        <v>10668</v>
      </c>
      <c r="B136" s="72" t="n">
        <v>45412.45902777778</v>
      </c>
      <c r="C136" t="inlineStr">
        <is>
          <t>Bogotá D.C.</t>
        </is>
      </c>
      <c r="D136" t="inlineStr">
        <is>
          <t>Bogotá</t>
        </is>
      </c>
      <c r="E136" t="inlineStr">
        <is>
          <t>Hogar</t>
        </is>
      </c>
      <c r="F136" t="inlineStr">
        <is>
          <t>Web</t>
        </is>
      </c>
      <c r="G136" t="inlineStr">
        <is>
          <t>1. Visita</t>
        </is>
      </c>
      <c r="H136" t="n">
        <v>1</v>
      </c>
      <c r="I136" s="73" t="n">
        <v>217700</v>
      </c>
      <c r="J136" s="73" t="n">
        <v>217700</v>
      </c>
      <c r="K136" s="73" t="n">
        <v>120247</v>
      </c>
    </row>
    <row r="137">
      <c r="A137" t="n">
        <v>10029</v>
      </c>
      <c r="B137" s="72" t="n">
        <v>45412.75833333333</v>
      </c>
      <c r="C137" t="inlineStr">
        <is>
          <t>Valle del Cauca</t>
        </is>
      </c>
      <c r="D137" t="inlineStr">
        <is>
          <t>Cali</t>
        </is>
      </c>
      <c r="E137" t="inlineStr">
        <is>
          <t>Tecnología</t>
        </is>
      </c>
      <c r="F137" t="inlineStr">
        <is>
          <t>Tienda física</t>
        </is>
      </c>
      <c r="G137" t="inlineStr">
        <is>
          <t>3. Pago</t>
        </is>
      </c>
      <c r="H137" t="n">
        <v>2</v>
      </c>
      <c r="I137" s="73" t="n">
        <v>725300</v>
      </c>
      <c r="J137" s="73" t="n">
        <v>1450600</v>
      </c>
      <c r="K137" s="73" t="n">
        <v>924376</v>
      </c>
    </row>
    <row r="138">
      <c r="A138" t="n">
        <v>12086</v>
      </c>
      <c r="B138" s="72" t="n">
        <v>45413.39166666667</v>
      </c>
      <c r="C138" t="inlineStr">
        <is>
          <t>Meta</t>
        </is>
      </c>
      <c r="D138" t="inlineStr">
        <is>
          <t>Villavicencio</t>
        </is>
      </c>
      <c r="E138" t="inlineStr">
        <is>
          <t>Tecnología</t>
        </is>
      </c>
      <c r="F138" t="inlineStr">
        <is>
          <t>Web</t>
        </is>
      </c>
      <c r="G138" t="inlineStr">
        <is>
          <t>2. Carrito</t>
        </is>
      </c>
      <c r="H138" t="n">
        <v>5</v>
      </c>
      <c r="I138" s="73" t="n">
        <v>913400</v>
      </c>
      <c r="J138" s="73" t="n">
        <v>4567000</v>
      </c>
      <c r="K138" s="73" t="n">
        <v>3203894</v>
      </c>
    </row>
    <row r="139">
      <c r="A139" t="n">
        <v>11861</v>
      </c>
      <c r="B139" s="72" t="n">
        <v>45413.54791666667</v>
      </c>
      <c r="C139" t="inlineStr">
        <is>
          <t>Bogotá D.C.</t>
        </is>
      </c>
      <c r="D139" t="inlineStr">
        <is>
          <t>Bogotá</t>
        </is>
      </c>
      <c r="E139" t="inlineStr">
        <is>
          <t>Tecnología</t>
        </is>
      </c>
      <c r="F139" t="inlineStr">
        <is>
          <t>Web</t>
        </is>
      </c>
      <c r="G139" t="inlineStr">
        <is>
          <t>1. Visita</t>
        </is>
      </c>
      <c r="H139" t="n">
        <v>2</v>
      </c>
      <c r="I139" s="73" t="n">
        <v>1046200</v>
      </c>
      <c r="J139" s="73" t="n">
        <v>2092400</v>
      </c>
      <c r="K139" s="73" t="n">
        <v>1394826</v>
      </c>
    </row>
    <row r="140">
      <c r="A140" t="n">
        <v>11500</v>
      </c>
      <c r="B140" s="72" t="n">
        <v>45413.57222222222</v>
      </c>
      <c r="C140" t="inlineStr">
        <is>
          <t>Atlántico</t>
        </is>
      </c>
      <c r="D140" t="inlineStr">
        <is>
          <t>Barranquilla</t>
        </is>
      </c>
      <c r="E140" t="inlineStr">
        <is>
          <t>Belleza</t>
        </is>
      </c>
      <c r="F140" t="inlineStr">
        <is>
          <t>Marketplace</t>
        </is>
      </c>
      <c r="G140" t="inlineStr">
        <is>
          <t>3. Pago</t>
        </is>
      </c>
      <c r="H140" t="n">
        <v>2</v>
      </c>
      <c r="I140" s="73" t="n">
        <v>86600</v>
      </c>
      <c r="J140" s="73" t="n">
        <v>173200</v>
      </c>
      <c r="K140" s="73" t="n">
        <v>127089</v>
      </c>
    </row>
    <row r="141">
      <c r="A141" t="n">
        <v>11042</v>
      </c>
      <c r="B141" s="72" t="n">
        <v>45413.93194444444</v>
      </c>
      <c r="C141" t="inlineStr">
        <is>
          <t>Bogotá D.C.</t>
        </is>
      </c>
      <c r="D141" t="inlineStr">
        <is>
          <t>Bogotá</t>
        </is>
      </c>
      <c r="E141" t="inlineStr">
        <is>
          <t>Hogar</t>
        </is>
      </c>
      <c r="F141" t="inlineStr">
        <is>
          <t>App</t>
        </is>
      </c>
      <c r="G141" t="inlineStr">
        <is>
          <t>3. Pago</t>
        </is>
      </c>
      <c r="H141" t="n">
        <v>5</v>
      </c>
      <c r="I141" s="73" t="n">
        <v>169700</v>
      </c>
      <c r="J141" s="73" t="n">
        <v>848500</v>
      </c>
      <c r="K141" s="73" t="n">
        <v>535067</v>
      </c>
    </row>
    <row r="142">
      <c r="A142" t="n">
        <v>10838</v>
      </c>
      <c r="B142" s="72" t="n">
        <v>45414.42291666667</v>
      </c>
      <c r="C142" t="inlineStr">
        <is>
          <t>Atlántico</t>
        </is>
      </c>
      <c r="D142" t="inlineStr">
        <is>
          <t>Barranquilla</t>
        </is>
      </c>
      <c r="E142" t="inlineStr">
        <is>
          <t>Tecnología</t>
        </is>
      </c>
      <c r="F142" t="inlineStr">
        <is>
          <t>Web</t>
        </is>
      </c>
      <c r="G142" t="inlineStr">
        <is>
          <t>4. Compra</t>
        </is>
      </c>
      <c r="H142" t="n">
        <v>2</v>
      </c>
      <c r="I142" s="73" t="n">
        <v>826100</v>
      </c>
      <c r="J142" s="73" t="n">
        <v>1652200</v>
      </c>
      <c r="K142" s="73" t="n">
        <v>1145826</v>
      </c>
    </row>
    <row r="143">
      <c r="A143" t="n">
        <v>11908</v>
      </c>
      <c r="B143" s="72" t="n">
        <v>45414.43472222222</v>
      </c>
      <c r="C143" t="inlineStr">
        <is>
          <t>Bogotá D.C.</t>
        </is>
      </c>
      <c r="D143" t="inlineStr">
        <is>
          <t>Bogotá</t>
        </is>
      </c>
      <c r="E143" t="inlineStr">
        <is>
          <t>Belleza</t>
        </is>
      </c>
      <c r="F143" t="inlineStr">
        <is>
          <t>App</t>
        </is>
      </c>
      <c r="G143" t="inlineStr">
        <is>
          <t>3. Pago</t>
        </is>
      </c>
      <c r="H143" t="n">
        <v>2</v>
      </c>
      <c r="I143" s="73" t="n">
        <v>58900</v>
      </c>
      <c r="J143" s="73" t="n">
        <v>117800</v>
      </c>
      <c r="K143" s="73" t="n">
        <v>69004</v>
      </c>
    </row>
    <row r="144">
      <c r="A144" t="n">
        <v>10659</v>
      </c>
      <c r="B144" s="72" t="n">
        <v>45414.53402777778</v>
      </c>
      <c r="C144" t="inlineStr">
        <is>
          <t>Atlántico</t>
        </is>
      </c>
      <c r="D144" t="inlineStr">
        <is>
          <t>Barranquilla</t>
        </is>
      </c>
      <c r="E144" t="inlineStr">
        <is>
          <t>Deportes</t>
        </is>
      </c>
      <c r="F144" t="inlineStr">
        <is>
          <t>Tienda física</t>
        </is>
      </c>
      <c r="G144" t="inlineStr">
        <is>
          <t>4. Compra</t>
        </is>
      </c>
      <c r="H144" t="n">
        <v>3</v>
      </c>
      <c r="I144" s="73" t="n">
        <v>126800</v>
      </c>
      <c r="J144" s="73" t="n">
        <v>380400</v>
      </c>
      <c r="K144" s="73" t="n">
        <v>213769</v>
      </c>
    </row>
    <row r="145">
      <c r="A145" t="n">
        <v>12057</v>
      </c>
      <c r="B145" s="72" t="n">
        <v>45414.53819444445</v>
      </c>
      <c r="C145" t="inlineStr">
        <is>
          <t>Meta</t>
        </is>
      </c>
      <c r="D145" t="inlineStr">
        <is>
          <t>Villavicencio</t>
        </is>
      </c>
      <c r="E145" t="inlineStr">
        <is>
          <t>Moda</t>
        </is>
      </c>
      <c r="F145" t="inlineStr">
        <is>
          <t>Tienda física</t>
        </is>
      </c>
      <c r="G145" t="inlineStr">
        <is>
          <t>1. Visita</t>
        </is>
      </c>
      <c r="H145" t="n">
        <v>3</v>
      </c>
      <c r="I145" s="73" t="n">
        <v>142900</v>
      </c>
      <c r="J145" s="73" t="n">
        <v>428700</v>
      </c>
      <c r="K145" s="73" t="n">
        <v>312600</v>
      </c>
    </row>
    <row r="146">
      <c r="A146" t="n">
        <v>12052</v>
      </c>
      <c r="B146" s="72" t="n">
        <v>45415.49166666667</v>
      </c>
      <c r="C146" t="inlineStr">
        <is>
          <t>Antioquia</t>
        </is>
      </c>
      <c r="D146" t="inlineStr">
        <is>
          <t>Medellín</t>
        </is>
      </c>
      <c r="E146" t="inlineStr">
        <is>
          <t>Hogar</t>
        </is>
      </c>
      <c r="F146" t="inlineStr">
        <is>
          <t>Web</t>
        </is>
      </c>
      <c r="G146" t="inlineStr">
        <is>
          <t>2. Carrito</t>
        </is>
      </c>
      <c r="H146" t="n">
        <v>2</v>
      </c>
      <c r="I146" s="73" t="n">
        <v>260400</v>
      </c>
      <c r="J146" s="73" t="n">
        <v>598920</v>
      </c>
      <c r="K146" s="73" t="n">
        <v>389009</v>
      </c>
    </row>
    <row r="147">
      <c r="A147" t="n">
        <v>10768</v>
      </c>
      <c r="B147" s="72" t="n">
        <v>45415.52291666667</v>
      </c>
      <c r="C147" t="inlineStr">
        <is>
          <t>Valle del Cauca</t>
        </is>
      </c>
      <c r="D147" t="inlineStr">
        <is>
          <t>Cali</t>
        </is>
      </c>
      <c r="E147" t="inlineStr">
        <is>
          <t>Juguetes</t>
        </is>
      </c>
      <c r="F147" t="inlineStr">
        <is>
          <t>App</t>
        </is>
      </c>
      <c r="G147" t="inlineStr">
        <is>
          <t>1. Visita</t>
        </is>
      </c>
      <c r="H147" t="n">
        <v>4</v>
      </c>
      <c r="I147" s="73" t="n">
        <v>102100</v>
      </c>
      <c r="J147" s="73" t="n">
        <v>469660</v>
      </c>
      <c r="K147" s="73" t="n">
        <v>261088</v>
      </c>
    </row>
    <row r="148">
      <c r="A148" t="n">
        <v>10932</v>
      </c>
      <c r="B148" s="72" t="n">
        <v>45415.80069444444</v>
      </c>
      <c r="C148" t="inlineStr">
        <is>
          <t>Bogotá D.C.</t>
        </is>
      </c>
      <c r="D148" t="inlineStr">
        <is>
          <t>Bogotá</t>
        </is>
      </c>
      <c r="E148" t="inlineStr">
        <is>
          <t>Hogar</t>
        </is>
      </c>
      <c r="F148" t="inlineStr">
        <is>
          <t>Web</t>
        </is>
      </c>
      <c r="G148" t="inlineStr">
        <is>
          <t>2. Carrito</t>
        </is>
      </c>
      <c r="H148" t="n">
        <v>4</v>
      </c>
      <c r="I148" s="73" t="n">
        <v>219500</v>
      </c>
      <c r="J148" s="73" t="n">
        <v>1009700</v>
      </c>
      <c r="K148" s="73" t="n">
        <v>586967</v>
      </c>
    </row>
    <row r="149">
      <c r="A149" t="n">
        <v>10172</v>
      </c>
      <c r="B149" s="72" t="n">
        <v>45415.82916666667</v>
      </c>
      <c r="C149" t="inlineStr">
        <is>
          <t>Bogotá D.C.</t>
        </is>
      </c>
      <c r="D149" t="inlineStr">
        <is>
          <t>Bogotá</t>
        </is>
      </c>
      <c r="E149" t="inlineStr">
        <is>
          <t>Juguetes</t>
        </is>
      </c>
      <c r="F149" t="inlineStr">
        <is>
          <t>Tienda física</t>
        </is>
      </c>
      <c r="G149" t="inlineStr">
        <is>
          <t>1. Visita</t>
        </is>
      </c>
      <c r="H149" t="n">
        <v>5</v>
      </c>
      <c r="I149" s="73" t="n">
        <v>64500</v>
      </c>
      <c r="J149" s="73" t="n">
        <v>370875</v>
      </c>
      <c r="K149" s="73" t="n">
        <v>229028</v>
      </c>
    </row>
    <row r="150">
      <c r="A150" t="n">
        <v>10748</v>
      </c>
      <c r="B150" s="72" t="n">
        <v>45415.83611111111</v>
      </c>
      <c r="C150" t="inlineStr">
        <is>
          <t>Bogotá D.C.</t>
        </is>
      </c>
      <c r="D150" t="inlineStr">
        <is>
          <t>Bogotá</t>
        </is>
      </c>
      <c r="E150" t="inlineStr">
        <is>
          <t>Deportes</t>
        </is>
      </c>
      <c r="F150" t="inlineStr">
        <is>
          <t>Tienda física</t>
        </is>
      </c>
      <c r="G150" t="inlineStr">
        <is>
          <t>4. Compra</t>
        </is>
      </c>
      <c r="H150" t="n">
        <v>5</v>
      </c>
      <c r="I150" s="73" t="n">
        <v>133700</v>
      </c>
      <c r="J150" s="73" t="n">
        <v>768775</v>
      </c>
      <c r="K150" s="73" t="n">
        <v>430023</v>
      </c>
    </row>
    <row r="151">
      <c r="A151" t="n">
        <v>11438</v>
      </c>
      <c r="B151" s="72" t="n">
        <v>45415.86111111111</v>
      </c>
      <c r="C151" t="inlineStr">
        <is>
          <t>Antioquia</t>
        </is>
      </c>
      <c r="D151" t="inlineStr">
        <is>
          <t>Medellín</t>
        </is>
      </c>
      <c r="E151" t="inlineStr">
        <is>
          <t>Hogar</t>
        </is>
      </c>
      <c r="F151" t="inlineStr">
        <is>
          <t>App</t>
        </is>
      </c>
      <c r="G151" t="inlineStr">
        <is>
          <t>3. Pago</t>
        </is>
      </c>
      <c r="H151" t="n">
        <v>3</v>
      </c>
      <c r="I151" s="73" t="n">
        <v>254900</v>
      </c>
      <c r="J151" s="73" t="n">
        <v>879405</v>
      </c>
      <c r="K151" s="73" t="n">
        <v>578743</v>
      </c>
    </row>
    <row r="152">
      <c r="A152" t="n">
        <v>11074</v>
      </c>
      <c r="B152" s="72" t="n">
        <v>45415.86597222222</v>
      </c>
      <c r="C152" t="inlineStr">
        <is>
          <t>Antioquia</t>
        </is>
      </c>
      <c r="D152" t="inlineStr">
        <is>
          <t>Medellín</t>
        </is>
      </c>
      <c r="E152" t="inlineStr">
        <is>
          <t>Deportes</t>
        </is>
      </c>
      <c r="F152" t="inlineStr">
        <is>
          <t>Web</t>
        </is>
      </c>
      <c r="G152" t="inlineStr">
        <is>
          <t>3. Pago</t>
        </is>
      </c>
      <c r="H152" t="n">
        <v>1</v>
      </c>
      <c r="I152" s="73" t="n">
        <v>176000</v>
      </c>
      <c r="J152" s="73" t="n">
        <v>202400</v>
      </c>
      <c r="K152" s="73" t="n">
        <v>118470</v>
      </c>
    </row>
    <row r="153">
      <c r="A153" t="n">
        <v>12389</v>
      </c>
      <c r="B153" s="72" t="n">
        <v>45416.43472222222</v>
      </c>
      <c r="C153" t="inlineStr">
        <is>
          <t>Santander</t>
        </is>
      </c>
      <c r="D153" t="inlineStr">
        <is>
          <t>Bucaramanga</t>
        </is>
      </c>
      <c r="E153" t="inlineStr">
        <is>
          <t>Juguetes</t>
        </is>
      </c>
      <c r="F153" t="inlineStr">
        <is>
          <t>App</t>
        </is>
      </c>
      <c r="G153" t="inlineStr">
        <is>
          <t>2. Carrito</t>
        </is>
      </c>
      <c r="H153" t="n">
        <v>4</v>
      </c>
      <c r="I153" s="73" t="n">
        <v>87600</v>
      </c>
      <c r="J153" s="73" t="n">
        <v>402960</v>
      </c>
      <c r="K153" s="73" t="n">
        <v>262586</v>
      </c>
    </row>
    <row r="154">
      <c r="A154" t="n">
        <v>11008</v>
      </c>
      <c r="B154" s="72" t="n">
        <v>45416.51319444444</v>
      </c>
      <c r="C154" t="inlineStr">
        <is>
          <t>Meta</t>
        </is>
      </c>
      <c r="D154" t="inlineStr">
        <is>
          <t>Villavicencio</t>
        </is>
      </c>
      <c r="E154" t="inlineStr">
        <is>
          <t>Tecnología</t>
        </is>
      </c>
      <c r="F154" t="inlineStr">
        <is>
          <t>Web</t>
        </is>
      </c>
      <c r="G154" t="inlineStr">
        <is>
          <t>1. Visita</t>
        </is>
      </c>
      <c r="H154" t="n">
        <v>2</v>
      </c>
      <c r="I154" s="73" t="n">
        <v>986500</v>
      </c>
      <c r="J154" s="73" t="n">
        <v>2268950</v>
      </c>
      <c r="K154" s="73" t="n">
        <v>1544880</v>
      </c>
    </row>
    <row r="155">
      <c r="A155" t="n">
        <v>10092</v>
      </c>
      <c r="B155" s="72" t="n">
        <v>45416.675</v>
      </c>
      <c r="C155" t="inlineStr">
        <is>
          <t>Bolívar</t>
        </is>
      </c>
      <c r="D155" t="inlineStr">
        <is>
          <t>Cartagena</t>
        </is>
      </c>
      <c r="E155" t="inlineStr">
        <is>
          <t>Deportes</t>
        </is>
      </c>
      <c r="F155" t="inlineStr">
        <is>
          <t>Marketplace</t>
        </is>
      </c>
      <c r="G155" t="inlineStr">
        <is>
          <t>3. Pago</t>
        </is>
      </c>
      <c r="H155" t="n">
        <v>3</v>
      </c>
      <c r="I155" s="73" t="n">
        <v>123700</v>
      </c>
      <c r="J155" s="73" t="n">
        <v>426765</v>
      </c>
      <c r="K155" s="73" t="n">
        <v>282940</v>
      </c>
    </row>
    <row r="156">
      <c r="A156" t="n">
        <v>10963</v>
      </c>
      <c r="B156" s="72" t="n">
        <v>45416.72222222222</v>
      </c>
      <c r="C156" t="inlineStr">
        <is>
          <t>Valle del Cauca</t>
        </is>
      </c>
      <c r="D156" t="inlineStr">
        <is>
          <t>Cali</t>
        </is>
      </c>
      <c r="E156" t="inlineStr">
        <is>
          <t>Tecnología</t>
        </is>
      </c>
      <c r="F156" t="inlineStr">
        <is>
          <t>App</t>
        </is>
      </c>
      <c r="G156" t="inlineStr">
        <is>
          <t>1. Visita</t>
        </is>
      </c>
      <c r="H156" t="n">
        <v>3</v>
      </c>
      <c r="I156" s="73" t="n">
        <v>871200</v>
      </c>
      <c r="J156" s="73" t="n">
        <v>3005640</v>
      </c>
      <c r="K156" s="73" t="n">
        <v>1741198</v>
      </c>
    </row>
    <row r="157">
      <c r="A157" t="n">
        <v>10271</v>
      </c>
      <c r="B157" s="72" t="n">
        <v>45416.74444444444</v>
      </c>
      <c r="C157" t="inlineStr">
        <is>
          <t>Antioquia</t>
        </is>
      </c>
      <c r="D157" t="inlineStr">
        <is>
          <t>Medellín</t>
        </is>
      </c>
      <c r="E157" t="inlineStr">
        <is>
          <t>Juguetes</t>
        </is>
      </c>
      <c r="F157" t="inlineStr">
        <is>
          <t>Web</t>
        </is>
      </c>
      <c r="G157" t="inlineStr">
        <is>
          <t>1. Visita</t>
        </is>
      </c>
      <c r="H157" t="n">
        <v>3</v>
      </c>
      <c r="I157" s="73" t="n">
        <v>105100</v>
      </c>
      <c r="J157" s="73" t="n">
        <v>362595</v>
      </c>
      <c r="K157" s="73" t="n">
        <v>206210</v>
      </c>
    </row>
    <row r="158">
      <c r="A158" t="n">
        <v>10577</v>
      </c>
      <c r="B158" s="72" t="n">
        <v>45416.95138888889</v>
      </c>
      <c r="C158" t="inlineStr">
        <is>
          <t>Antioquia</t>
        </is>
      </c>
      <c r="D158" t="inlineStr">
        <is>
          <t>Medellín</t>
        </is>
      </c>
      <c r="E158" t="inlineStr">
        <is>
          <t>Belleza</t>
        </is>
      </c>
      <c r="F158" t="inlineStr">
        <is>
          <t>Web</t>
        </is>
      </c>
      <c r="G158" t="inlineStr">
        <is>
          <t>2. Carrito</t>
        </is>
      </c>
      <c r="H158" t="n">
        <v>4</v>
      </c>
      <c r="I158" s="73" t="n">
        <v>61200</v>
      </c>
      <c r="J158" s="73" t="n">
        <v>281520</v>
      </c>
      <c r="K158" s="73" t="n">
        <v>208745</v>
      </c>
    </row>
    <row r="159">
      <c r="A159" t="n">
        <v>12263</v>
      </c>
      <c r="B159" s="72" t="n">
        <v>45417.33680555555</v>
      </c>
      <c r="C159" t="inlineStr">
        <is>
          <t>Antioquia</t>
        </is>
      </c>
      <c r="D159" t="inlineStr">
        <is>
          <t>Medellín</t>
        </is>
      </c>
      <c r="E159" t="inlineStr">
        <is>
          <t>Deportes</t>
        </is>
      </c>
      <c r="F159" t="inlineStr">
        <is>
          <t>Tienda física</t>
        </is>
      </c>
      <c r="G159" t="inlineStr">
        <is>
          <t>2. Carrito</t>
        </is>
      </c>
      <c r="H159" t="n">
        <v>5</v>
      </c>
      <c r="I159" s="73" t="n">
        <v>118200</v>
      </c>
      <c r="J159" s="73" t="n">
        <v>679650</v>
      </c>
      <c r="K159" s="73" t="n">
        <v>503495</v>
      </c>
    </row>
    <row r="160">
      <c r="A160" t="n">
        <v>11431</v>
      </c>
      <c r="B160" s="72" t="n">
        <v>45417.37430555555</v>
      </c>
      <c r="C160" t="inlineStr">
        <is>
          <t>Bogotá D.C.</t>
        </is>
      </c>
      <c r="D160" t="inlineStr">
        <is>
          <t>Bogotá</t>
        </is>
      </c>
      <c r="E160" t="inlineStr">
        <is>
          <t>Tecnología</t>
        </is>
      </c>
      <c r="F160" t="inlineStr">
        <is>
          <t>Web</t>
        </is>
      </c>
      <c r="G160" t="inlineStr">
        <is>
          <t>3. Pago</t>
        </is>
      </c>
      <c r="H160" t="n">
        <v>2</v>
      </c>
      <c r="I160" s="73" t="n">
        <v>653500</v>
      </c>
      <c r="J160" s="73" t="n">
        <v>1503050</v>
      </c>
      <c r="K160" s="73" t="n">
        <v>1093023</v>
      </c>
    </row>
    <row r="161">
      <c r="A161" t="n">
        <v>11187</v>
      </c>
      <c r="B161" s="72" t="n">
        <v>45417.50069444445</v>
      </c>
      <c r="C161" t="inlineStr">
        <is>
          <t>Bogotá D.C.</t>
        </is>
      </c>
      <c r="D161" t="inlineStr">
        <is>
          <t>Bogotá</t>
        </is>
      </c>
      <c r="E161" t="inlineStr">
        <is>
          <t>Hogar</t>
        </is>
      </c>
      <c r="F161" t="inlineStr">
        <is>
          <t>Tienda física</t>
        </is>
      </c>
      <c r="G161" t="inlineStr">
        <is>
          <t>3. Pago</t>
        </is>
      </c>
      <c r="H161" t="n">
        <v>5</v>
      </c>
      <c r="I161" s="73" t="n">
        <v>236800</v>
      </c>
      <c r="J161" s="73" t="n">
        <v>1361600</v>
      </c>
      <c r="K161" s="73" t="n">
        <v>771845</v>
      </c>
    </row>
    <row r="162">
      <c r="A162" t="n">
        <v>12267</v>
      </c>
      <c r="B162" s="72" t="n">
        <v>45417.51944444444</v>
      </c>
      <c r="C162" t="inlineStr">
        <is>
          <t>Huila</t>
        </is>
      </c>
      <c r="D162" t="inlineStr">
        <is>
          <t>Neiva</t>
        </is>
      </c>
      <c r="E162" t="inlineStr">
        <is>
          <t>Belleza</t>
        </is>
      </c>
      <c r="F162" t="inlineStr">
        <is>
          <t>Web</t>
        </is>
      </c>
      <c r="G162" t="inlineStr">
        <is>
          <t>1. Visita</t>
        </is>
      </c>
      <c r="H162" t="n">
        <v>3</v>
      </c>
      <c r="I162" s="73" t="n">
        <v>77200</v>
      </c>
      <c r="J162" s="73" t="n">
        <v>266340</v>
      </c>
      <c r="K162" s="73" t="n">
        <v>154100</v>
      </c>
    </row>
    <row r="163">
      <c r="A163" t="n">
        <v>10389</v>
      </c>
      <c r="B163" s="72" t="n">
        <v>45417.57430555556</v>
      </c>
      <c r="C163" t="inlineStr">
        <is>
          <t>Valle del Cauca</t>
        </is>
      </c>
      <c r="D163" t="inlineStr">
        <is>
          <t>Cali</t>
        </is>
      </c>
      <c r="E163" t="inlineStr">
        <is>
          <t>Belleza</t>
        </is>
      </c>
      <c r="F163" t="inlineStr">
        <is>
          <t>App</t>
        </is>
      </c>
      <c r="G163" t="inlineStr">
        <is>
          <t>1. Visita</t>
        </is>
      </c>
      <c r="H163" t="n">
        <v>2</v>
      </c>
      <c r="I163" s="73" t="n">
        <v>65800</v>
      </c>
      <c r="J163" s="73" t="n">
        <v>151340</v>
      </c>
      <c r="K163" s="73" t="n">
        <v>86314</v>
      </c>
    </row>
    <row r="164">
      <c r="A164" t="n">
        <v>10276</v>
      </c>
      <c r="B164" s="72" t="n">
        <v>45417.64027777778</v>
      </c>
      <c r="C164" t="inlineStr">
        <is>
          <t>Valle del Cauca</t>
        </is>
      </c>
      <c r="D164" t="inlineStr">
        <is>
          <t>Cali</t>
        </is>
      </c>
      <c r="E164" t="inlineStr">
        <is>
          <t>Belleza</t>
        </is>
      </c>
      <c r="F164" t="inlineStr">
        <is>
          <t>Tienda física</t>
        </is>
      </c>
      <c r="G164" t="inlineStr">
        <is>
          <t>2. Carrito</t>
        </is>
      </c>
      <c r="H164" t="n">
        <v>4</v>
      </c>
      <c r="I164" s="73" t="n">
        <v>52200</v>
      </c>
      <c r="J164" s="73" t="n">
        <v>240120</v>
      </c>
      <c r="K164" s="73" t="n">
        <v>145374</v>
      </c>
    </row>
    <row r="165">
      <c r="A165" t="n">
        <v>11897</v>
      </c>
      <c r="B165" s="72" t="n">
        <v>45417.7125</v>
      </c>
      <c r="C165" t="inlineStr">
        <is>
          <t>Bogotá D.C.</t>
        </is>
      </c>
      <c r="D165" t="inlineStr">
        <is>
          <t>Bogotá</t>
        </is>
      </c>
      <c r="E165" t="inlineStr">
        <is>
          <t>Belleza</t>
        </is>
      </c>
      <c r="F165" t="inlineStr">
        <is>
          <t>App</t>
        </is>
      </c>
      <c r="G165" t="inlineStr">
        <is>
          <t>1. Visita</t>
        </is>
      </c>
      <c r="H165" t="n">
        <v>2</v>
      </c>
      <c r="I165" s="73" t="n">
        <v>55900</v>
      </c>
      <c r="J165" s="73" t="n">
        <v>128570</v>
      </c>
      <c r="K165" s="73" t="n">
        <v>79068</v>
      </c>
    </row>
    <row r="166">
      <c r="A166" t="n">
        <v>11207</v>
      </c>
      <c r="B166" s="72" t="n">
        <v>45417.97152777778</v>
      </c>
      <c r="C166" t="inlineStr">
        <is>
          <t>Valle del Cauca</t>
        </is>
      </c>
      <c r="D166" t="inlineStr">
        <is>
          <t>Cali</t>
        </is>
      </c>
      <c r="E166" t="inlineStr">
        <is>
          <t>Tecnología</t>
        </is>
      </c>
      <c r="F166" t="inlineStr">
        <is>
          <t>App</t>
        </is>
      </c>
      <c r="G166" t="inlineStr">
        <is>
          <t>2. Carrito</t>
        </is>
      </c>
      <c r="H166" t="n">
        <v>4</v>
      </c>
      <c r="I166" s="73" t="n">
        <v>830900</v>
      </c>
      <c r="J166" s="73" t="n">
        <v>3822140</v>
      </c>
      <c r="K166" s="73" t="n">
        <v>2389645</v>
      </c>
    </row>
    <row r="167">
      <c r="A167" t="n">
        <v>11423</v>
      </c>
      <c r="B167" s="72" t="n">
        <v>45418.33819444444</v>
      </c>
      <c r="C167" t="inlineStr">
        <is>
          <t>Huila</t>
        </is>
      </c>
      <c r="D167" t="inlineStr">
        <is>
          <t>Neiva</t>
        </is>
      </c>
      <c r="E167" t="inlineStr">
        <is>
          <t>Juguetes</t>
        </is>
      </c>
      <c r="F167" t="inlineStr">
        <is>
          <t>App</t>
        </is>
      </c>
      <c r="G167" t="inlineStr">
        <is>
          <t>1. Visita</t>
        </is>
      </c>
      <c r="H167" t="n">
        <v>4</v>
      </c>
      <c r="I167" s="73" t="n">
        <v>72500</v>
      </c>
      <c r="J167" s="73" t="n">
        <v>290000</v>
      </c>
      <c r="K167" s="73" t="n">
        <v>198102</v>
      </c>
    </row>
    <row r="168">
      <c r="A168" t="n">
        <v>11555</v>
      </c>
      <c r="B168" s="72" t="n">
        <v>45418.37638888889</v>
      </c>
      <c r="C168" t="inlineStr">
        <is>
          <t>Bogotá D.C.</t>
        </is>
      </c>
      <c r="D168" t="inlineStr">
        <is>
          <t>Bogotá</t>
        </is>
      </c>
      <c r="E168" t="inlineStr">
        <is>
          <t>Tecnología</t>
        </is>
      </c>
      <c r="F168" t="inlineStr">
        <is>
          <t>Marketplace</t>
        </is>
      </c>
      <c r="G168" t="inlineStr">
        <is>
          <t>4. Compra</t>
        </is>
      </c>
      <c r="H168" t="n">
        <v>4</v>
      </c>
      <c r="I168" s="73" t="n">
        <v>1090700</v>
      </c>
      <c r="J168" s="73" t="n">
        <v>4362800</v>
      </c>
      <c r="K168" s="73" t="n">
        <v>3088714</v>
      </c>
    </row>
    <row r="169">
      <c r="A169" t="n">
        <v>10045</v>
      </c>
      <c r="B169" s="72" t="n">
        <v>45418.68472222222</v>
      </c>
      <c r="C169" t="inlineStr">
        <is>
          <t>Santander</t>
        </is>
      </c>
      <c r="D169" t="inlineStr">
        <is>
          <t>Bucaramanga</t>
        </is>
      </c>
      <c r="E169" t="inlineStr">
        <is>
          <t>Belleza</t>
        </is>
      </c>
      <c r="F169" t="inlineStr">
        <is>
          <t>Web</t>
        </is>
      </c>
      <c r="G169" t="inlineStr">
        <is>
          <t>1. Visita</t>
        </is>
      </c>
      <c r="H169" t="n">
        <v>1</v>
      </c>
      <c r="I169" s="73" t="n">
        <v>77500</v>
      </c>
      <c r="J169" s="73" t="n">
        <v>77500</v>
      </c>
      <c r="K169" s="73" t="n">
        <v>53820</v>
      </c>
    </row>
    <row r="170">
      <c r="A170" t="n">
        <v>12119</v>
      </c>
      <c r="B170" s="72" t="n">
        <v>45418.69236111111</v>
      </c>
      <c r="C170" t="inlineStr">
        <is>
          <t>Bogotá D.C.</t>
        </is>
      </c>
      <c r="D170" t="inlineStr">
        <is>
          <t>Bogotá</t>
        </is>
      </c>
      <c r="E170" t="inlineStr">
        <is>
          <t>Hogar</t>
        </is>
      </c>
      <c r="F170" t="inlineStr">
        <is>
          <t>Tienda física</t>
        </is>
      </c>
      <c r="G170" t="inlineStr">
        <is>
          <t>2. Carrito</t>
        </is>
      </c>
      <c r="H170" t="n">
        <v>1</v>
      </c>
      <c r="I170" s="73" t="n">
        <v>235200</v>
      </c>
      <c r="J170" s="73" t="n">
        <v>235200</v>
      </c>
      <c r="K170" s="73" t="n">
        <v>155328</v>
      </c>
    </row>
    <row r="171">
      <c r="A171" t="n">
        <v>10807</v>
      </c>
      <c r="B171" s="72" t="n">
        <v>45418.75625</v>
      </c>
      <c r="C171" t="inlineStr">
        <is>
          <t>Bogotá D.C.</t>
        </is>
      </c>
      <c r="D171" t="inlineStr">
        <is>
          <t>Bogotá</t>
        </is>
      </c>
      <c r="E171" t="inlineStr">
        <is>
          <t>Belleza</t>
        </is>
      </c>
      <c r="F171" t="inlineStr">
        <is>
          <t>App</t>
        </is>
      </c>
      <c r="G171" t="inlineStr">
        <is>
          <t>1. Visita</t>
        </is>
      </c>
      <c r="H171" t="n">
        <v>3</v>
      </c>
      <c r="I171" s="73" t="n">
        <v>67800</v>
      </c>
      <c r="J171" s="73" t="n">
        <v>203400</v>
      </c>
      <c r="K171" s="73" t="n">
        <v>124035</v>
      </c>
    </row>
    <row r="172">
      <c r="A172" t="n">
        <v>12050</v>
      </c>
      <c r="B172" s="72" t="n">
        <v>45418.85972222222</v>
      </c>
      <c r="C172" t="inlineStr">
        <is>
          <t>Bogotá D.C.</t>
        </is>
      </c>
      <c r="D172" t="inlineStr">
        <is>
          <t>Bogotá</t>
        </is>
      </c>
      <c r="E172" t="inlineStr">
        <is>
          <t>Moda</t>
        </is>
      </c>
      <c r="F172" t="inlineStr">
        <is>
          <t>Tienda física</t>
        </is>
      </c>
      <c r="G172" t="inlineStr">
        <is>
          <t>2. Carrito</t>
        </is>
      </c>
      <c r="H172" t="n">
        <v>3</v>
      </c>
      <c r="I172" s="73" t="n">
        <v>89200</v>
      </c>
      <c r="J172" s="73" t="n">
        <v>267600</v>
      </c>
      <c r="K172" s="73" t="n">
        <v>182918</v>
      </c>
    </row>
    <row r="173">
      <c r="A173" t="n">
        <v>11790</v>
      </c>
      <c r="B173" s="72" t="n">
        <v>45419.27777777778</v>
      </c>
      <c r="C173" t="inlineStr">
        <is>
          <t>Bolívar</t>
        </is>
      </c>
      <c r="D173" t="inlineStr">
        <is>
          <t>Cartagena</t>
        </is>
      </c>
      <c r="E173" t="inlineStr">
        <is>
          <t>Deportes</t>
        </is>
      </c>
      <c r="F173" t="inlineStr">
        <is>
          <t>Web</t>
        </is>
      </c>
      <c r="G173" t="inlineStr">
        <is>
          <t>2. Carrito</t>
        </is>
      </c>
      <c r="H173" t="n">
        <v>4</v>
      </c>
      <c r="I173" s="73" t="n">
        <v>112900</v>
      </c>
      <c r="J173" s="73" t="n">
        <v>451600</v>
      </c>
      <c r="K173" s="73" t="n">
        <v>291520</v>
      </c>
    </row>
    <row r="174">
      <c r="A174" t="n">
        <v>12040</v>
      </c>
      <c r="B174" s="72" t="n">
        <v>45419.40902777778</v>
      </c>
      <c r="C174" t="inlineStr">
        <is>
          <t>Atlántico</t>
        </is>
      </c>
      <c r="D174" t="inlineStr">
        <is>
          <t>Barranquilla</t>
        </is>
      </c>
      <c r="E174" t="inlineStr">
        <is>
          <t>Deportes</t>
        </is>
      </c>
      <c r="F174" t="inlineStr">
        <is>
          <t>Web</t>
        </is>
      </c>
      <c r="G174" t="inlineStr">
        <is>
          <t>4. Compra</t>
        </is>
      </c>
      <c r="H174" t="n">
        <v>2</v>
      </c>
      <c r="I174" s="73" t="n">
        <v>129800</v>
      </c>
      <c r="J174" s="73" t="n">
        <v>259600</v>
      </c>
      <c r="K174" s="73" t="n">
        <v>188442</v>
      </c>
    </row>
    <row r="175">
      <c r="A175" t="n">
        <v>10647</v>
      </c>
      <c r="B175" s="72" t="n">
        <v>45419.54236111111</v>
      </c>
      <c r="C175" t="inlineStr">
        <is>
          <t>Santander</t>
        </is>
      </c>
      <c r="D175" t="inlineStr">
        <is>
          <t>Bucaramanga</t>
        </is>
      </c>
      <c r="E175" t="inlineStr">
        <is>
          <t>Juguetes</t>
        </is>
      </c>
      <c r="F175" t="inlineStr">
        <is>
          <t>App</t>
        </is>
      </c>
      <c r="G175" t="inlineStr">
        <is>
          <t>2. Carrito</t>
        </is>
      </c>
      <c r="H175" t="n">
        <v>5</v>
      </c>
      <c r="I175" s="73" t="n">
        <v>88000</v>
      </c>
      <c r="J175" s="73" t="n">
        <v>440000</v>
      </c>
      <c r="K175" s="73" t="n">
        <v>252435</v>
      </c>
    </row>
    <row r="176">
      <c r="A176" t="n">
        <v>10697</v>
      </c>
      <c r="B176" s="72" t="n">
        <v>45419.66180555556</v>
      </c>
      <c r="C176" t="inlineStr">
        <is>
          <t>Bogotá D.C.</t>
        </is>
      </c>
      <c r="D176" t="inlineStr">
        <is>
          <t>Bogotá</t>
        </is>
      </c>
      <c r="E176" t="inlineStr">
        <is>
          <t>Tecnología</t>
        </is>
      </c>
      <c r="F176" t="inlineStr">
        <is>
          <t>Web</t>
        </is>
      </c>
      <c r="G176" t="inlineStr">
        <is>
          <t>2. Carrito</t>
        </is>
      </c>
      <c r="H176" t="n">
        <v>3</v>
      </c>
      <c r="I176" s="73" t="n">
        <v>617000</v>
      </c>
      <c r="J176" s="73" t="n">
        <v>1851000</v>
      </c>
      <c r="K176" s="73" t="n">
        <v>1236346</v>
      </c>
    </row>
    <row r="177">
      <c r="A177" t="n">
        <v>11685</v>
      </c>
      <c r="B177" s="72" t="n">
        <v>45419.86527777778</v>
      </c>
      <c r="C177" t="inlineStr">
        <is>
          <t>Bogotá D.C.</t>
        </is>
      </c>
      <c r="D177" t="inlineStr">
        <is>
          <t>Bogotá</t>
        </is>
      </c>
      <c r="E177" t="inlineStr">
        <is>
          <t>Moda</t>
        </is>
      </c>
      <c r="F177" t="inlineStr">
        <is>
          <t>Web</t>
        </is>
      </c>
      <c r="G177" t="inlineStr">
        <is>
          <t>2. Carrito</t>
        </is>
      </c>
      <c r="H177" t="n">
        <v>3</v>
      </c>
      <c r="I177" s="73" t="n">
        <v>127100</v>
      </c>
      <c r="J177" s="73" t="n">
        <v>381300</v>
      </c>
      <c r="K177" s="73" t="n">
        <v>251231</v>
      </c>
    </row>
    <row r="178">
      <c r="A178" t="n">
        <v>12134</v>
      </c>
      <c r="B178" s="72" t="n">
        <v>45420.41666666666</v>
      </c>
      <c r="C178" t="inlineStr">
        <is>
          <t>Bolívar</t>
        </is>
      </c>
      <c r="D178" t="inlineStr">
        <is>
          <t>Cartagena</t>
        </is>
      </c>
      <c r="E178" t="inlineStr">
        <is>
          <t>Belleza</t>
        </is>
      </c>
      <c r="F178" t="inlineStr">
        <is>
          <t>App</t>
        </is>
      </c>
      <c r="G178" t="inlineStr">
        <is>
          <t>2. Carrito</t>
        </is>
      </c>
      <c r="H178" t="n">
        <v>1</v>
      </c>
      <c r="I178" s="73" t="n">
        <v>82100</v>
      </c>
      <c r="J178" s="73" t="n">
        <v>82100</v>
      </c>
      <c r="K178" s="73" t="n">
        <v>54622</v>
      </c>
    </row>
    <row r="179">
      <c r="A179" t="n">
        <v>11158</v>
      </c>
      <c r="B179" s="72" t="n">
        <v>45420.45902777778</v>
      </c>
      <c r="C179" t="inlineStr">
        <is>
          <t>Valle del Cauca</t>
        </is>
      </c>
      <c r="D179" t="inlineStr">
        <is>
          <t>Cali</t>
        </is>
      </c>
      <c r="E179" t="inlineStr">
        <is>
          <t>Juguetes</t>
        </is>
      </c>
      <c r="F179" t="inlineStr">
        <is>
          <t>Marketplace</t>
        </is>
      </c>
      <c r="G179" t="inlineStr">
        <is>
          <t>2. Carrito</t>
        </is>
      </c>
      <c r="H179" t="n">
        <v>1</v>
      </c>
      <c r="I179" s="73" t="n">
        <v>95700</v>
      </c>
      <c r="J179" s="73" t="n">
        <v>95700</v>
      </c>
      <c r="K179" s="73" t="n">
        <v>63617</v>
      </c>
    </row>
    <row r="180">
      <c r="A180" t="n">
        <v>10517</v>
      </c>
      <c r="B180" s="72" t="n">
        <v>45420.92986111111</v>
      </c>
      <c r="C180" t="inlineStr">
        <is>
          <t>Bolívar</t>
        </is>
      </c>
      <c r="D180" t="inlineStr">
        <is>
          <t>Cartagena</t>
        </is>
      </c>
      <c r="E180" t="inlineStr">
        <is>
          <t>Juguetes</t>
        </is>
      </c>
      <c r="F180" t="inlineStr">
        <is>
          <t>Tienda física</t>
        </is>
      </c>
      <c r="G180" t="inlineStr">
        <is>
          <t>1. Visita</t>
        </is>
      </c>
      <c r="H180" t="n">
        <v>5</v>
      </c>
      <c r="I180" s="73" t="n">
        <v>77100</v>
      </c>
      <c r="J180" s="73" t="n">
        <v>385500</v>
      </c>
      <c r="K180" s="73" t="n">
        <v>228941</v>
      </c>
    </row>
    <row r="181">
      <c r="A181" t="n">
        <v>10909</v>
      </c>
      <c r="B181" s="72" t="n">
        <v>45421.80555555555</v>
      </c>
      <c r="C181" t="inlineStr">
        <is>
          <t>Antioquia</t>
        </is>
      </c>
      <c r="D181" t="inlineStr">
        <is>
          <t>Medellín</t>
        </is>
      </c>
      <c r="E181" t="inlineStr">
        <is>
          <t>Deportes</t>
        </is>
      </c>
      <c r="F181" t="inlineStr">
        <is>
          <t>App</t>
        </is>
      </c>
      <c r="G181" t="inlineStr">
        <is>
          <t>1. Visita</t>
        </is>
      </c>
      <c r="H181" t="n">
        <v>3</v>
      </c>
      <c r="I181" s="73" t="n">
        <v>189800</v>
      </c>
      <c r="J181" s="73" t="n">
        <v>569400</v>
      </c>
      <c r="K181" s="73" t="n">
        <v>324766</v>
      </c>
    </row>
    <row r="182">
      <c r="A182" t="n">
        <v>10586</v>
      </c>
      <c r="B182" s="72" t="n">
        <v>45421.87708333333</v>
      </c>
      <c r="C182" t="inlineStr">
        <is>
          <t>Meta</t>
        </is>
      </c>
      <c r="D182" t="inlineStr">
        <is>
          <t>Villavicencio</t>
        </is>
      </c>
      <c r="E182" t="inlineStr">
        <is>
          <t>Tecnología</t>
        </is>
      </c>
      <c r="F182" t="inlineStr">
        <is>
          <t>Marketplace</t>
        </is>
      </c>
      <c r="G182" t="inlineStr">
        <is>
          <t>4. Compra</t>
        </is>
      </c>
      <c r="H182" t="n">
        <v>5</v>
      </c>
      <c r="I182" s="73" t="n">
        <v>825600</v>
      </c>
      <c r="J182" s="73" t="n">
        <v>4128000</v>
      </c>
      <c r="K182" s="73" t="n">
        <v>2805028</v>
      </c>
    </row>
    <row r="183">
      <c r="A183" t="n">
        <v>12207</v>
      </c>
      <c r="B183" s="72" t="n">
        <v>45422.35</v>
      </c>
      <c r="C183" t="inlineStr">
        <is>
          <t>Atlántico</t>
        </is>
      </c>
      <c r="D183" t="inlineStr">
        <is>
          <t>Barranquilla</t>
        </is>
      </c>
      <c r="E183" t="inlineStr">
        <is>
          <t>Belleza</t>
        </is>
      </c>
      <c r="F183" t="inlineStr">
        <is>
          <t>Web</t>
        </is>
      </c>
      <c r="G183" t="inlineStr">
        <is>
          <t>4. Compra</t>
        </is>
      </c>
      <c r="H183" t="n">
        <v>1</v>
      </c>
      <c r="I183" s="73" t="n">
        <v>63800</v>
      </c>
      <c r="J183" s="73" t="n">
        <v>73370</v>
      </c>
      <c r="K183" s="73" t="n">
        <v>53059</v>
      </c>
    </row>
    <row r="184">
      <c r="A184" t="n">
        <v>11825</v>
      </c>
      <c r="B184" s="72" t="n">
        <v>45422.78541666667</v>
      </c>
      <c r="C184" t="inlineStr">
        <is>
          <t>Bogotá D.C.</t>
        </is>
      </c>
      <c r="D184" t="inlineStr">
        <is>
          <t>Bogotá</t>
        </is>
      </c>
      <c r="E184" t="inlineStr">
        <is>
          <t>Deportes</t>
        </is>
      </c>
      <c r="F184" t="inlineStr">
        <is>
          <t>Marketplace</t>
        </is>
      </c>
      <c r="G184" t="inlineStr">
        <is>
          <t>2. Carrito</t>
        </is>
      </c>
      <c r="H184" t="n">
        <v>2</v>
      </c>
      <c r="I184" s="73" t="n">
        <v>166100</v>
      </c>
      <c r="J184" s="73" t="n">
        <v>382030</v>
      </c>
      <c r="K184" s="73" t="n">
        <v>226338</v>
      </c>
    </row>
    <row r="185">
      <c r="A185" t="n">
        <v>10818</v>
      </c>
      <c r="B185" s="72" t="n">
        <v>45423.34305555555</v>
      </c>
      <c r="C185" t="inlineStr">
        <is>
          <t>Antioquia</t>
        </is>
      </c>
      <c r="D185" t="inlineStr">
        <is>
          <t>Medellín</t>
        </is>
      </c>
      <c r="E185" t="inlineStr">
        <is>
          <t>Tecnología</t>
        </is>
      </c>
      <c r="F185" t="inlineStr">
        <is>
          <t>Web</t>
        </is>
      </c>
      <c r="G185" t="inlineStr">
        <is>
          <t>1. Visita</t>
        </is>
      </c>
      <c r="H185" t="n">
        <v>5</v>
      </c>
      <c r="I185" s="73" t="n">
        <v>967900</v>
      </c>
      <c r="J185" s="73" t="n">
        <v>5565425</v>
      </c>
      <c r="K185" s="73" t="n">
        <v>3916690</v>
      </c>
    </row>
    <row r="186">
      <c r="A186" t="n">
        <v>12152</v>
      </c>
      <c r="B186" s="72" t="n">
        <v>45423.57291666666</v>
      </c>
      <c r="C186" t="inlineStr">
        <is>
          <t>Atlántico</t>
        </is>
      </c>
      <c r="D186" t="inlineStr">
        <is>
          <t>Barranquilla</t>
        </is>
      </c>
      <c r="E186" t="inlineStr">
        <is>
          <t>Belleza</t>
        </is>
      </c>
      <c r="F186" t="inlineStr">
        <is>
          <t>App</t>
        </is>
      </c>
      <c r="G186" t="inlineStr">
        <is>
          <t>1. Visita</t>
        </is>
      </c>
      <c r="H186" t="n">
        <v>4</v>
      </c>
      <c r="I186" s="73" t="n">
        <v>81400</v>
      </c>
      <c r="J186" s="73" t="n">
        <v>374440</v>
      </c>
      <c r="K186" s="73" t="n">
        <v>258334</v>
      </c>
    </row>
    <row r="187">
      <c r="A187" t="n">
        <v>12090</v>
      </c>
      <c r="B187" s="72" t="n">
        <v>45423.72083333333</v>
      </c>
      <c r="C187" t="inlineStr">
        <is>
          <t>Valle del Cauca</t>
        </is>
      </c>
      <c r="D187" t="inlineStr">
        <is>
          <t>Cali</t>
        </is>
      </c>
      <c r="E187" t="inlineStr">
        <is>
          <t>Tecnología</t>
        </is>
      </c>
      <c r="F187" t="inlineStr">
        <is>
          <t>Marketplace</t>
        </is>
      </c>
      <c r="G187" t="inlineStr">
        <is>
          <t>1. Visita</t>
        </is>
      </c>
      <c r="H187" t="n">
        <v>4</v>
      </c>
      <c r="I187" s="73" t="n">
        <v>995100</v>
      </c>
      <c r="J187" s="73" t="n">
        <v>4577460</v>
      </c>
      <c r="K187" s="73" t="n">
        <v>3025198</v>
      </c>
    </row>
    <row r="188">
      <c r="A188" t="n">
        <v>10672</v>
      </c>
      <c r="B188" s="72" t="n">
        <v>45423.83680555555</v>
      </c>
      <c r="C188" t="inlineStr">
        <is>
          <t>Atlántico</t>
        </is>
      </c>
      <c r="D188" t="inlineStr">
        <is>
          <t>Barranquilla</t>
        </is>
      </c>
      <c r="E188" t="inlineStr">
        <is>
          <t>Moda</t>
        </is>
      </c>
      <c r="F188" t="inlineStr">
        <is>
          <t>Web</t>
        </is>
      </c>
      <c r="G188" t="inlineStr">
        <is>
          <t>2. Carrito</t>
        </is>
      </c>
      <c r="H188" t="n">
        <v>4</v>
      </c>
      <c r="I188" s="73" t="n">
        <v>138900</v>
      </c>
      <c r="J188" s="73" t="n">
        <v>638940</v>
      </c>
      <c r="K188" s="73" t="n">
        <v>370166</v>
      </c>
    </row>
    <row r="189">
      <c r="A189" t="n">
        <v>11997</v>
      </c>
      <c r="B189" s="72" t="n">
        <v>45424.39375</v>
      </c>
      <c r="C189" t="inlineStr">
        <is>
          <t>Antioquia</t>
        </is>
      </c>
      <c r="D189" t="inlineStr">
        <is>
          <t>Medellín</t>
        </is>
      </c>
      <c r="E189" t="inlineStr">
        <is>
          <t>Juguetes</t>
        </is>
      </c>
      <c r="F189" t="inlineStr">
        <is>
          <t>Web</t>
        </is>
      </c>
      <c r="G189" t="inlineStr">
        <is>
          <t>2. Carrito</t>
        </is>
      </c>
      <c r="H189" t="n">
        <v>1</v>
      </c>
      <c r="I189" s="73" t="n">
        <v>87900</v>
      </c>
      <c r="J189" s="73" t="n">
        <v>101085</v>
      </c>
      <c r="K189" s="73" t="n">
        <v>67977</v>
      </c>
    </row>
    <row r="190">
      <c r="A190" t="n">
        <v>10666</v>
      </c>
      <c r="B190" s="72" t="n">
        <v>45424.58958333333</v>
      </c>
      <c r="C190" t="inlineStr">
        <is>
          <t>Valle del Cauca</t>
        </is>
      </c>
      <c r="D190" t="inlineStr">
        <is>
          <t>Cali</t>
        </is>
      </c>
      <c r="E190" t="inlineStr">
        <is>
          <t>Deportes</t>
        </is>
      </c>
      <c r="F190" t="inlineStr">
        <is>
          <t>Tienda física</t>
        </is>
      </c>
      <c r="G190" t="inlineStr">
        <is>
          <t>3. Pago</t>
        </is>
      </c>
      <c r="H190" t="n">
        <v>5</v>
      </c>
      <c r="I190" s="73" t="n">
        <v>183000</v>
      </c>
      <c r="J190" s="73" t="n">
        <v>1052250</v>
      </c>
      <c r="K190" s="73" t="n">
        <v>775134</v>
      </c>
    </row>
    <row r="191">
      <c r="A191" t="n">
        <v>11513</v>
      </c>
      <c r="B191" s="72" t="n">
        <v>45424.70694444444</v>
      </c>
      <c r="C191" t="inlineStr">
        <is>
          <t>Valle del Cauca</t>
        </is>
      </c>
      <c r="D191" t="inlineStr">
        <is>
          <t>Cali</t>
        </is>
      </c>
      <c r="E191" t="inlineStr">
        <is>
          <t>Tecnología</t>
        </is>
      </c>
      <c r="F191" t="inlineStr">
        <is>
          <t>App</t>
        </is>
      </c>
      <c r="G191" t="inlineStr">
        <is>
          <t>2. Carrito</t>
        </is>
      </c>
      <c r="H191" t="n">
        <v>5</v>
      </c>
      <c r="I191" s="73" t="n">
        <v>627800</v>
      </c>
      <c r="J191" s="73" t="n">
        <v>3609850</v>
      </c>
      <c r="K191" s="73" t="n">
        <v>2614577</v>
      </c>
    </row>
    <row r="192">
      <c r="A192" t="n">
        <v>11237</v>
      </c>
      <c r="B192" s="72" t="n">
        <v>45425.12222222222</v>
      </c>
      <c r="C192" t="inlineStr">
        <is>
          <t>Bogotá D.C.</t>
        </is>
      </c>
      <c r="D192" t="inlineStr">
        <is>
          <t>Bogotá</t>
        </is>
      </c>
      <c r="E192" t="inlineStr">
        <is>
          <t>Juguetes</t>
        </is>
      </c>
      <c r="F192" t="inlineStr">
        <is>
          <t>Web</t>
        </is>
      </c>
      <c r="G192" t="inlineStr">
        <is>
          <t>2. Carrito</t>
        </is>
      </c>
      <c r="H192" t="n">
        <v>4</v>
      </c>
      <c r="I192" s="73" t="n">
        <v>97000</v>
      </c>
      <c r="J192" s="73" t="n">
        <v>388000</v>
      </c>
      <c r="K192" s="73" t="n">
        <v>259197</v>
      </c>
    </row>
    <row r="193">
      <c r="A193" t="n">
        <v>11674</v>
      </c>
      <c r="B193" s="72" t="n">
        <v>45425.55902777778</v>
      </c>
      <c r="C193" t="inlineStr">
        <is>
          <t>Antioquia</t>
        </is>
      </c>
      <c r="D193" t="inlineStr">
        <is>
          <t>Medellín</t>
        </is>
      </c>
      <c r="E193" t="inlineStr">
        <is>
          <t>Hogar</t>
        </is>
      </c>
      <c r="F193" t="inlineStr">
        <is>
          <t>App</t>
        </is>
      </c>
      <c r="G193" t="inlineStr">
        <is>
          <t>2. Carrito</t>
        </is>
      </c>
      <c r="H193" t="n">
        <v>2</v>
      </c>
      <c r="I193" s="73" t="n">
        <v>155200</v>
      </c>
      <c r="J193" s="73" t="n">
        <v>310400</v>
      </c>
      <c r="K193" s="73" t="n">
        <v>218578</v>
      </c>
    </row>
    <row r="194">
      <c r="A194" t="n">
        <v>12190</v>
      </c>
      <c r="B194" s="72" t="n">
        <v>45425.60902777778</v>
      </c>
      <c r="C194" t="inlineStr">
        <is>
          <t>Antioquia</t>
        </is>
      </c>
      <c r="D194" t="inlineStr">
        <is>
          <t>Medellín</t>
        </is>
      </c>
      <c r="E194" t="inlineStr">
        <is>
          <t>Tecnología</t>
        </is>
      </c>
      <c r="F194" t="inlineStr">
        <is>
          <t>Tienda física</t>
        </is>
      </c>
      <c r="G194" t="inlineStr">
        <is>
          <t>1. Visita</t>
        </is>
      </c>
      <c r="H194" t="n">
        <v>1</v>
      </c>
      <c r="I194" s="73" t="n">
        <v>852400</v>
      </c>
      <c r="J194" s="73" t="n">
        <v>852400</v>
      </c>
      <c r="K194" s="73" t="n">
        <v>587697</v>
      </c>
    </row>
    <row r="195">
      <c r="A195" t="n">
        <v>11743</v>
      </c>
      <c r="B195" s="72" t="n">
        <v>45425.76666666667</v>
      </c>
      <c r="C195" t="inlineStr">
        <is>
          <t>Atlántico</t>
        </is>
      </c>
      <c r="D195" t="inlineStr">
        <is>
          <t>Barranquilla</t>
        </is>
      </c>
      <c r="E195" t="inlineStr">
        <is>
          <t>Hogar</t>
        </is>
      </c>
      <c r="F195" t="inlineStr">
        <is>
          <t>Web</t>
        </is>
      </c>
      <c r="G195" t="inlineStr">
        <is>
          <t>1. Visita</t>
        </is>
      </c>
      <c r="H195" t="n">
        <v>5</v>
      </c>
      <c r="I195" s="73" t="n">
        <v>252100</v>
      </c>
      <c r="J195" s="73" t="n">
        <v>1260500</v>
      </c>
      <c r="K195" s="73" t="n">
        <v>859586</v>
      </c>
    </row>
    <row r="196">
      <c r="A196" t="n">
        <v>10973</v>
      </c>
      <c r="B196" s="72" t="n">
        <v>45425.78263888889</v>
      </c>
      <c r="C196" t="inlineStr">
        <is>
          <t>Valle del Cauca</t>
        </is>
      </c>
      <c r="D196" t="inlineStr">
        <is>
          <t>Cali</t>
        </is>
      </c>
      <c r="E196" t="inlineStr">
        <is>
          <t>Tecnología</t>
        </is>
      </c>
      <c r="F196" t="inlineStr">
        <is>
          <t>Web</t>
        </is>
      </c>
      <c r="G196" t="inlineStr">
        <is>
          <t>1. Visita</t>
        </is>
      </c>
      <c r="H196" t="n">
        <v>5</v>
      </c>
      <c r="I196" s="73" t="n">
        <v>932700</v>
      </c>
      <c r="J196" s="73" t="n">
        <v>4663500</v>
      </c>
      <c r="K196" s="73" t="n">
        <v>2967028</v>
      </c>
    </row>
    <row r="197">
      <c r="A197" t="n">
        <v>12366</v>
      </c>
      <c r="B197" s="72" t="n">
        <v>45425.82708333333</v>
      </c>
      <c r="C197" t="inlineStr">
        <is>
          <t>Bogotá D.C.</t>
        </is>
      </c>
      <c r="D197" t="inlineStr">
        <is>
          <t>Bogotá</t>
        </is>
      </c>
      <c r="E197" t="inlineStr">
        <is>
          <t>Juguetes</t>
        </is>
      </c>
      <c r="F197" t="inlineStr">
        <is>
          <t>Web</t>
        </is>
      </c>
      <c r="G197" t="inlineStr">
        <is>
          <t>3. Pago</t>
        </is>
      </c>
      <c r="H197" t="n">
        <v>5</v>
      </c>
      <c r="I197" s="73" t="n">
        <v>92500</v>
      </c>
      <c r="J197" s="73" t="n">
        <v>462500</v>
      </c>
      <c r="K197" s="73" t="n">
        <v>327560</v>
      </c>
    </row>
    <row r="198">
      <c r="A198" t="n">
        <v>10324</v>
      </c>
      <c r="B198" s="72" t="n">
        <v>45426.36597222222</v>
      </c>
      <c r="C198" t="inlineStr">
        <is>
          <t>Bogotá D.C.</t>
        </is>
      </c>
      <c r="D198" t="inlineStr">
        <is>
          <t>Bogotá</t>
        </is>
      </c>
      <c r="E198" t="inlineStr">
        <is>
          <t>Belleza</t>
        </is>
      </c>
      <c r="F198" t="inlineStr">
        <is>
          <t>Tienda física</t>
        </is>
      </c>
      <c r="G198" t="inlineStr">
        <is>
          <t>1. Visita</t>
        </is>
      </c>
      <c r="H198" t="n">
        <v>1</v>
      </c>
      <c r="I198" s="73" t="n">
        <v>84600</v>
      </c>
      <c r="J198" s="73" t="n">
        <v>84600</v>
      </c>
      <c r="K198" s="73" t="n">
        <v>52831</v>
      </c>
    </row>
    <row r="199">
      <c r="A199" t="n">
        <v>11053</v>
      </c>
      <c r="B199" s="72" t="n">
        <v>45426.40972222222</v>
      </c>
      <c r="C199" t="inlineStr">
        <is>
          <t>Valle del Cauca</t>
        </is>
      </c>
      <c r="D199" t="inlineStr">
        <is>
          <t>Cali</t>
        </is>
      </c>
      <c r="E199" t="inlineStr">
        <is>
          <t>Hogar</t>
        </is>
      </c>
      <c r="F199" t="inlineStr">
        <is>
          <t>App</t>
        </is>
      </c>
      <c r="G199" t="inlineStr">
        <is>
          <t>2. Carrito</t>
        </is>
      </c>
      <c r="H199" t="n">
        <v>1</v>
      </c>
      <c r="I199" s="73" t="n">
        <v>246900</v>
      </c>
      <c r="J199" s="73" t="n">
        <v>246900</v>
      </c>
      <c r="K199" s="73" t="n">
        <v>179288</v>
      </c>
    </row>
    <row r="200">
      <c r="A200" t="n">
        <v>12094</v>
      </c>
      <c r="B200" s="72" t="n">
        <v>45426.51666666667</v>
      </c>
      <c r="C200" t="inlineStr">
        <is>
          <t>Antioquia</t>
        </is>
      </c>
      <c r="D200" t="inlineStr">
        <is>
          <t>Medellín</t>
        </is>
      </c>
      <c r="E200" t="inlineStr">
        <is>
          <t>Moda</t>
        </is>
      </c>
      <c r="F200" t="inlineStr">
        <is>
          <t>App</t>
        </is>
      </c>
      <c r="G200" t="inlineStr">
        <is>
          <t>1. Visita</t>
        </is>
      </c>
      <c r="H200" t="n">
        <v>4</v>
      </c>
      <c r="I200" s="73" t="n">
        <v>97000</v>
      </c>
      <c r="J200" s="73" t="n">
        <v>388000</v>
      </c>
      <c r="K200" s="73" t="n">
        <v>283909</v>
      </c>
    </row>
    <row r="201">
      <c r="A201" t="n">
        <v>10749</v>
      </c>
      <c r="B201" s="72" t="n">
        <v>45426.66666666666</v>
      </c>
      <c r="C201" t="inlineStr">
        <is>
          <t>Bogotá D.C.</t>
        </is>
      </c>
      <c r="D201" t="inlineStr">
        <is>
          <t>Bogotá</t>
        </is>
      </c>
      <c r="E201" t="inlineStr">
        <is>
          <t>Juguetes</t>
        </is>
      </c>
      <c r="F201" t="inlineStr">
        <is>
          <t>Web</t>
        </is>
      </c>
      <c r="G201" t="inlineStr">
        <is>
          <t>3. Pago</t>
        </is>
      </c>
      <c r="H201" t="n">
        <v>5</v>
      </c>
      <c r="I201" s="73" t="n">
        <v>78800</v>
      </c>
      <c r="J201" s="73" t="n">
        <v>394000</v>
      </c>
      <c r="K201" s="73" t="n">
        <v>264092</v>
      </c>
    </row>
    <row r="202">
      <c r="A202" t="n">
        <v>10507</v>
      </c>
      <c r="B202" s="72" t="n">
        <v>45426.84236111111</v>
      </c>
      <c r="C202" t="inlineStr">
        <is>
          <t>Bogotá D.C.</t>
        </is>
      </c>
      <c r="D202" t="inlineStr">
        <is>
          <t>Bogotá</t>
        </is>
      </c>
      <c r="E202" t="inlineStr">
        <is>
          <t>Tecnología</t>
        </is>
      </c>
      <c r="F202" t="inlineStr">
        <is>
          <t>Tienda física</t>
        </is>
      </c>
      <c r="G202" t="inlineStr">
        <is>
          <t>1. Visita</t>
        </is>
      </c>
      <c r="H202" t="n">
        <v>5</v>
      </c>
      <c r="I202" s="73" t="n">
        <v>999500</v>
      </c>
      <c r="J202" s="73" t="n">
        <v>4997500</v>
      </c>
      <c r="K202" s="73" t="n">
        <v>3465007</v>
      </c>
    </row>
    <row r="203">
      <c r="A203" t="n">
        <v>12291</v>
      </c>
      <c r="B203" s="72" t="n">
        <v>45426.90763888889</v>
      </c>
      <c r="C203" t="inlineStr">
        <is>
          <t>Atlántico</t>
        </is>
      </c>
      <c r="D203" t="inlineStr">
        <is>
          <t>Barranquilla</t>
        </is>
      </c>
      <c r="E203" t="inlineStr">
        <is>
          <t>Belleza</t>
        </is>
      </c>
      <c r="F203" t="inlineStr">
        <is>
          <t>Web</t>
        </is>
      </c>
      <c r="G203" t="inlineStr">
        <is>
          <t>3. Pago</t>
        </is>
      </c>
      <c r="H203" t="n">
        <v>3</v>
      </c>
      <c r="I203" s="73" t="n">
        <v>76400</v>
      </c>
      <c r="J203" s="73" t="n">
        <v>229200</v>
      </c>
      <c r="K203" s="73" t="n">
        <v>142280</v>
      </c>
    </row>
    <row r="204">
      <c r="A204" t="n">
        <v>11116</v>
      </c>
      <c r="B204" s="72" t="n">
        <v>45427.55625</v>
      </c>
      <c r="C204" t="inlineStr">
        <is>
          <t>Bogotá D.C.</t>
        </is>
      </c>
      <c r="D204" t="inlineStr">
        <is>
          <t>Bogotá</t>
        </is>
      </c>
      <c r="E204" t="inlineStr">
        <is>
          <t>Deportes</t>
        </is>
      </c>
      <c r="F204" t="inlineStr">
        <is>
          <t>App</t>
        </is>
      </c>
      <c r="G204" t="inlineStr">
        <is>
          <t>3. Pago</t>
        </is>
      </c>
      <c r="H204" t="n">
        <v>5</v>
      </c>
      <c r="I204" s="73" t="n">
        <v>200900</v>
      </c>
      <c r="J204" s="73" t="n">
        <v>1004500</v>
      </c>
      <c r="K204" s="73" t="n">
        <v>649227</v>
      </c>
    </row>
    <row r="205">
      <c r="A205" t="n">
        <v>10549</v>
      </c>
      <c r="B205" s="72" t="n">
        <v>45428.53194444445</v>
      </c>
      <c r="C205" t="inlineStr">
        <is>
          <t>Meta</t>
        </is>
      </c>
      <c r="D205" t="inlineStr">
        <is>
          <t>Villavicencio</t>
        </is>
      </c>
      <c r="E205" t="inlineStr">
        <is>
          <t>Hogar</t>
        </is>
      </c>
      <c r="F205" t="inlineStr">
        <is>
          <t>Web</t>
        </is>
      </c>
      <c r="G205" t="inlineStr">
        <is>
          <t>1. Visita</t>
        </is>
      </c>
      <c r="H205" t="n">
        <v>4</v>
      </c>
      <c r="I205" s="73" t="n">
        <v>185100</v>
      </c>
      <c r="J205" s="73" t="n">
        <v>740400</v>
      </c>
      <c r="K205" s="73" t="n">
        <v>482668</v>
      </c>
    </row>
    <row r="206">
      <c r="A206" t="n">
        <v>11375</v>
      </c>
      <c r="B206" s="72" t="n">
        <v>45428.73263888889</v>
      </c>
      <c r="C206" t="inlineStr">
        <is>
          <t>Atlántico</t>
        </is>
      </c>
      <c r="D206" t="inlineStr">
        <is>
          <t>Barranquilla</t>
        </is>
      </c>
      <c r="E206" t="inlineStr">
        <is>
          <t>Juguetes</t>
        </is>
      </c>
      <c r="F206" t="inlineStr">
        <is>
          <t>Web</t>
        </is>
      </c>
      <c r="G206" t="inlineStr">
        <is>
          <t>1. Visita</t>
        </is>
      </c>
      <c r="H206" t="n">
        <v>5</v>
      </c>
      <c r="I206" s="73" t="n">
        <v>64300</v>
      </c>
      <c r="J206" s="73" t="n">
        <v>321500</v>
      </c>
      <c r="K206" s="73" t="n">
        <v>198019</v>
      </c>
    </row>
    <row r="207">
      <c r="A207" t="n">
        <v>10600</v>
      </c>
      <c r="B207" s="72" t="n">
        <v>45428.73472222222</v>
      </c>
      <c r="C207" t="inlineStr">
        <is>
          <t>Santander</t>
        </is>
      </c>
      <c r="D207" t="inlineStr">
        <is>
          <t>Bucaramanga</t>
        </is>
      </c>
      <c r="E207" t="inlineStr">
        <is>
          <t>Hogar</t>
        </is>
      </c>
      <c r="F207" t="inlineStr">
        <is>
          <t>Web</t>
        </is>
      </c>
      <c r="G207" t="inlineStr">
        <is>
          <t>1. Visita</t>
        </is>
      </c>
      <c r="H207" t="n">
        <v>1</v>
      </c>
      <c r="I207" s="73" t="n">
        <v>202300</v>
      </c>
      <c r="J207" s="73" t="n">
        <v>202300</v>
      </c>
      <c r="K207" s="73" t="n">
        <v>112674</v>
      </c>
    </row>
    <row r="208">
      <c r="A208" t="n">
        <v>10301</v>
      </c>
      <c r="B208" s="72" t="n">
        <v>45428.86944444444</v>
      </c>
      <c r="C208" t="inlineStr">
        <is>
          <t>Bogotá D.C.</t>
        </is>
      </c>
      <c r="D208" t="inlineStr">
        <is>
          <t>Bogotá</t>
        </is>
      </c>
      <c r="E208" t="inlineStr">
        <is>
          <t>Moda</t>
        </is>
      </c>
      <c r="F208" t="inlineStr">
        <is>
          <t>App</t>
        </is>
      </c>
      <c r="G208" t="inlineStr">
        <is>
          <t>3. Pago</t>
        </is>
      </c>
      <c r="H208" t="n">
        <v>3</v>
      </c>
      <c r="I208" s="73" t="n">
        <v>87600</v>
      </c>
      <c r="J208" s="73" t="n">
        <v>262800</v>
      </c>
      <c r="K208" s="73" t="n">
        <v>154930</v>
      </c>
    </row>
    <row r="209">
      <c r="A209" t="n">
        <v>10661</v>
      </c>
      <c r="B209" s="72" t="n">
        <v>45429.43472222222</v>
      </c>
      <c r="C209" t="inlineStr">
        <is>
          <t>Bogotá D.C.</t>
        </is>
      </c>
      <c r="D209" t="inlineStr">
        <is>
          <t>Bogotá</t>
        </is>
      </c>
      <c r="E209" t="inlineStr">
        <is>
          <t>Tecnología</t>
        </is>
      </c>
      <c r="F209" t="inlineStr">
        <is>
          <t>Web</t>
        </is>
      </c>
      <c r="G209" t="inlineStr">
        <is>
          <t>2. Carrito</t>
        </is>
      </c>
      <c r="H209" t="n">
        <v>2</v>
      </c>
      <c r="I209" s="73" t="n">
        <v>971900</v>
      </c>
      <c r="J209" s="73" t="n">
        <v>2235370</v>
      </c>
      <c r="K209" s="73" t="n">
        <v>1594379</v>
      </c>
    </row>
    <row r="210">
      <c r="A210" t="n">
        <v>10725</v>
      </c>
      <c r="B210" s="72" t="n">
        <v>45429.44513888889</v>
      </c>
      <c r="C210" t="inlineStr">
        <is>
          <t>Bogotá D.C.</t>
        </is>
      </c>
      <c r="D210" t="inlineStr">
        <is>
          <t>Bogotá</t>
        </is>
      </c>
      <c r="E210" t="inlineStr">
        <is>
          <t>Belleza</t>
        </is>
      </c>
      <c r="F210" t="inlineStr">
        <is>
          <t>App</t>
        </is>
      </c>
      <c r="G210" t="inlineStr">
        <is>
          <t>2. Carrito</t>
        </is>
      </c>
      <c r="H210" t="n">
        <v>4</v>
      </c>
      <c r="I210" s="73" t="n">
        <v>54300</v>
      </c>
      <c r="J210" s="73" t="n">
        <v>249780</v>
      </c>
      <c r="K210" s="73" t="n">
        <v>150871</v>
      </c>
    </row>
    <row r="211">
      <c r="A211" t="n">
        <v>11190</v>
      </c>
      <c r="B211" s="72" t="n">
        <v>45429.61666666667</v>
      </c>
      <c r="C211" t="inlineStr">
        <is>
          <t>Santander</t>
        </is>
      </c>
      <c r="D211" t="inlineStr">
        <is>
          <t>Bucaramanga</t>
        </is>
      </c>
      <c r="E211" t="inlineStr">
        <is>
          <t>Belleza</t>
        </is>
      </c>
      <c r="F211" t="inlineStr">
        <is>
          <t>App</t>
        </is>
      </c>
      <c r="G211" t="inlineStr">
        <is>
          <t>1. Visita</t>
        </is>
      </c>
      <c r="H211" t="n">
        <v>4</v>
      </c>
      <c r="I211" s="73" t="n">
        <v>54000</v>
      </c>
      <c r="J211" s="73" t="n">
        <v>248400</v>
      </c>
      <c r="K211" s="73" t="n">
        <v>148973</v>
      </c>
    </row>
    <row r="212">
      <c r="A212" t="n">
        <v>11940</v>
      </c>
      <c r="B212" s="72" t="n">
        <v>45429.79583333333</v>
      </c>
      <c r="C212" t="inlineStr">
        <is>
          <t>Atlántico</t>
        </is>
      </c>
      <c r="D212" t="inlineStr">
        <is>
          <t>Barranquilla</t>
        </is>
      </c>
      <c r="E212" t="inlineStr">
        <is>
          <t>Moda</t>
        </is>
      </c>
      <c r="F212" t="inlineStr">
        <is>
          <t>App</t>
        </is>
      </c>
      <c r="G212" t="inlineStr">
        <is>
          <t>2. Carrito</t>
        </is>
      </c>
      <c r="H212" t="n">
        <v>5</v>
      </c>
      <c r="I212" s="73" t="n">
        <v>107200</v>
      </c>
      <c r="J212" s="73" t="n">
        <v>616400</v>
      </c>
      <c r="K212" s="73" t="n">
        <v>455883</v>
      </c>
    </row>
    <row r="213">
      <c r="A213" t="n">
        <v>10382</v>
      </c>
      <c r="B213" s="72" t="n">
        <v>45429.87777777778</v>
      </c>
      <c r="C213" t="inlineStr">
        <is>
          <t>Bolívar</t>
        </is>
      </c>
      <c r="D213" t="inlineStr">
        <is>
          <t>Cartagena</t>
        </is>
      </c>
      <c r="E213" t="inlineStr">
        <is>
          <t>Juguetes</t>
        </is>
      </c>
      <c r="F213" t="inlineStr">
        <is>
          <t>Web</t>
        </is>
      </c>
      <c r="G213" t="inlineStr">
        <is>
          <t>1. Visita</t>
        </is>
      </c>
      <c r="H213" t="n">
        <v>3</v>
      </c>
      <c r="I213" s="73" t="n">
        <v>84900</v>
      </c>
      <c r="J213" s="73" t="n">
        <v>292905</v>
      </c>
      <c r="K213" s="73" t="n">
        <v>184898</v>
      </c>
    </row>
    <row r="214">
      <c r="A214" t="n">
        <v>12281</v>
      </c>
      <c r="B214" s="72" t="n">
        <v>45429.89583333334</v>
      </c>
      <c r="C214" t="inlineStr">
        <is>
          <t>Valle del Cauca</t>
        </is>
      </c>
      <c r="D214" t="inlineStr">
        <is>
          <t>Cali</t>
        </is>
      </c>
      <c r="E214" t="inlineStr">
        <is>
          <t>Deportes</t>
        </is>
      </c>
      <c r="F214" t="inlineStr">
        <is>
          <t>Web</t>
        </is>
      </c>
      <c r="G214" t="inlineStr">
        <is>
          <t>4. Compra</t>
        </is>
      </c>
      <c r="H214" t="n">
        <v>1</v>
      </c>
      <c r="I214" s="73" t="n">
        <v>160200</v>
      </c>
      <c r="J214" s="73" t="n">
        <v>184230</v>
      </c>
      <c r="K214" s="73" t="n">
        <v>112513</v>
      </c>
    </row>
    <row r="215">
      <c r="A215" t="n">
        <v>12305</v>
      </c>
      <c r="B215" s="72" t="n">
        <v>45430.41805555556</v>
      </c>
      <c r="C215" t="inlineStr">
        <is>
          <t>Valle del Cauca</t>
        </is>
      </c>
      <c r="D215" t="inlineStr">
        <is>
          <t>Cali</t>
        </is>
      </c>
      <c r="E215" t="inlineStr">
        <is>
          <t>Hogar</t>
        </is>
      </c>
      <c r="F215" t="inlineStr">
        <is>
          <t>Web</t>
        </is>
      </c>
      <c r="G215" t="inlineStr">
        <is>
          <t>2. Carrito</t>
        </is>
      </c>
      <c r="H215" t="n">
        <v>3</v>
      </c>
      <c r="I215" s="73" t="n">
        <v>165100</v>
      </c>
      <c r="J215" s="73" t="n">
        <v>569595</v>
      </c>
      <c r="K215" s="73" t="n">
        <v>331783</v>
      </c>
    </row>
    <row r="216">
      <c r="A216" t="n">
        <v>10035</v>
      </c>
      <c r="B216" s="72" t="n">
        <v>45430.52986111111</v>
      </c>
      <c r="C216" t="inlineStr">
        <is>
          <t>Atlántico</t>
        </is>
      </c>
      <c r="D216" t="inlineStr">
        <is>
          <t>Barranquilla</t>
        </is>
      </c>
      <c r="E216" t="inlineStr">
        <is>
          <t>Belleza</t>
        </is>
      </c>
      <c r="F216" t="inlineStr">
        <is>
          <t>Marketplace</t>
        </is>
      </c>
      <c r="G216" t="inlineStr">
        <is>
          <t>1. Visita</t>
        </is>
      </c>
      <c r="H216" t="n">
        <v>3</v>
      </c>
      <c r="I216" s="73" t="n">
        <v>67900</v>
      </c>
      <c r="J216" s="73" t="n">
        <v>234255</v>
      </c>
      <c r="K216" s="73" t="n">
        <v>151664</v>
      </c>
    </row>
    <row r="217">
      <c r="A217" t="n">
        <v>11529</v>
      </c>
      <c r="B217" s="72" t="n">
        <v>45430.66041666667</v>
      </c>
      <c r="C217" t="inlineStr">
        <is>
          <t>Valle del Cauca</t>
        </is>
      </c>
      <c r="D217" t="inlineStr">
        <is>
          <t>Cali</t>
        </is>
      </c>
      <c r="E217" t="inlineStr">
        <is>
          <t>Juguetes</t>
        </is>
      </c>
      <c r="F217" t="inlineStr">
        <is>
          <t>App</t>
        </is>
      </c>
      <c r="G217" t="inlineStr">
        <is>
          <t>1. Visita</t>
        </is>
      </c>
      <c r="H217" t="n">
        <v>1</v>
      </c>
      <c r="I217" s="73" t="n">
        <v>105900</v>
      </c>
      <c r="J217" s="73" t="n">
        <v>121785</v>
      </c>
      <c r="K217" s="73" t="n">
        <v>72065</v>
      </c>
    </row>
    <row r="218">
      <c r="A218" t="n">
        <v>12154</v>
      </c>
      <c r="B218" s="72" t="n">
        <v>45430.74583333333</v>
      </c>
      <c r="C218" t="inlineStr">
        <is>
          <t>Bogotá D.C.</t>
        </is>
      </c>
      <c r="D218" t="inlineStr">
        <is>
          <t>Bogotá</t>
        </is>
      </c>
      <c r="E218" t="inlineStr">
        <is>
          <t>Hogar</t>
        </is>
      </c>
      <c r="F218" t="inlineStr">
        <is>
          <t>Tienda física</t>
        </is>
      </c>
      <c r="G218" t="inlineStr">
        <is>
          <t>1. Visita</t>
        </is>
      </c>
      <c r="H218" t="n">
        <v>3</v>
      </c>
      <c r="I218" s="73" t="n">
        <v>260200</v>
      </c>
      <c r="J218" s="73" t="n">
        <v>897690</v>
      </c>
      <c r="K218" s="73" t="n">
        <v>501621</v>
      </c>
    </row>
    <row r="219">
      <c r="A219" t="n">
        <v>10296</v>
      </c>
      <c r="B219" s="72" t="n">
        <v>45430.74791666667</v>
      </c>
      <c r="C219" t="inlineStr">
        <is>
          <t>Meta</t>
        </is>
      </c>
      <c r="D219" t="inlineStr">
        <is>
          <t>Villavicencio</t>
        </is>
      </c>
      <c r="E219" t="inlineStr">
        <is>
          <t>Belleza</t>
        </is>
      </c>
      <c r="F219" t="inlineStr">
        <is>
          <t>Web</t>
        </is>
      </c>
      <c r="G219" t="inlineStr">
        <is>
          <t>1. Visita</t>
        </is>
      </c>
      <c r="H219" t="n">
        <v>2</v>
      </c>
      <c r="I219" s="73" t="n">
        <v>55100</v>
      </c>
      <c r="J219" s="73" t="n">
        <v>126730</v>
      </c>
      <c r="K219" s="73" t="n">
        <v>80683</v>
      </c>
    </row>
    <row r="220">
      <c r="A220" t="n">
        <v>10274</v>
      </c>
      <c r="B220" s="72" t="n">
        <v>45430.83402777778</v>
      </c>
      <c r="C220" t="inlineStr">
        <is>
          <t>Bogotá D.C.</t>
        </is>
      </c>
      <c r="D220" t="inlineStr">
        <is>
          <t>Bogotá</t>
        </is>
      </c>
      <c r="E220" t="inlineStr">
        <is>
          <t>Moda</t>
        </is>
      </c>
      <c r="F220" t="inlineStr">
        <is>
          <t>Tienda física</t>
        </is>
      </c>
      <c r="G220" t="inlineStr">
        <is>
          <t>2. Carrito</t>
        </is>
      </c>
      <c r="H220" t="n">
        <v>3</v>
      </c>
      <c r="I220" s="73" t="n">
        <v>129600</v>
      </c>
      <c r="J220" s="73" t="n">
        <v>447120</v>
      </c>
      <c r="K220" s="73" t="n">
        <v>275746</v>
      </c>
    </row>
    <row r="221">
      <c r="A221" t="n">
        <v>11526</v>
      </c>
      <c r="B221" s="72" t="n">
        <v>45430.87361111111</v>
      </c>
      <c r="C221" t="inlineStr">
        <is>
          <t>Valle del Cauca</t>
        </is>
      </c>
      <c r="D221" t="inlineStr">
        <is>
          <t>Cali</t>
        </is>
      </c>
      <c r="E221" t="inlineStr">
        <is>
          <t>Deportes</t>
        </is>
      </c>
      <c r="F221" t="inlineStr">
        <is>
          <t>Web</t>
        </is>
      </c>
      <c r="G221" t="inlineStr">
        <is>
          <t>1. Visita</t>
        </is>
      </c>
      <c r="H221" t="n">
        <v>1</v>
      </c>
      <c r="I221" s="73" t="n">
        <v>125900</v>
      </c>
      <c r="J221" s="73" t="n">
        <v>144785</v>
      </c>
      <c r="K221" s="73" t="n">
        <v>90743</v>
      </c>
    </row>
    <row r="222">
      <c r="A222" t="n">
        <v>10230</v>
      </c>
      <c r="B222" s="72" t="n">
        <v>45431.36597222222</v>
      </c>
      <c r="C222" t="inlineStr">
        <is>
          <t>Santander</t>
        </is>
      </c>
      <c r="D222" t="inlineStr">
        <is>
          <t>Bucaramanga</t>
        </is>
      </c>
      <c r="E222" t="inlineStr">
        <is>
          <t>Belleza</t>
        </is>
      </c>
      <c r="F222" t="inlineStr">
        <is>
          <t>Web</t>
        </is>
      </c>
      <c r="G222" t="inlineStr">
        <is>
          <t>2. Carrito</t>
        </is>
      </c>
      <c r="H222" t="n">
        <v>5</v>
      </c>
      <c r="I222" s="73" t="n">
        <v>81600</v>
      </c>
      <c r="J222" s="73" t="n">
        <v>469200</v>
      </c>
      <c r="K222" s="73" t="n">
        <v>333338</v>
      </c>
    </row>
    <row r="223">
      <c r="A223" t="n">
        <v>11922</v>
      </c>
      <c r="B223" s="72" t="n">
        <v>45431.42777777778</v>
      </c>
      <c r="C223" t="inlineStr">
        <is>
          <t>Santander</t>
        </is>
      </c>
      <c r="D223" t="inlineStr">
        <is>
          <t>Bucaramanga</t>
        </is>
      </c>
      <c r="E223" t="inlineStr">
        <is>
          <t>Hogar</t>
        </is>
      </c>
      <c r="F223" t="inlineStr">
        <is>
          <t>App</t>
        </is>
      </c>
      <c r="G223" t="inlineStr">
        <is>
          <t>1. Visita</t>
        </is>
      </c>
      <c r="H223" t="n">
        <v>3</v>
      </c>
      <c r="I223" s="73" t="n">
        <v>224800</v>
      </c>
      <c r="J223" s="73" t="n">
        <v>775560</v>
      </c>
      <c r="K223" s="73" t="n">
        <v>448139</v>
      </c>
    </row>
    <row r="224">
      <c r="A224" t="n">
        <v>11633</v>
      </c>
      <c r="B224" s="72" t="n">
        <v>45431.45972222222</v>
      </c>
      <c r="C224" t="inlineStr">
        <is>
          <t>Antioquia</t>
        </is>
      </c>
      <c r="D224" t="inlineStr">
        <is>
          <t>Medellín</t>
        </is>
      </c>
      <c r="E224" t="inlineStr">
        <is>
          <t>Moda</t>
        </is>
      </c>
      <c r="F224" t="inlineStr">
        <is>
          <t>Tienda física</t>
        </is>
      </c>
      <c r="G224" t="inlineStr">
        <is>
          <t>1. Visita</t>
        </is>
      </c>
      <c r="H224" t="n">
        <v>3</v>
      </c>
      <c r="I224" s="73" t="n">
        <v>133700</v>
      </c>
      <c r="J224" s="73" t="n">
        <v>461265</v>
      </c>
      <c r="K224" s="73" t="n">
        <v>254128</v>
      </c>
    </row>
    <row r="225">
      <c r="A225" t="n">
        <v>10883</v>
      </c>
      <c r="B225" s="72" t="n">
        <v>45431.64166666667</v>
      </c>
      <c r="C225" t="inlineStr">
        <is>
          <t>Bogotá D.C.</t>
        </is>
      </c>
      <c r="D225" t="inlineStr">
        <is>
          <t>Bogotá</t>
        </is>
      </c>
      <c r="E225" t="inlineStr">
        <is>
          <t>Tecnología</t>
        </is>
      </c>
      <c r="F225" t="inlineStr">
        <is>
          <t>Web</t>
        </is>
      </c>
      <c r="G225" t="inlineStr">
        <is>
          <t>1. Visita</t>
        </is>
      </c>
      <c r="H225" t="n">
        <v>5</v>
      </c>
      <c r="I225" s="73" t="n">
        <v>914300</v>
      </c>
      <c r="J225" s="73" t="n">
        <v>5257225</v>
      </c>
      <c r="K225" s="73" t="n">
        <v>3726222</v>
      </c>
    </row>
    <row r="226">
      <c r="A226" t="n">
        <v>11363</v>
      </c>
      <c r="B226" s="72" t="n">
        <v>45431.69861111111</v>
      </c>
      <c r="C226" t="inlineStr">
        <is>
          <t>Bogotá D.C.</t>
        </is>
      </c>
      <c r="D226" t="inlineStr">
        <is>
          <t>Bogotá</t>
        </is>
      </c>
      <c r="E226" t="inlineStr">
        <is>
          <t>Tecnología</t>
        </is>
      </c>
      <c r="F226" t="inlineStr">
        <is>
          <t>Web</t>
        </is>
      </c>
      <c r="G226" t="inlineStr">
        <is>
          <t>1. Visita</t>
        </is>
      </c>
      <c r="H226" t="n">
        <v>5</v>
      </c>
      <c r="I226" s="73" t="n">
        <v>714900</v>
      </c>
      <c r="J226" s="73" t="n">
        <v>4110675</v>
      </c>
      <c r="K226" s="73" t="n">
        <v>2563383</v>
      </c>
    </row>
    <row r="227">
      <c r="A227" t="n">
        <v>11862</v>
      </c>
      <c r="B227" s="72" t="n">
        <v>45431.83125</v>
      </c>
      <c r="C227" t="inlineStr">
        <is>
          <t>Valle del Cauca</t>
        </is>
      </c>
      <c r="D227" t="inlineStr">
        <is>
          <t>Cali</t>
        </is>
      </c>
      <c r="E227" t="inlineStr">
        <is>
          <t>Juguetes</t>
        </is>
      </c>
      <c r="F227" t="inlineStr">
        <is>
          <t>App</t>
        </is>
      </c>
      <c r="G227" t="inlineStr">
        <is>
          <t>1. Visita</t>
        </is>
      </c>
      <c r="H227" t="n">
        <v>2</v>
      </c>
      <c r="I227" s="73" t="n">
        <v>107600</v>
      </c>
      <c r="J227" s="73" t="n">
        <v>247480</v>
      </c>
      <c r="K227" s="73" t="n">
        <v>139846</v>
      </c>
    </row>
    <row r="228">
      <c r="A228" t="n">
        <v>11835</v>
      </c>
      <c r="B228" s="72" t="n">
        <v>45431.8375</v>
      </c>
      <c r="C228" t="inlineStr">
        <is>
          <t>Bogotá D.C.</t>
        </is>
      </c>
      <c r="D228" t="inlineStr">
        <is>
          <t>Bogotá</t>
        </is>
      </c>
      <c r="E228" t="inlineStr">
        <is>
          <t>Moda</t>
        </is>
      </c>
      <c r="F228" t="inlineStr">
        <is>
          <t>Tienda física</t>
        </is>
      </c>
      <c r="G228" t="inlineStr">
        <is>
          <t>2. Carrito</t>
        </is>
      </c>
      <c r="H228" t="n">
        <v>5</v>
      </c>
      <c r="I228" s="73" t="n">
        <v>142900</v>
      </c>
      <c r="J228" s="73" t="n">
        <v>821675</v>
      </c>
      <c r="K228" s="73" t="n">
        <v>574038</v>
      </c>
    </row>
    <row r="229">
      <c r="A229" t="n">
        <v>11193</v>
      </c>
      <c r="B229" s="72" t="n">
        <v>45431.86597222222</v>
      </c>
      <c r="C229" t="inlineStr">
        <is>
          <t>Antioquia</t>
        </is>
      </c>
      <c r="D229" t="inlineStr">
        <is>
          <t>Medellín</t>
        </is>
      </c>
      <c r="E229" t="inlineStr">
        <is>
          <t>Juguetes</t>
        </is>
      </c>
      <c r="F229" t="inlineStr">
        <is>
          <t>Tienda física</t>
        </is>
      </c>
      <c r="G229" t="inlineStr">
        <is>
          <t>1. Visita</t>
        </is>
      </c>
      <c r="H229" t="n">
        <v>2</v>
      </c>
      <c r="I229" s="73" t="n">
        <v>81400</v>
      </c>
      <c r="J229" s="73" t="n">
        <v>187220</v>
      </c>
      <c r="K229" s="73" t="n">
        <v>119675</v>
      </c>
    </row>
    <row r="230">
      <c r="A230" t="n">
        <v>11476</v>
      </c>
      <c r="B230" s="72" t="n">
        <v>45431.89583333334</v>
      </c>
      <c r="C230" t="inlineStr">
        <is>
          <t>Bogotá D.C.</t>
        </is>
      </c>
      <c r="D230" t="inlineStr">
        <is>
          <t>Bogotá</t>
        </is>
      </c>
      <c r="E230" t="inlineStr">
        <is>
          <t>Hogar</t>
        </is>
      </c>
      <c r="F230" t="inlineStr">
        <is>
          <t>Tienda física</t>
        </is>
      </c>
      <c r="G230" t="inlineStr">
        <is>
          <t>1. Visita</t>
        </is>
      </c>
      <c r="H230" t="n">
        <v>1</v>
      </c>
      <c r="I230" s="73" t="n">
        <v>272300</v>
      </c>
      <c r="J230" s="73" t="n">
        <v>313145</v>
      </c>
      <c r="K230" s="73" t="n">
        <v>196143</v>
      </c>
    </row>
    <row r="231">
      <c r="A231" t="n">
        <v>12297</v>
      </c>
      <c r="B231" s="72" t="n">
        <v>45432.49444444444</v>
      </c>
      <c r="C231" t="inlineStr">
        <is>
          <t>Bolívar</t>
        </is>
      </c>
      <c r="D231" t="inlineStr">
        <is>
          <t>Cartagena</t>
        </is>
      </c>
      <c r="E231" t="inlineStr">
        <is>
          <t>Deportes</t>
        </is>
      </c>
      <c r="F231" t="inlineStr">
        <is>
          <t>Marketplace</t>
        </is>
      </c>
      <c r="G231" t="inlineStr">
        <is>
          <t>1. Visita</t>
        </is>
      </c>
      <c r="H231" t="n">
        <v>3</v>
      </c>
      <c r="I231" s="73" t="n">
        <v>126800</v>
      </c>
      <c r="J231" s="73" t="n">
        <v>380400</v>
      </c>
      <c r="K231" s="73" t="n">
        <v>262594</v>
      </c>
    </row>
    <row r="232">
      <c r="A232" t="n">
        <v>11782</v>
      </c>
      <c r="B232" s="72" t="n">
        <v>45432.57013888889</v>
      </c>
      <c r="C232" t="inlineStr">
        <is>
          <t>Huila</t>
        </is>
      </c>
      <c r="D232" t="inlineStr">
        <is>
          <t>Neiva</t>
        </is>
      </c>
      <c r="E232" t="inlineStr">
        <is>
          <t>Tecnología</t>
        </is>
      </c>
      <c r="F232" t="inlineStr">
        <is>
          <t>Web</t>
        </is>
      </c>
      <c r="G232" t="inlineStr">
        <is>
          <t>2. Carrito</t>
        </is>
      </c>
      <c r="H232" t="n">
        <v>5</v>
      </c>
      <c r="I232" s="73" t="n">
        <v>1072500</v>
      </c>
      <c r="J232" s="73" t="n">
        <v>5362500</v>
      </c>
      <c r="K232" s="73" t="n">
        <v>3401284</v>
      </c>
    </row>
    <row r="233">
      <c r="A233" t="n">
        <v>11105</v>
      </c>
      <c r="B233" s="72" t="n">
        <v>45432.65555555555</v>
      </c>
      <c r="C233" t="inlineStr">
        <is>
          <t>Atlántico</t>
        </is>
      </c>
      <c r="D233" t="inlineStr">
        <is>
          <t>Barranquilla</t>
        </is>
      </c>
      <c r="E233" t="inlineStr">
        <is>
          <t>Moda</t>
        </is>
      </c>
      <c r="F233" t="inlineStr">
        <is>
          <t>Web</t>
        </is>
      </c>
      <c r="G233" t="inlineStr">
        <is>
          <t>3. Pago</t>
        </is>
      </c>
      <c r="H233" t="n">
        <v>5</v>
      </c>
      <c r="I233" s="73" t="n">
        <v>98200</v>
      </c>
      <c r="J233" s="73" t="n">
        <v>491000</v>
      </c>
      <c r="K233" s="73" t="n">
        <v>312532</v>
      </c>
    </row>
    <row r="234">
      <c r="A234" t="n">
        <v>11717</v>
      </c>
      <c r="B234" s="72" t="n">
        <v>45432.78055555555</v>
      </c>
      <c r="C234" t="inlineStr">
        <is>
          <t>Antioquia</t>
        </is>
      </c>
      <c r="D234" t="inlineStr">
        <is>
          <t>Medellín</t>
        </is>
      </c>
      <c r="E234" t="inlineStr">
        <is>
          <t>Moda</t>
        </is>
      </c>
      <c r="F234" t="inlineStr">
        <is>
          <t>Marketplace</t>
        </is>
      </c>
      <c r="G234" t="inlineStr">
        <is>
          <t>1. Visita</t>
        </is>
      </c>
      <c r="H234" t="n">
        <v>1</v>
      </c>
      <c r="I234" s="73" t="n">
        <v>135400</v>
      </c>
      <c r="J234" s="73" t="n">
        <v>135400</v>
      </c>
      <c r="K234" s="73" t="n">
        <v>82324</v>
      </c>
    </row>
    <row r="235">
      <c r="A235" t="n">
        <v>10429</v>
      </c>
      <c r="B235" s="72" t="n">
        <v>45432.84305555555</v>
      </c>
      <c r="C235" t="inlineStr">
        <is>
          <t>Antioquia</t>
        </is>
      </c>
      <c r="D235" t="inlineStr">
        <is>
          <t>Medellín</t>
        </is>
      </c>
      <c r="E235" t="inlineStr">
        <is>
          <t>Deportes</t>
        </is>
      </c>
      <c r="F235" t="inlineStr">
        <is>
          <t>App</t>
        </is>
      </c>
      <c r="G235" t="inlineStr">
        <is>
          <t>3. Pago</t>
        </is>
      </c>
      <c r="H235" t="n">
        <v>2</v>
      </c>
      <c r="I235" s="73" t="n">
        <v>128200</v>
      </c>
      <c r="J235" s="73" t="n">
        <v>256400</v>
      </c>
      <c r="K235" s="73" t="n">
        <v>189870</v>
      </c>
    </row>
    <row r="236">
      <c r="A236" t="n">
        <v>12125</v>
      </c>
      <c r="B236" s="72" t="n">
        <v>45432.91944444444</v>
      </c>
      <c r="C236" t="inlineStr">
        <is>
          <t>Antioquia</t>
        </is>
      </c>
      <c r="D236" t="inlineStr">
        <is>
          <t>Medellín</t>
        </is>
      </c>
      <c r="E236" t="inlineStr">
        <is>
          <t>Hogar</t>
        </is>
      </c>
      <c r="F236" t="inlineStr">
        <is>
          <t>Tienda física</t>
        </is>
      </c>
      <c r="G236" t="inlineStr">
        <is>
          <t>1. Visita</t>
        </is>
      </c>
      <c r="H236" t="n">
        <v>2</v>
      </c>
      <c r="I236" s="73" t="n">
        <v>190200</v>
      </c>
      <c r="J236" s="73" t="n">
        <v>380400</v>
      </c>
      <c r="K236" s="73" t="n">
        <v>260314</v>
      </c>
    </row>
    <row r="237">
      <c r="A237" t="n">
        <v>10431</v>
      </c>
      <c r="B237" s="72" t="n">
        <v>45433.52569444444</v>
      </c>
      <c r="C237" t="inlineStr">
        <is>
          <t>Nariño</t>
        </is>
      </c>
      <c r="D237" t="inlineStr">
        <is>
          <t>Pasto</t>
        </is>
      </c>
      <c r="E237" t="inlineStr">
        <is>
          <t>Juguetes</t>
        </is>
      </c>
      <c r="F237" t="inlineStr">
        <is>
          <t>Marketplace</t>
        </is>
      </c>
      <c r="G237" t="inlineStr">
        <is>
          <t>3. Pago</t>
        </is>
      </c>
      <c r="H237" t="n">
        <v>2</v>
      </c>
      <c r="I237" s="73" t="n">
        <v>114000</v>
      </c>
      <c r="J237" s="73" t="n">
        <v>228000</v>
      </c>
      <c r="K237" s="73" t="n">
        <v>143037</v>
      </c>
    </row>
    <row r="238">
      <c r="A238" t="n">
        <v>11456</v>
      </c>
      <c r="B238" s="72" t="n">
        <v>45433.68541666667</v>
      </c>
      <c r="C238" t="inlineStr">
        <is>
          <t>Bogotá D.C.</t>
        </is>
      </c>
      <c r="D238" t="inlineStr">
        <is>
          <t>Bogotá</t>
        </is>
      </c>
      <c r="E238" t="inlineStr">
        <is>
          <t>Tecnología</t>
        </is>
      </c>
      <c r="F238" t="inlineStr">
        <is>
          <t>Tienda física</t>
        </is>
      </c>
      <c r="G238" t="inlineStr">
        <is>
          <t>1. Visita</t>
        </is>
      </c>
      <c r="H238" t="n">
        <v>2</v>
      </c>
      <c r="I238" s="73" t="n">
        <v>1061300</v>
      </c>
      <c r="J238" s="73" t="n">
        <v>2122600</v>
      </c>
      <c r="K238" s="73" t="n">
        <v>1576440</v>
      </c>
    </row>
    <row r="239">
      <c r="A239" t="n">
        <v>11632</v>
      </c>
      <c r="B239" s="72" t="n">
        <v>45433.80069444444</v>
      </c>
      <c r="C239" t="inlineStr">
        <is>
          <t>Santander</t>
        </is>
      </c>
      <c r="D239" t="inlineStr">
        <is>
          <t>Bucaramanga</t>
        </is>
      </c>
      <c r="E239" t="inlineStr">
        <is>
          <t>Deportes</t>
        </is>
      </c>
      <c r="F239" t="inlineStr">
        <is>
          <t>App</t>
        </is>
      </c>
      <c r="G239" t="inlineStr">
        <is>
          <t>2. Carrito</t>
        </is>
      </c>
      <c r="H239" t="n">
        <v>1</v>
      </c>
      <c r="I239" s="73" t="n">
        <v>114600</v>
      </c>
      <c r="J239" s="73" t="n">
        <v>114600</v>
      </c>
      <c r="K239" s="73" t="n">
        <v>78325</v>
      </c>
    </row>
    <row r="240">
      <c r="A240" t="n">
        <v>11540</v>
      </c>
      <c r="B240" s="72" t="n">
        <v>45433.93888888889</v>
      </c>
      <c r="C240" t="inlineStr">
        <is>
          <t>Valle del Cauca</t>
        </is>
      </c>
      <c r="D240" t="inlineStr">
        <is>
          <t>Cali</t>
        </is>
      </c>
      <c r="E240" t="inlineStr">
        <is>
          <t>Belleza</t>
        </is>
      </c>
      <c r="F240" t="inlineStr">
        <is>
          <t>Web</t>
        </is>
      </c>
      <c r="G240" t="inlineStr">
        <is>
          <t>2. Carrito</t>
        </is>
      </c>
      <c r="H240" t="n">
        <v>3</v>
      </c>
      <c r="I240" s="73" t="n">
        <v>74900</v>
      </c>
      <c r="J240" s="73" t="n">
        <v>224700</v>
      </c>
      <c r="K240" s="73" t="n">
        <v>150064</v>
      </c>
    </row>
    <row r="241">
      <c r="A241" t="n">
        <v>11425</v>
      </c>
      <c r="B241" s="72" t="n">
        <v>45434.33819444444</v>
      </c>
      <c r="C241" t="inlineStr">
        <is>
          <t>Santander</t>
        </is>
      </c>
      <c r="D241" t="inlineStr">
        <is>
          <t>Bucaramanga</t>
        </is>
      </c>
      <c r="E241" t="inlineStr">
        <is>
          <t>Moda</t>
        </is>
      </c>
      <c r="F241" t="inlineStr">
        <is>
          <t>Tienda física</t>
        </is>
      </c>
      <c r="G241" t="inlineStr">
        <is>
          <t>2. Carrito</t>
        </is>
      </c>
      <c r="H241" t="n">
        <v>5</v>
      </c>
      <c r="I241" s="73" t="n">
        <v>155000</v>
      </c>
      <c r="J241" s="73" t="n">
        <v>775000</v>
      </c>
      <c r="K241" s="73" t="n">
        <v>561728</v>
      </c>
    </row>
    <row r="242">
      <c r="A242" t="n">
        <v>10196</v>
      </c>
      <c r="B242" s="72" t="n">
        <v>45434.74236111111</v>
      </c>
      <c r="C242" t="inlineStr">
        <is>
          <t>Meta</t>
        </is>
      </c>
      <c r="D242" t="inlineStr">
        <is>
          <t>Villavicencio</t>
        </is>
      </c>
      <c r="E242" t="inlineStr">
        <is>
          <t>Belleza</t>
        </is>
      </c>
      <c r="F242" t="inlineStr">
        <is>
          <t>Web</t>
        </is>
      </c>
      <c r="G242" t="inlineStr">
        <is>
          <t>1. Visita</t>
        </is>
      </c>
      <c r="H242" t="n">
        <v>2</v>
      </c>
      <c r="I242" s="73" t="n">
        <v>68500</v>
      </c>
      <c r="J242" s="73" t="n">
        <v>137000</v>
      </c>
      <c r="K242" s="73" t="n">
        <v>100766</v>
      </c>
    </row>
    <row r="243">
      <c r="A243" t="n">
        <v>10206</v>
      </c>
      <c r="B243" s="72" t="n">
        <v>45434.77847222222</v>
      </c>
      <c r="C243" t="inlineStr">
        <is>
          <t>Antioquia</t>
        </is>
      </c>
      <c r="D243" t="inlineStr">
        <is>
          <t>Medellín</t>
        </is>
      </c>
      <c r="E243" t="inlineStr">
        <is>
          <t>Belleza</t>
        </is>
      </c>
      <c r="F243" t="inlineStr">
        <is>
          <t>Web</t>
        </is>
      </c>
      <c r="G243" t="inlineStr">
        <is>
          <t>1. Visita</t>
        </is>
      </c>
      <c r="H243" t="n">
        <v>3</v>
      </c>
      <c r="I243" s="73" t="n">
        <v>67900</v>
      </c>
      <c r="J243" s="73" t="n">
        <v>203700</v>
      </c>
      <c r="K243" s="73" t="n">
        <v>152605</v>
      </c>
    </row>
    <row r="244">
      <c r="A244" t="n">
        <v>10581</v>
      </c>
      <c r="B244" s="72" t="n">
        <v>45435.39722222222</v>
      </c>
      <c r="C244" t="inlineStr">
        <is>
          <t>Nariño</t>
        </is>
      </c>
      <c r="D244" t="inlineStr">
        <is>
          <t>Pasto</t>
        </is>
      </c>
      <c r="E244" t="inlineStr">
        <is>
          <t>Belleza</t>
        </is>
      </c>
      <c r="F244" t="inlineStr">
        <is>
          <t>Web</t>
        </is>
      </c>
      <c r="G244" t="inlineStr">
        <is>
          <t>2. Carrito</t>
        </is>
      </c>
      <c r="H244" t="n">
        <v>2</v>
      </c>
      <c r="I244" s="73" t="n">
        <v>84500</v>
      </c>
      <c r="J244" s="73" t="n">
        <v>169000</v>
      </c>
      <c r="K244" s="73" t="n">
        <v>120654</v>
      </c>
    </row>
    <row r="245">
      <c r="A245" t="n">
        <v>10400</v>
      </c>
      <c r="B245" s="72" t="n">
        <v>45435.48680555556</v>
      </c>
      <c r="C245" t="inlineStr">
        <is>
          <t>Nariño</t>
        </is>
      </c>
      <c r="D245" t="inlineStr">
        <is>
          <t>Pasto</t>
        </is>
      </c>
      <c r="E245" t="inlineStr">
        <is>
          <t>Tecnología</t>
        </is>
      </c>
      <c r="F245" t="inlineStr">
        <is>
          <t>App</t>
        </is>
      </c>
      <c r="G245" t="inlineStr">
        <is>
          <t>2. Carrito</t>
        </is>
      </c>
      <c r="H245" t="n">
        <v>1</v>
      </c>
      <c r="I245" s="73" t="n">
        <v>607500</v>
      </c>
      <c r="J245" s="73" t="n">
        <v>607500</v>
      </c>
      <c r="K245" s="73" t="n">
        <v>403311</v>
      </c>
    </row>
    <row r="246">
      <c r="A246" t="n">
        <v>11950</v>
      </c>
      <c r="B246" s="72" t="n">
        <v>45435.67291666667</v>
      </c>
      <c r="C246" t="inlineStr">
        <is>
          <t>Antioquia</t>
        </is>
      </c>
      <c r="D246" t="inlineStr">
        <is>
          <t>Medellín</t>
        </is>
      </c>
      <c r="E246" t="inlineStr">
        <is>
          <t>Deportes</t>
        </is>
      </c>
      <c r="F246" t="inlineStr">
        <is>
          <t>Tienda física</t>
        </is>
      </c>
      <c r="G246" t="inlineStr">
        <is>
          <t>2. Carrito</t>
        </is>
      </c>
      <c r="H246" t="n">
        <v>4</v>
      </c>
      <c r="I246" s="73" t="n">
        <v>123900</v>
      </c>
      <c r="J246" s="73" t="n">
        <v>495600</v>
      </c>
      <c r="K246" s="73" t="n">
        <v>294338</v>
      </c>
    </row>
    <row r="247">
      <c r="A247" t="n">
        <v>10893</v>
      </c>
      <c r="B247" s="72" t="n">
        <v>45435.96944444445</v>
      </c>
      <c r="C247" t="inlineStr">
        <is>
          <t>Bogotá D.C.</t>
        </is>
      </c>
      <c r="D247" t="inlineStr">
        <is>
          <t>Bogotá</t>
        </is>
      </c>
      <c r="E247" t="inlineStr">
        <is>
          <t>Belleza</t>
        </is>
      </c>
      <c r="F247" t="inlineStr">
        <is>
          <t>Web</t>
        </is>
      </c>
      <c r="G247" t="inlineStr">
        <is>
          <t>4. Compra</t>
        </is>
      </c>
      <c r="H247" t="n">
        <v>2</v>
      </c>
      <c r="I247" s="73" t="n">
        <v>60700</v>
      </c>
      <c r="J247" s="73" t="n">
        <v>121400</v>
      </c>
      <c r="K247" s="73" t="n">
        <v>87368</v>
      </c>
    </row>
    <row r="248">
      <c r="A248" t="n">
        <v>12204</v>
      </c>
      <c r="B248" s="72" t="n">
        <v>45436.25347222222</v>
      </c>
      <c r="C248" t="inlineStr">
        <is>
          <t>Nariño</t>
        </is>
      </c>
      <c r="D248" t="inlineStr">
        <is>
          <t>Pasto</t>
        </is>
      </c>
      <c r="E248" t="inlineStr">
        <is>
          <t>Juguetes</t>
        </is>
      </c>
      <c r="F248" t="inlineStr">
        <is>
          <t>Web</t>
        </is>
      </c>
      <c r="G248" t="inlineStr">
        <is>
          <t>1. Visita</t>
        </is>
      </c>
      <c r="H248" t="n">
        <v>2</v>
      </c>
      <c r="I248" s="73" t="n">
        <v>107900</v>
      </c>
      <c r="J248" s="73" t="n">
        <v>248170</v>
      </c>
      <c r="K248" s="73" t="n">
        <v>144632</v>
      </c>
    </row>
    <row r="249">
      <c r="A249" t="n">
        <v>10849</v>
      </c>
      <c r="B249" s="72" t="n">
        <v>45436.56875</v>
      </c>
      <c r="C249" t="inlineStr">
        <is>
          <t>Bogotá D.C.</t>
        </is>
      </c>
      <c r="D249" t="inlineStr">
        <is>
          <t>Bogotá</t>
        </is>
      </c>
      <c r="E249" t="inlineStr">
        <is>
          <t>Deportes</t>
        </is>
      </c>
      <c r="F249" t="inlineStr">
        <is>
          <t>App</t>
        </is>
      </c>
      <c r="G249" t="inlineStr">
        <is>
          <t>2. Carrito</t>
        </is>
      </c>
      <c r="H249" t="n">
        <v>5</v>
      </c>
      <c r="I249" s="73" t="n">
        <v>191700</v>
      </c>
      <c r="J249" s="73" t="n">
        <v>1102275</v>
      </c>
      <c r="K249" s="73" t="n">
        <v>666294</v>
      </c>
    </row>
    <row r="250">
      <c r="A250" t="n">
        <v>11239</v>
      </c>
      <c r="B250" s="72" t="n">
        <v>45436.60833333333</v>
      </c>
      <c r="C250" t="inlineStr">
        <is>
          <t>Antioquia</t>
        </is>
      </c>
      <c r="D250" t="inlineStr">
        <is>
          <t>Medellín</t>
        </is>
      </c>
      <c r="E250" t="inlineStr">
        <is>
          <t>Juguetes</t>
        </is>
      </c>
      <c r="F250" t="inlineStr">
        <is>
          <t>Web</t>
        </is>
      </c>
      <c r="G250" t="inlineStr">
        <is>
          <t>2. Carrito</t>
        </is>
      </c>
      <c r="H250" t="n">
        <v>1</v>
      </c>
      <c r="I250" s="73" t="n">
        <v>95000</v>
      </c>
      <c r="J250" s="73" t="n">
        <v>109250</v>
      </c>
      <c r="K250" s="73" t="n">
        <v>60395</v>
      </c>
    </row>
    <row r="251">
      <c r="A251" t="n">
        <v>10050</v>
      </c>
      <c r="B251" s="72" t="n">
        <v>45436.78125</v>
      </c>
      <c r="C251" t="inlineStr">
        <is>
          <t>Nariño</t>
        </is>
      </c>
      <c r="D251" t="inlineStr">
        <is>
          <t>Pasto</t>
        </is>
      </c>
      <c r="E251" t="inlineStr">
        <is>
          <t>Tecnología</t>
        </is>
      </c>
      <c r="F251" t="inlineStr">
        <is>
          <t>Web</t>
        </is>
      </c>
      <c r="G251" t="inlineStr">
        <is>
          <t>4. Compra</t>
        </is>
      </c>
      <c r="H251" t="n">
        <v>4</v>
      </c>
      <c r="I251" s="73" t="n">
        <v>809800</v>
      </c>
      <c r="J251" s="73" t="n">
        <v>3725080</v>
      </c>
      <c r="K251" s="73" t="n">
        <v>2566985</v>
      </c>
    </row>
    <row r="252">
      <c r="A252" t="n">
        <v>12103</v>
      </c>
      <c r="B252" s="72" t="n">
        <v>45436.96666666667</v>
      </c>
      <c r="C252" t="inlineStr">
        <is>
          <t>Antioquia</t>
        </is>
      </c>
      <c r="D252" t="inlineStr">
        <is>
          <t>Medellín</t>
        </is>
      </c>
      <c r="E252" t="inlineStr">
        <is>
          <t>Tecnología</t>
        </is>
      </c>
      <c r="F252" t="inlineStr">
        <is>
          <t>App</t>
        </is>
      </c>
      <c r="G252" t="inlineStr">
        <is>
          <t>1. Visita</t>
        </is>
      </c>
      <c r="H252" t="n">
        <v>2</v>
      </c>
      <c r="I252" s="73" t="n">
        <v>814700</v>
      </c>
      <c r="J252" s="73" t="n">
        <v>1873810</v>
      </c>
      <c r="K252" s="73" t="n">
        <v>1100165</v>
      </c>
    </row>
    <row r="253">
      <c r="A253" t="n">
        <v>10485</v>
      </c>
      <c r="B253" s="72" t="n">
        <v>45437.40347222222</v>
      </c>
      <c r="C253" t="inlineStr">
        <is>
          <t>Huila</t>
        </is>
      </c>
      <c r="D253" t="inlineStr">
        <is>
          <t>Neiva</t>
        </is>
      </c>
      <c r="E253" t="inlineStr">
        <is>
          <t>Deportes</t>
        </is>
      </c>
      <c r="F253" t="inlineStr">
        <is>
          <t>Tienda física</t>
        </is>
      </c>
      <c r="G253" t="inlineStr">
        <is>
          <t>4. Compra</t>
        </is>
      </c>
      <c r="H253" t="n">
        <v>4</v>
      </c>
      <c r="I253" s="73" t="n">
        <v>190100</v>
      </c>
      <c r="J253" s="73" t="n">
        <v>874460</v>
      </c>
      <c r="K253" s="73" t="n">
        <v>616775</v>
      </c>
    </row>
    <row r="254">
      <c r="A254" t="n">
        <v>11564</v>
      </c>
      <c r="B254" s="72" t="n">
        <v>45437.40763888889</v>
      </c>
      <c r="C254" t="inlineStr">
        <is>
          <t>Antioquia</t>
        </is>
      </c>
      <c r="D254" t="inlineStr">
        <is>
          <t>Medellín</t>
        </is>
      </c>
      <c r="E254" t="inlineStr">
        <is>
          <t>Tecnología</t>
        </is>
      </c>
      <c r="F254" t="inlineStr">
        <is>
          <t>App</t>
        </is>
      </c>
      <c r="G254" t="inlineStr">
        <is>
          <t>4. Compra</t>
        </is>
      </c>
      <c r="H254" t="n">
        <v>5</v>
      </c>
      <c r="I254" s="73" t="n">
        <v>606300</v>
      </c>
      <c r="J254" s="73" t="n">
        <v>3486225</v>
      </c>
      <c r="K254" s="73" t="n">
        <v>2206171</v>
      </c>
    </row>
    <row r="255">
      <c r="A255" t="n">
        <v>12299</v>
      </c>
      <c r="B255" s="72" t="n">
        <v>45437.5125</v>
      </c>
      <c r="C255" t="inlineStr">
        <is>
          <t>Risaralda</t>
        </is>
      </c>
      <c r="D255" t="inlineStr">
        <is>
          <t>Pereira</t>
        </is>
      </c>
      <c r="E255" t="inlineStr">
        <is>
          <t>Deportes</t>
        </is>
      </c>
      <c r="F255" t="inlineStr">
        <is>
          <t>Web</t>
        </is>
      </c>
      <c r="G255" t="inlineStr">
        <is>
          <t>1. Visita</t>
        </is>
      </c>
      <c r="H255" t="n">
        <v>4</v>
      </c>
      <c r="I255" s="73" t="n">
        <v>143800</v>
      </c>
      <c r="J255" s="73" t="n">
        <v>661480</v>
      </c>
      <c r="K255" s="73" t="n">
        <v>449008</v>
      </c>
    </row>
    <row r="256">
      <c r="A256" t="n">
        <v>11405</v>
      </c>
      <c r="B256" s="72" t="n">
        <v>45437.77847222222</v>
      </c>
      <c r="C256" t="inlineStr">
        <is>
          <t>Atlántico</t>
        </is>
      </c>
      <c r="D256" t="inlineStr">
        <is>
          <t>Barranquilla</t>
        </is>
      </c>
      <c r="E256" t="inlineStr">
        <is>
          <t>Moda</t>
        </is>
      </c>
      <c r="F256" t="inlineStr">
        <is>
          <t>Web</t>
        </is>
      </c>
      <c r="G256" t="inlineStr">
        <is>
          <t>3. Pago</t>
        </is>
      </c>
      <c r="H256" t="n">
        <v>4</v>
      </c>
      <c r="I256" s="73" t="n">
        <v>120400</v>
      </c>
      <c r="J256" s="73" t="n">
        <v>553840</v>
      </c>
      <c r="K256" s="73" t="n">
        <v>361390</v>
      </c>
    </row>
    <row r="257">
      <c r="A257" t="n">
        <v>12129</v>
      </c>
      <c r="B257" s="72" t="n">
        <v>45437.85694444444</v>
      </c>
      <c r="C257" t="inlineStr">
        <is>
          <t>Bogotá D.C.</t>
        </is>
      </c>
      <c r="D257" t="inlineStr">
        <is>
          <t>Bogotá</t>
        </is>
      </c>
      <c r="E257" t="inlineStr">
        <is>
          <t>Juguetes</t>
        </is>
      </c>
      <c r="F257" t="inlineStr">
        <is>
          <t>Web</t>
        </is>
      </c>
      <c r="G257" t="inlineStr">
        <is>
          <t>4. Compra</t>
        </is>
      </c>
      <c r="H257" t="n">
        <v>2</v>
      </c>
      <c r="I257" s="73" t="n">
        <v>77100</v>
      </c>
      <c r="J257" s="73" t="n">
        <v>177330</v>
      </c>
      <c r="K257" s="73" t="n">
        <v>115344</v>
      </c>
    </row>
    <row r="258">
      <c r="A258" t="n">
        <v>11775</v>
      </c>
      <c r="B258" s="72" t="n">
        <v>45437.99652777778</v>
      </c>
      <c r="C258" t="inlineStr">
        <is>
          <t>Valle del Cauca</t>
        </is>
      </c>
      <c r="D258" t="inlineStr">
        <is>
          <t>Cali</t>
        </is>
      </c>
      <c r="E258" t="inlineStr">
        <is>
          <t>Deportes</t>
        </is>
      </c>
      <c r="F258" t="inlineStr">
        <is>
          <t>Web</t>
        </is>
      </c>
      <c r="G258" t="inlineStr">
        <is>
          <t>4. Compra</t>
        </is>
      </c>
      <c r="H258" t="n">
        <v>2</v>
      </c>
      <c r="I258" s="73" t="n">
        <v>169400</v>
      </c>
      <c r="J258" s="73" t="n">
        <v>389620</v>
      </c>
      <c r="K258" s="73" t="n">
        <v>216450</v>
      </c>
    </row>
    <row r="259">
      <c r="A259" t="n">
        <v>11654</v>
      </c>
      <c r="B259" s="72" t="n">
        <v>45438.67638888889</v>
      </c>
      <c r="C259" t="inlineStr">
        <is>
          <t>Antioquia</t>
        </is>
      </c>
      <c r="D259" t="inlineStr">
        <is>
          <t>Medellín</t>
        </is>
      </c>
      <c r="E259" t="inlineStr">
        <is>
          <t>Tecnología</t>
        </is>
      </c>
      <c r="F259" t="inlineStr">
        <is>
          <t>App</t>
        </is>
      </c>
      <c r="G259" t="inlineStr">
        <is>
          <t>2. Carrito</t>
        </is>
      </c>
      <c r="H259" t="n">
        <v>4</v>
      </c>
      <c r="I259" s="73" t="n">
        <v>926000</v>
      </c>
      <c r="J259" s="73" t="n">
        <v>4259600</v>
      </c>
      <c r="K259" s="73" t="n">
        <v>2835383</v>
      </c>
    </row>
    <row r="260">
      <c r="A260" t="n">
        <v>11060</v>
      </c>
      <c r="B260" s="72" t="n">
        <v>45438.78194444445</v>
      </c>
      <c r="C260" t="inlineStr">
        <is>
          <t>Antioquia</t>
        </is>
      </c>
      <c r="D260" t="inlineStr">
        <is>
          <t>Medellín</t>
        </is>
      </c>
      <c r="E260" t="inlineStr">
        <is>
          <t>Deportes</t>
        </is>
      </c>
      <c r="F260" t="inlineStr">
        <is>
          <t>Tienda física</t>
        </is>
      </c>
      <c r="G260" t="inlineStr">
        <is>
          <t>1. Visita</t>
        </is>
      </c>
      <c r="H260" t="n">
        <v>5</v>
      </c>
      <c r="I260" s="73" t="n">
        <v>140000</v>
      </c>
      <c r="J260" s="73" t="n">
        <v>805000</v>
      </c>
      <c r="K260" s="73" t="n">
        <v>452449</v>
      </c>
    </row>
    <row r="261">
      <c r="A261" t="n">
        <v>10943</v>
      </c>
      <c r="B261" s="72" t="n">
        <v>45438.8</v>
      </c>
      <c r="C261" t="inlineStr">
        <is>
          <t>Valle del Cauca</t>
        </is>
      </c>
      <c r="D261" t="inlineStr">
        <is>
          <t>Cali</t>
        </is>
      </c>
      <c r="E261" t="inlineStr">
        <is>
          <t>Juguetes</t>
        </is>
      </c>
      <c r="F261" t="inlineStr">
        <is>
          <t>Web</t>
        </is>
      </c>
      <c r="G261" t="inlineStr">
        <is>
          <t>1. Visita</t>
        </is>
      </c>
      <c r="H261" t="n">
        <v>2</v>
      </c>
      <c r="I261" s="73" t="n">
        <v>99700</v>
      </c>
      <c r="J261" s="73" t="n">
        <v>229310</v>
      </c>
      <c r="K261" s="73" t="n">
        <v>161858</v>
      </c>
    </row>
    <row r="262">
      <c r="A262" t="n">
        <v>11560</v>
      </c>
      <c r="B262" s="72" t="n">
        <v>45438.92222222222</v>
      </c>
      <c r="C262" t="inlineStr">
        <is>
          <t>Santander</t>
        </is>
      </c>
      <c r="D262" t="inlineStr">
        <is>
          <t>Bucaramanga</t>
        </is>
      </c>
      <c r="E262" t="inlineStr">
        <is>
          <t>Belleza</t>
        </is>
      </c>
      <c r="F262" t="inlineStr">
        <is>
          <t>App</t>
        </is>
      </c>
      <c r="G262" t="inlineStr">
        <is>
          <t>3. Pago</t>
        </is>
      </c>
      <c r="H262" t="n">
        <v>2</v>
      </c>
      <c r="I262" s="73" t="n">
        <v>66400</v>
      </c>
      <c r="J262" s="73" t="n">
        <v>152720</v>
      </c>
      <c r="K262" s="73" t="n">
        <v>113008</v>
      </c>
    </row>
    <row r="263">
      <c r="A263" t="n">
        <v>12364</v>
      </c>
      <c r="B263" s="72" t="n">
        <v>45438.92361111111</v>
      </c>
      <c r="C263" t="inlineStr">
        <is>
          <t>Santander</t>
        </is>
      </c>
      <c r="D263" t="inlineStr">
        <is>
          <t>Bucaramanga</t>
        </is>
      </c>
      <c r="E263" t="inlineStr">
        <is>
          <t>Moda</t>
        </is>
      </c>
      <c r="F263" t="inlineStr">
        <is>
          <t>Web</t>
        </is>
      </c>
      <c r="G263" t="inlineStr">
        <is>
          <t>3. Pago</t>
        </is>
      </c>
      <c r="H263" t="n">
        <v>3</v>
      </c>
      <c r="I263" s="73" t="n">
        <v>115900</v>
      </c>
      <c r="J263" s="73" t="n">
        <v>399855</v>
      </c>
      <c r="K263" s="73" t="n">
        <v>235882</v>
      </c>
    </row>
    <row r="264">
      <c r="A264" t="n">
        <v>11876</v>
      </c>
      <c r="B264" s="72" t="n">
        <v>45439.4</v>
      </c>
      <c r="C264" t="inlineStr">
        <is>
          <t>Antioquia</t>
        </is>
      </c>
      <c r="D264" t="inlineStr">
        <is>
          <t>Medellín</t>
        </is>
      </c>
      <c r="E264" t="inlineStr">
        <is>
          <t>Belleza</t>
        </is>
      </c>
      <c r="F264" t="inlineStr">
        <is>
          <t>Tienda física</t>
        </is>
      </c>
      <c r="G264" t="inlineStr">
        <is>
          <t>2. Carrito</t>
        </is>
      </c>
      <c r="H264" t="n">
        <v>5</v>
      </c>
      <c r="I264" s="73" t="n">
        <v>51000</v>
      </c>
      <c r="J264" s="73" t="n">
        <v>255000</v>
      </c>
      <c r="K264" s="73" t="n">
        <v>150645</v>
      </c>
    </row>
    <row r="265">
      <c r="A265" t="n">
        <v>11911</v>
      </c>
      <c r="B265" s="72" t="n">
        <v>45439.43333333333</v>
      </c>
      <c r="C265" t="inlineStr">
        <is>
          <t>Atlántico</t>
        </is>
      </c>
      <c r="D265" t="inlineStr">
        <is>
          <t>Barranquilla</t>
        </is>
      </c>
      <c r="E265" t="inlineStr">
        <is>
          <t>Belleza</t>
        </is>
      </c>
      <c r="F265" t="inlineStr">
        <is>
          <t>Marketplace</t>
        </is>
      </c>
      <c r="G265" t="inlineStr">
        <is>
          <t>1. Visita</t>
        </is>
      </c>
      <c r="H265" t="n">
        <v>3</v>
      </c>
      <c r="I265" s="73" t="n">
        <v>51800</v>
      </c>
      <c r="J265" s="73" t="n">
        <v>155400</v>
      </c>
      <c r="K265" s="73" t="n">
        <v>102442</v>
      </c>
    </row>
    <row r="266">
      <c r="A266" t="n">
        <v>10502</v>
      </c>
      <c r="B266" s="72" t="n">
        <v>45439.54027777778</v>
      </c>
      <c r="C266" t="inlineStr">
        <is>
          <t>Valle del Cauca</t>
        </is>
      </c>
      <c r="D266" t="inlineStr">
        <is>
          <t>Cali</t>
        </is>
      </c>
      <c r="E266" t="inlineStr">
        <is>
          <t>Hogar</t>
        </is>
      </c>
      <c r="F266" t="inlineStr">
        <is>
          <t>Web</t>
        </is>
      </c>
      <c r="G266" t="inlineStr">
        <is>
          <t>2. Carrito</t>
        </is>
      </c>
      <c r="H266" t="n">
        <v>5</v>
      </c>
      <c r="I266" s="73" t="n">
        <v>227900</v>
      </c>
      <c r="J266" s="73" t="n">
        <v>1139500</v>
      </c>
      <c r="K266" s="73" t="n">
        <v>805160</v>
      </c>
    </row>
    <row r="267">
      <c r="A267" t="n">
        <v>11799</v>
      </c>
      <c r="B267" s="72" t="n">
        <v>45439.74444444444</v>
      </c>
      <c r="C267" t="inlineStr">
        <is>
          <t>Antioquia</t>
        </is>
      </c>
      <c r="D267" t="inlineStr">
        <is>
          <t>Medellín</t>
        </is>
      </c>
      <c r="E267" t="inlineStr">
        <is>
          <t>Hogar</t>
        </is>
      </c>
      <c r="F267" t="inlineStr">
        <is>
          <t>Web</t>
        </is>
      </c>
      <c r="G267" t="inlineStr">
        <is>
          <t>2. Carrito</t>
        </is>
      </c>
      <c r="H267" t="n">
        <v>3</v>
      </c>
      <c r="I267" s="73" t="n">
        <v>255400</v>
      </c>
      <c r="J267" s="73" t="n">
        <v>766200</v>
      </c>
      <c r="K267" s="73" t="n">
        <v>464091</v>
      </c>
    </row>
    <row r="268">
      <c r="A268" t="n">
        <v>10413</v>
      </c>
      <c r="B268" s="72" t="n">
        <v>45439.79375</v>
      </c>
      <c r="C268" t="inlineStr">
        <is>
          <t>Bogotá D.C.</t>
        </is>
      </c>
      <c r="D268" t="inlineStr">
        <is>
          <t>Bogotá</t>
        </is>
      </c>
      <c r="E268" t="inlineStr">
        <is>
          <t>Moda</t>
        </is>
      </c>
      <c r="F268" t="inlineStr">
        <is>
          <t>App</t>
        </is>
      </c>
      <c r="G268" t="inlineStr">
        <is>
          <t>2. Carrito</t>
        </is>
      </c>
      <c r="H268" t="n">
        <v>3</v>
      </c>
      <c r="I268" s="73" t="n">
        <v>105700</v>
      </c>
      <c r="J268" s="73" t="n">
        <v>317100</v>
      </c>
      <c r="K268" s="73" t="n">
        <v>226973</v>
      </c>
    </row>
    <row r="269">
      <c r="A269" t="n">
        <v>10731</v>
      </c>
      <c r="B269" s="72" t="n">
        <v>45439.80625</v>
      </c>
      <c r="C269" t="inlineStr">
        <is>
          <t>Atlántico</t>
        </is>
      </c>
      <c r="D269" t="inlineStr">
        <is>
          <t>Barranquilla</t>
        </is>
      </c>
      <c r="E269" t="inlineStr">
        <is>
          <t>Juguetes</t>
        </is>
      </c>
      <c r="F269" t="inlineStr">
        <is>
          <t>Marketplace</t>
        </is>
      </c>
      <c r="G269" t="inlineStr">
        <is>
          <t>1. Visita</t>
        </is>
      </c>
      <c r="H269" t="n">
        <v>4</v>
      </c>
      <c r="I269" s="73" t="n">
        <v>95300</v>
      </c>
      <c r="J269" s="73" t="n">
        <v>381200</v>
      </c>
      <c r="K269" s="73" t="n">
        <v>276152</v>
      </c>
    </row>
    <row r="270">
      <c r="A270" t="n">
        <v>12363</v>
      </c>
      <c r="B270" s="72" t="n">
        <v>45440.50555555556</v>
      </c>
      <c r="C270" t="inlineStr">
        <is>
          <t>Risaralda</t>
        </is>
      </c>
      <c r="D270" t="inlineStr">
        <is>
          <t>Pereira</t>
        </is>
      </c>
      <c r="E270" t="inlineStr">
        <is>
          <t>Belleza</t>
        </is>
      </c>
      <c r="F270" t="inlineStr">
        <is>
          <t>Web</t>
        </is>
      </c>
      <c r="G270" t="inlineStr">
        <is>
          <t>1. Visita</t>
        </is>
      </c>
      <c r="H270" t="n">
        <v>3</v>
      </c>
      <c r="I270" s="73" t="n">
        <v>74700</v>
      </c>
      <c r="J270" s="73" t="n">
        <v>224100</v>
      </c>
      <c r="K270" s="73" t="n">
        <v>144317</v>
      </c>
    </row>
    <row r="271">
      <c r="A271" t="n">
        <v>11276</v>
      </c>
      <c r="B271" s="72" t="n">
        <v>45440.51041666666</v>
      </c>
      <c r="C271" t="inlineStr">
        <is>
          <t>Bogotá D.C.</t>
        </is>
      </c>
      <c r="D271" t="inlineStr">
        <is>
          <t>Bogotá</t>
        </is>
      </c>
      <c r="E271" t="inlineStr">
        <is>
          <t>Moda</t>
        </is>
      </c>
      <c r="F271" t="inlineStr">
        <is>
          <t>Tienda física</t>
        </is>
      </c>
      <c r="G271" t="inlineStr">
        <is>
          <t>2. Carrito</t>
        </is>
      </c>
      <c r="H271" t="n">
        <v>3</v>
      </c>
      <c r="I271" s="73" t="n">
        <v>114500</v>
      </c>
      <c r="J271" s="73" t="n">
        <v>343500</v>
      </c>
      <c r="K271" s="73" t="n">
        <v>209403</v>
      </c>
    </row>
    <row r="272">
      <c r="A272" t="n">
        <v>10425</v>
      </c>
      <c r="B272" s="72" t="n">
        <v>45440.56527777778</v>
      </c>
      <c r="C272" t="inlineStr">
        <is>
          <t>Antioquia</t>
        </is>
      </c>
      <c r="D272" t="inlineStr">
        <is>
          <t>Medellín</t>
        </is>
      </c>
      <c r="E272" t="inlineStr">
        <is>
          <t>Deportes</t>
        </is>
      </c>
      <c r="F272" t="inlineStr">
        <is>
          <t>Tienda física</t>
        </is>
      </c>
      <c r="G272" t="inlineStr">
        <is>
          <t>2. Carrito</t>
        </is>
      </c>
      <c r="H272" t="n">
        <v>4</v>
      </c>
      <c r="I272" s="73" t="n">
        <v>125600</v>
      </c>
      <c r="J272" s="73" t="n">
        <v>502400</v>
      </c>
      <c r="K272" s="73" t="n">
        <v>283488</v>
      </c>
    </row>
    <row r="273">
      <c r="A273" t="n">
        <v>11852</v>
      </c>
      <c r="B273" s="72" t="n">
        <v>45440.56944444445</v>
      </c>
      <c r="C273" t="inlineStr">
        <is>
          <t>Antioquia</t>
        </is>
      </c>
      <c r="D273" t="inlineStr">
        <is>
          <t>Medellín</t>
        </is>
      </c>
      <c r="E273" t="inlineStr">
        <is>
          <t>Tecnología</t>
        </is>
      </c>
      <c r="F273" t="inlineStr">
        <is>
          <t>Web</t>
        </is>
      </c>
      <c r="G273" t="inlineStr">
        <is>
          <t>2. Carrito</t>
        </is>
      </c>
      <c r="H273" t="n">
        <v>5</v>
      </c>
      <c r="I273" s="73" t="n">
        <v>979800</v>
      </c>
      <c r="J273" s="73" t="n">
        <v>4899000</v>
      </c>
      <c r="K273" s="73" t="n">
        <v>3263463</v>
      </c>
    </row>
    <row r="274">
      <c r="A274" t="n">
        <v>10012</v>
      </c>
      <c r="B274" s="72" t="n">
        <v>45440.58611111111</v>
      </c>
      <c r="C274" t="inlineStr">
        <is>
          <t>Bogotá D.C.</t>
        </is>
      </c>
      <c r="D274" t="inlineStr">
        <is>
          <t>Bogotá</t>
        </is>
      </c>
      <c r="E274" t="inlineStr">
        <is>
          <t>Hogar</t>
        </is>
      </c>
      <c r="F274" t="inlineStr">
        <is>
          <t>App</t>
        </is>
      </c>
      <c r="G274" t="inlineStr">
        <is>
          <t>2. Carrito</t>
        </is>
      </c>
      <c r="H274" t="n">
        <v>5</v>
      </c>
      <c r="I274" s="73" t="n">
        <v>240500</v>
      </c>
      <c r="J274" s="73" t="n">
        <v>1202500</v>
      </c>
      <c r="K274" s="73" t="n">
        <v>827868</v>
      </c>
    </row>
    <row r="275">
      <c r="A275" t="n">
        <v>11974</v>
      </c>
      <c r="B275" s="72" t="n">
        <v>45440.59166666667</v>
      </c>
      <c r="C275" t="inlineStr">
        <is>
          <t>Bogotá D.C.</t>
        </is>
      </c>
      <c r="D275" t="inlineStr">
        <is>
          <t>Bogotá</t>
        </is>
      </c>
      <c r="E275" t="inlineStr">
        <is>
          <t>Tecnología</t>
        </is>
      </c>
      <c r="F275" t="inlineStr">
        <is>
          <t>App</t>
        </is>
      </c>
      <c r="G275" t="inlineStr">
        <is>
          <t>1. Visita</t>
        </is>
      </c>
      <c r="H275" t="n">
        <v>2</v>
      </c>
      <c r="I275" s="73" t="n">
        <v>868100</v>
      </c>
      <c r="J275" s="73" t="n">
        <v>1736200</v>
      </c>
      <c r="K275" s="73" t="n">
        <v>1059701</v>
      </c>
    </row>
    <row r="276">
      <c r="A276" t="n">
        <v>11623</v>
      </c>
      <c r="B276" s="72" t="n">
        <v>45440.64513888889</v>
      </c>
      <c r="C276" t="inlineStr">
        <is>
          <t>Bogotá D.C.</t>
        </is>
      </c>
      <c r="D276" t="inlineStr">
        <is>
          <t>Bogotá</t>
        </is>
      </c>
      <c r="E276" t="inlineStr">
        <is>
          <t>Hogar</t>
        </is>
      </c>
      <c r="F276" t="inlineStr">
        <is>
          <t>Web</t>
        </is>
      </c>
      <c r="G276" t="inlineStr">
        <is>
          <t>4. Compra</t>
        </is>
      </c>
      <c r="H276" t="n">
        <v>1</v>
      </c>
      <c r="I276" s="73" t="n">
        <v>206500</v>
      </c>
      <c r="J276" s="73" t="n">
        <v>206500</v>
      </c>
      <c r="K276" s="73" t="n">
        <v>120370</v>
      </c>
    </row>
    <row r="277">
      <c r="A277" t="n">
        <v>10404</v>
      </c>
      <c r="B277" s="72" t="n">
        <v>45440.65555555555</v>
      </c>
      <c r="C277" t="inlineStr">
        <is>
          <t>Antioquia</t>
        </is>
      </c>
      <c r="D277" t="inlineStr">
        <is>
          <t>Medellín</t>
        </is>
      </c>
      <c r="E277" t="inlineStr">
        <is>
          <t>Juguetes</t>
        </is>
      </c>
      <c r="F277" t="inlineStr">
        <is>
          <t>App</t>
        </is>
      </c>
      <c r="G277" t="inlineStr">
        <is>
          <t>1. Visita</t>
        </is>
      </c>
      <c r="H277" t="n">
        <v>4</v>
      </c>
      <c r="I277" s="73" t="n">
        <v>112500</v>
      </c>
      <c r="J277" s="73" t="n">
        <v>450000</v>
      </c>
      <c r="K277" s="73" t="n">
        <v>275308</v>
      </c>
    </row>
    <row r="278">
      <c r="A278" t="n">
        <v>11260</v>
      </c>
      <c r="B278" s="72" t="n">
        <v>45440.83611111111</v>
      </c>
      <c r="C278" t="inlineStr">
        <is>
          <t>Bogotá D.C.</t>
        </is>
      </c>
      <c r="D278" t="inlineStr">
        <is>
          <t>Bogotá</t>
        </is>
      </c>
      <c r="E278" t="inlineStr">
        <is>
          <t>Deportes</t>
        </is>
      </c>
      <c r="F278" t="inlineStr">
        <is>
          <t>Tienda física</t>
        </is>
      </c>
      <c r="G278" t="inlineStr">
        <is>
          <t>3. Pago</t>
        </is>
      </c>
      <c r="H278" t="n">
        <v>2</v>
      </c>
      <c r="I278" s="73" t="n">
        <v>140500</v>
      </c>
      <c r="J278" s="73" t="n">
        <v>281000</v>
      </c>
      <c r="K278" s="73" t="n">
        <v>206183</v>
      </c>
    </row>
    <row r="279">
      <c r="A279" t="n">
        <v>10709</v>
      </c>
      <c r="B279" s="72" t="n">
        <v>45440.84930555556</v>
      </c>
      <c r="C279" t="inlineStr">
        <is>
          <t>Meta</t>
        </is>
      </c>
      <c r="D279" t="inlineStr">
        <is>
          <t>Villavicencio</t>
        </is>
      </c>
      <c r="E279" t="inlineStr">
        <is>
          <t>Deportes</t>
        </is>
      </c>
      <c r="F279" t="inlineStr">
        <is>
          <t>Web</t>
        </is>
      </c>
      <c r="G279" t="inlineStr">
        <is>
          <t>1. Visita</t>
        </is>
      </c>
      <c r="H279" t="n">
        <v>5</v>
      </c>
      <c r="I279" s="73" t="n">
        <v>129900</v>
      </c>
      <c r="J279" s="73" t="n">
        <v>649500</v>
      </c>
      <c r="K279" s="73" t="n">
        <v>433866</v>
      </c>
    </row>
    <row r="280">
      <c r="A280" t="n">
        <v>10136</v>
      </c>
      <c r="B280" s="72" t="n">
        <v>45441.12222222222</v>
      </c>
      <c r="C280" t="inlineStr">
        <is>
          <t>Bogotá D.C.</t>
        </is>
      </c>
      <c r="D280" t="inlineStr">
        <is>
          <t>Bogotá</t>
        </is>
      </c>
      <c r="E280" t="inlineStr">
        <is>
          <t>Juguetes</t>
        </is>
      </c>
      <c r="F280" t="inlineStr">
        <is>
          <t>Web</t>
        </is>
      </c>
      <c r="G280" t="inlineStr">
        <is>
          <t>2. Carrito</t>
        </is>
      </c>
      <c r="H280" t="n">
        <v>2</v>
      </c>
      <c r="I280" s="73" t="n">
        <v>63000</v>
      </c>
      <c r="J280" s="73" t="n">
        <v>126000</v>
      </c>
      <c r="K280" s="73" t="n">
        <v>84805</v>
      </c>
    </row>
    <row r="281">
      <c r="A281" t="n">
        <v>11181</v>
      </c>
      <c r="B281" s="72" t="n">
        <v>45441.72291666667</v>
      </c>
      <c r="C281" t="inlineStr">
        <is>
          <t>Bolívar</t>
        </is>
      </c>
      <c r="D281" t="inlineStr">
        <is>
          <t>Cartagena</t>
        </is>
      </c>
      <c r="E281" t="inlineStr">
        <is>
          <t>Deportes</t>
        </is>
      </c>
      <c r="F281" t="inlineStr">
        <is>
          <t>App</t>
        </is>
      </c>
      <c r="G281" t="inlineStr">
        <is>
          <t>1. Visita</t>
        </is>
      </c>
      <c r="H281" t="n">
        <v>1</v>
      </c>
      <c r="I281" s="73" t="n">
        <v>151900</v>
      </c>
      <c r="J281" s="73" t="n">
        <v>151900</v>
      </c>
      <c r="K281" s="73" t="n">
        <v>89934</v>
      </c>
    </row>
    <row r="282">
      <c r="A282" t="n">
        <v>11725</v>
      </c>
      <c r="B282" s="72" t="n">
        <v>45441.92430555556</v>
      </c>
      <c r="C282" t="inlineStr">
        <is>
          <t>Valle del Cauca</t>
        </is>
      </c>
      <c r="D282" t="inlineStr">
        <is>
          <t>Cali</t>
        </is>
      </c>
      <c r="E282" t="inlineStr">
        <is>
          <t>Moda</t>
        </is>
      </c>
      <c r="F282" t="inlineStr">
        <is>
          <t>App</t>
        </is>
      </c>
      <c r="G282" t="inlineStr">
        <is>
          <t>1. Visita</t>
        </is>
      </c>
      <c r="H282" t="n">
        <v>3</v>
      </c>
      <c r="I282" s="73" t="n">
        <v>155100</v>
      </c>
      <c r="J282" s="73" t="n">
        <v>465300</v>
      </c>
      <c r="K282" s="73" t="n">
        <v>333029</v>
      </c>
    </row>
    <row r="283">
      <c r="A283" t="n">
        <v>12368</v>
      </c>
      <c r="B283" s="72" t="n">
        <v>45441.94583333333</v>
      </c>
      <c r="C283" t="inlineStr">
        <is>
          <t>Meta</t>
        </is>
      </c>
      <c r="D283" t="inlineStr">
        <is>
          <t>Villavicencio</t>
        </is>
      </c>
      <c r="E283" t="inlineStr">
        <is>
          <t>Belleza</t>
        </is>
      </c>
      <c r="F283" t="inlineStr">
        <is>
          <t>Web</t>
        </is>
      </c>
      <c r="G283" t="inlineStr">
        <is>
          <t>3. Pago</t>
        </is>
      </c>
      <c r="H283" t="n">
        <v>1</v>
      </c>
      <c r="I283" s="73" t="n">
        <v>60600</v>
      </c>
      <c r="J283" s="73" t="n">
        <v>60600</v>
      </c>
      <c r="K283" s="73" t="n">
        <v>40830</v>
      </c>
    </row>
    <row r="284">
      <c r="A284" t="n">
        <v>11882</v>
      </c>
      <c r="B284" s="72" t="n">
        <v>45442.55694444444</v>
      </c>
      <c r="C284" t="inlineStr">
        <is>
          <t>Bogotá D.C.</t>
        </is>
      </c>
      <c r="D284" t="inlineStr">
        <is>
          <t>Bogotá</t>
        </is>
      </c>
      <c r="E284" t="inlineStr">
        <is>
          <t>Tecnología</t>
        </is>
      </c>
      <c r="F284" t="inlineStr">
        <is>
          <t>Tienda física</t>
        </is>
      </c>
      <c r="G284" t="inlineStr">
        <is>
          <t>4. Compra</t>
        </is>
      </c>
      <c r="H284" t="n">
        <v>4</v>
      </c>
      <c r="I284" s="73" t="n">
        <v>863300</v>
      </c>
      <c r="J284" s="73" t="n">
        <v>3453200</v>
      </c>
      <c r="K284" s="73" t="n">
        <v>1921620</v>
      </c>
    </row>
    <row r="285">
      <c r="A285" t="n">
        <v>11035</v>
      </c>
      <c r="B285" s="72" t="n">
        <v>45442.78402777778</v>
      </c>
      <c r="C285" t="inlineStr">
        <is>
          <t>Valle del Cauca</t>
        </is>
      </c>
      <c r="D285" t="inlineStr">
        <is>
          <t>Cali</t>
        </is>
      </c>
      <c r="E285" t="inlineStr">
        <is>
          <t>Juguetes</t>
        </is>
      </c>
      <c r="F285" t="inlineStr">
        <is>
          <t>Web</t>
        </is>
      </c>
      <c r="G285" t="inlineStr">
        <is>
          <t>3. Pago</t>
        </is>
      </c>
      <c r="H285" t="n">
        <v>1</v>
      </c>
      <c r="I285" s="73" t="n">
        <v>66300</v>
      </c>
      <c r="J285" s="73" t="n">
        <v>66300</v>
      </c>
      <c r="K285" s="73" t="n">
        <v>37191</v>
      </c>
    </row>
    <row r="286">
      <c r="A286" t="n">
        <v>11808</v>
      </c>
      <c r="B286" s="72" t="n">
        <v>45442.95</v>
      </c>
      <c r="C286" t="inlineStr">
        <is>
          <t>Bogotá D.C.</t>
        </is>
      </c>
      <c r="D286" t="inlineStr">
        <is>
          <t>Bogotá</t>
        </is>
      </c>
      <c r="E286" t="inlineStr">
        <is>
          <t>Deportes</t>
        </is>
      </c>
      <c r="F286" t="inlineStr">
        <is>
          <t>App</t>
        </is>
      </c>
      <c r="G286" t="inlineStr">
        <is>
          <t>1. Visita</t>
        </is>
      </c>
      <c r="H286" t="n">
        <v>1</v>
      </c>
      <c r="I286" s="73" t="n">
        <v>206500</v>
      </c>
      <c r="J286" s="73" t="n">
        <v>206500</v>
      </c>
      <c r="K286" s="73" t="n">
        <v>141815</v>
      </c>
    </row>
    <row r="287">
      <c r="A287" t="n">
        <v>10071</v>
      </c>
      <c r="B287" s="72" t="n">
        <v>45442.98888888889</v>
      </c>
      <c r="C287" t="inlineStr">
        <is>
          <t>Meta</t>
        </is>
      </c>
      <c r="D287" t="inlineStr">
        <is>
          <t>Villavicencio</t>
        </is>
      </c>
      <c r="E287" t="inlineStr">
        <is>
          <t>Belleza</t>
        </is>
      </c>
      <c r="F287" t="inlineStr">
        <is>
          <t>Marketplace</t>
        </is>
      </c>
      <c r="G287" t="inlineStr">
        <is>
          <t>2. Carrito</t>
        </is>
      </c>
      <c r="H287" t="n">
        <v>4</v>
      </c>
      <c r="I287" s="73" t="n">
        <v>87400</v>
      </c>
      <c r="J287" s="73" t="n">
        <v>349600</v>
      </c>
      <c r="K287" s="73" t="n">
        <v>202391</v>
      </c>
    </row>
    <row r="288">
      <c r="A288" t="n">
        <v>10756</v>
      </c>
      <c r="B288" s="72" t="n">
        <v>45443.76736111111</v>
      </c>
      <c r="C288" t="inlineStr">
        <is>
          <t>Antioquia</t>
        </is>
      </c>
      <c r="D288" t="inlineStr">
        <is>
          <t>Medellín</t>
        </is>
      </c>
      <c r="E288" t="inlineStr">
        <is>
          <t>Juguetes</t>
        </is>
      </c>
      <c r="F288" t="inlineStr">
        <is>
          <t>Web</t>
        </is>
      </c>
      <c r="G288" t="inlineStr">
        <is>
          <t>2. Carrito</t>
        </is>
      </c>
      <c r="H288" t="n">
        <v>3</v>
      </c>
      <c r="I288" s="73" t="n">
        <v>97000</v>
      </c>
      <c r="J288" s="73" t="n">
        <v>334650</v>
      </c>
      <c r="K288" s="73" t="n">
        <v>227596</v>
      </c>
    </row>
    <row r="289">
      <c r="A289" t="n">
        <v>10493</v>
      </c>
      <c r="B289" s="72" t="n">
        <v>45443.77291666667</v>
      </c>
      <c r="C289" t="inlineStr">
        <is>
          <t>Antioquia</t>
        </is>
      </c>
      <c r="D289" t="inlineStr">
        <is>
          <t>Medellín</t>
        </is>
      </c>
      <c r="E289" t="inlineStr">
        <is>
          <t>Deportes</t>
        </is>
      </c>
      <c r="F289" t="inlineStr">
        <is>
          <t>App</t>
        </is>
      </c>
      <c r="G289" t="inlineStr">
        <is>
          <t>1. Visita</t>
        </is>
      </c>
      <c r="H289" t="n">
        <v>2</v>
      </c>
      <c r="I289" s="73" t="n">
        <v>148100</v>
      </c>
      <c r="J289" s="73" t="n">
        <v>340630</v>
      </c>
      <c r="K289" s="73" t="n">
        <v>208835</v>
      </c>
    </row>
    <row r="290">
      <c r="A290" t="n">
        <v>11208</v>
      </c>
      <c r="B290" s="72" t="n">
        <v>45444.30833333333</v>
      </c>
      <c r="C290" t="inlineStr">
        <is>
          <t>Santander</t>
        </is>
      </c>
      <c r="D290" t="inlineStr">
        <is>
          <t>Bucaramanga</t>
        </is>
      </c>
      <c r="E290" t="inlineStr">
        <is>
          <t>Hogar</t>
        </is>
      </c>
      <c r="F290" t="inlineStr">
        <is>
          <t>Web</t>
        </is>
      </c>
      <c r="G290" t="inlineStr">
        <is>
          <t>2. Carrito</t>
        </is>
      </c>
      <c r="H290" t="n">
        <v>5</v>
      </c>
      <c r="I290" s="73" t="n">
        <v>265500</v>
      </c>
      <c r="J290" s="73" t="n">
        <v>1526625</v>
      </c>
      <c r="K290" s="73" t="n">
        <v>847725</v>
      </c>
    </row>
    <row r="291">
      <c r="A291" t="n">
        <v>10609</v>
      </c>
      <c r="B291" s="72" t="n">
        <v>45444.39097222222</v>
      </c>
      <c r="C291" t="inlineStr">
        <is>
          <t>Bogotá D.C.</t>
        </is>
      </c>
      <c r="D291" t="inlineStr">
        <is>
          <t>Bogotá</t>
        </is>
      </c>
      <c r="E291" t="inlineStr">
        <is>
          <t>Deportes</t>
        </is>
      </c>
      <c r="F291" t="inlineStr">
        <is>
          <t>Tienda física</t>
        </is>
      </c>
      <c r="G291" t="inlineStr">
        <is>
          <t>1. Visita</t>
        </is>
      </c>
      <c r="H291" t="n">
        <v>5</v>
      </c>
      <c r="I291" s="73" t="n">
        <v>183600</v>
      </c>
      <c r="J291" s="73" t="n">
        <v>1055700</v>
      </c>
      <c r="K291" s="73" t="n">
        <v>687614</v>
      </c>
    </row>
    <row r="292">
      <c r="A292" t="n">
        <v>10891</v>
      </c>
      <c r="B292" s="72" t="n">
        <v>45444.40625</v>
      </c>
      <c r="C292" t="inlineStr">
        <is>
          <t>Valle del Cauca</t>
        </is>
      </c>
      <c r="D292" t="inlineStr">
        <is>
          <t>Cali</t>
        </is>
      </c>
      <c r="E292" t="inlineStr">
        <is>
          <t>Juguetes</t>
        </is>
      </c>
      <c r="F292" t="inlineStr">
        <is>
          <t>App</t>
        </is>
      </c>
      <c r="G292" t="inlineStr">
        <is>
          <t>1. Visita</t>
        </is>
      </c>
      <c r="H292" t="n">
        <v>3</v>
      </c>
      <c r="I292" s="73" t="n">
        <v>85500</v>
      </c>
      <c r="J292" s="73" t="n">
        <v>294975</v>
      </c>
      <c r="K292" s="73" t="n">
        <v>178670</v>
      </c>
    </row>
    <row r="293">
      <c r="A293" t="n">
        <v>11665</v>
      </c>
      <c r="B293" s="72" t="n">
        <v>45444.50208333333</v>
      </c>
      <c r="C293" t="inlineStr">
        <is>
          <t>Antioquia</t>
        </is>
      </c>
      <c r="D293" t="inlineStr">
        <is>
          <t>Medellín</t>
        </is>
      </c>
      <c r="E293" t="inlineStr">
        <is>
          <t>Moda</t>
        </is>
      </c>
      <c r="F293" t="inlineStr">
        <is>
          <t>Tienda física</t>
        </is>
      </c>
      <c r="G293" t="inlineStr">
        <is>
          <t>1. Visita</t>
        </is>
      </c>
      <c r="H293" t="n">
        <v>3</v>
      </c>
      <c r="I293" s="73" t="n">
        <v>91800</v>
      </c>
      <c r="J293" s="73" t="n">
        <v>316710</v>
      </c>
      <c r="K293" s="73" t="n">
        <v>232594</v>
      </c>
    </row>
    <row r="294">
      <c r="A294" t="n">
        <v>11451</v>
      </c>
      <c r="B294" s="72" t="n">
        <v>45444.99027777778</v>
      </c>
      <c r="C294" t="inlineStr">
        <is>
          <t>Bogotá D.C.</t>
        </is>
      </c>
      <c r="D294" t="inlineStr">
        <is>
          <t>Bogotá</t>
        </is>
      </c>
      <c r="E294" t="inlineStr">
        <is>
          <t>Moda</t>
        </is>
      </c>
      <c r="F294" t="inlineStr">
        <is>
          <t>Tienda física</t>
        </is>
      </c>
      <c r="G294" t="inlineStr">
        <is>
          <t>1. Visita</t>
        </is>
      </c>
      <c r="H294" t="n">
        <v>2</v>
      </c>
      <c r="I294" s="73" t="n">
        <v>127400</v>
      </c>
      <c r="J294" s="73" t="n">
        <v>293020</v>
      </c>
      <c r="K294" s="73" t="n">
        <v>185763</v>
      </c>
    </row>
    <row r="295">
      <c r="A295" t="n">
        <v>11085</v>
      </c>
      <c r="B295" s="72" t="n">
        <v>45445.41458333333</v>
      </c>
      <c r="C295" t="inlineStr">
        <is>
          <t>Nariño</t>
        </is>
      </c>
      <c r="D295" t="inlineStr">
        <is>
          <t>Pasto</t>
        </is>
      </c>
      <c r="E295" t="inlineStr">
        <is>
          <t>Moda</t>
        </is>
      </c>
      <c r="F295" t="inlineStr">
        <is>
          <t>Web</t>
        </is>
      </c>
      <c r="G295" t="inlineStr">
        <is>
          <t>3. Pago</t>
        </is>
      </c>
      <c r="H295" t="n">
        <v>1</v>
      </c>
      <c r="I295" s="73" t="n">
        <v>116400</v>
      </c>
      <c r="J295" s="73" t="n">
        <v>133860</v>
      </c>
      <c r="K295" s="73" t="n">
        <v>99776</v>
      </c>
    </row>
    <row r="296">
      <c r="A296" t="n">
        <v>10628</v>
      </c>
      <c r="B296" s="72" t="n">
        <v>45445.52361111111</v>
      </c>
      <c r="C296" t="inlineStr">
        <is>
          <t>Bogotá D.C.</t>
        </is>
      </c>
      <c r="D296" t="inlineStr">
        <is>
          <t>Bogotá</t>
        </is>
      </c>
      <c r="E296" t="inlineStr">
        <is>
          <t>Juguetes</t>
        </is>
      </c>
      <c r="F296" t="inlineStr">
        <is>
          <t>Marketplace</t>
        </is>
      </c>
      <c r="G296" t="inlineStr">
        <is>
          <t>1. Visita</t>
        </is>
      </c>
      <c r="H296" t="n">
        <v>3</v>
      </c>
      <c r="I296" s="73" t="n">
        <v>100600</v>
      </c>
      <c r="J296" s="73" t="n">
        <v>347070</v>
      </c>
      <c r="K296" s="73" t="n">
        <v>205142</v>
      </c>
    </row>
    <row r="297">
      <c r="A297" t="n">
        <v>11778</v>
      </c>
      <c r="B297" s="72" t="n">
        <v>45445.73541666667</v>
      </c>
      <c r="C297" t="inlineStr">
        <is>
          <t>Nariño</t>
        </is>
      </c>
      <c r="D297" t="inlineStr">
        <is>
          <t>Pasto</t>
        </is>
      </c>
      <c r="E297" t="inlineStr">
        <is>
          <t>Belleza</t>
        </is>
      </c>
      <c r="F297" t="inlineStr">
        <is>
          <t>Web</t>
        </is>
      </c>
      <c r="G297" t="inlineStr">
        <is>
          <t>2. Carrito</t>
        </is>
      </c>
      <c r="H297" t="n">
        <v>4</v>
      </c>
      <c r="I297" s="73" t="n">
        <v>79900</v>
      </c>
      <c r="J297" s="73" t="n">
        <v>367540</v>
      </c>
      <c r="K297" s="73" t="n">
        <v>234207</v>
      </c>
    </row>
    <row r="298">
      <c r="A298" t="n">
        <v>10949</v>
      </c>
      <c r="B298" s="72" t="n">
        <v>45445.87847222222</v>
      </c>
      <c r="C298" t="inlineStr">
        <is>
          <t>Meta</t>
        </is>
      </c>
      <c r="D298" t="inlineStr">
        <is>
          <t>Villavicencio</t>
        </is>
      </c>
      <c r="E298" t="inlineStr">
        <is>
          <t>Deportes</t>
        </is>
      </c>
      <c r="F298" t="inlineStr">
        <is>
          <t>App</t>
        </is>
      </c>
      <c r="G298" t="inlineStr">
        <is>
          <t>1. Visita</t>
        </is>
      </c>
      <c r="H298" t="n">
        <v>3</v>
      </c>
      <c r="I298" s="73" t="n">
        <v>148400</v>
      </c>
      <c r="J298" s="73" t="n">
        <v>511980</v>
      </c>
      <c r="K298" s="73" t="n">
        <v>351629</v>
      </c>
    </row>
    <row r="299">
      <c r="A299" t="n">
        <v>12242</v>
      </c>
      <c r="B299" s="72" t="n">
        <v>45446.51944444444</v>
      </c>
      <c r="C299" t="inlineStr">
        <is>
          <t>Atlántico</t>
        </is>
      </c>
      <c r="D299" t="inlineStr">
        <is>
          <t>Barranquilla</t>
        </is>
      </c>
      <c r="E299" t="inlineStr">
        <is>
          <t>Moda</t>
        </is>
      </c>
      <c r="F299" t="inlineStr">
        <is>
          <t>Web</t>
        </is>
      </c>
      <c r="G299" t="inlineStr">
        <is>
          <t>3. Pago</t>
        </is>
      </c>
      <c r="H299" t="n">
        <v>3</v>
      </c>
      <c r="I299" s="73" t="n">
        <v>95500</v>
      </c>
      <c r="J299" s="73" t="n">
        <v>286500</v>
      </c>
      <c r="K299" s="73" t="n">
        <v>160389</v>
      </c>
    </row>
    <row r="300">
      <c r="A300" t="n">
        <v>11549</v>
      </c>
      <c r="B300" s="72" t="n">
        <v>45446.72152777778</v>
      </c>
      <c r="C300" t="inlineStr">
        <is>
          <t>Huila</t>
        </is>
      </c>
      <c r="D300" t="inlineStr">
        <is>
          <t>Neiva</t>
        </is>
      </c>
      <c r="E300" t="inlineStr">
        <is>
          <t>Belleza</t>
        </is>
      </c>
      <c r="F300" t="inlineStr">
        <is>
          <t>Web</t>
        </is>
      </c>
      <c r="G300" t="inlineStr">
        <is>
          <t>2. Carrito</t>
        </is>
      </c>
      <c r="H300" t="n">
        <v>4</v>
      </c>
      <c r="I300" s="73" t="n">
        <v>49600</v>
      </c>
      <c r="J300" s="73" t="n">
        <v>198400</v>
      </c>
      <c r="K300" s="73" t="n">
        <v>130237</v>
      </c>
    </row>
    <row r="301">
      <c r="A301" t="n">
        <v>11356</v>
      </c>
      <c r="B301" s="72" t="n">
        <v>45446.77708333333</v>
      </c>
      <c r="C301" t="inlineStr">
        <is>
          <t>Bogotá D.C.</t>
        </is>
      </c>
      <c r="D301" t="inlineStr">
        <is>
          <t>Bogotá</t>
        </is>
      </c>
      <c r="E301" t="inlineStr">
        <is>
          <t>Tecnología</t>
        </is>
      </c>
      <c r="F301" t="inlineStr">
        <is>
          <t>Tienda física</t>
        </is>
      </c>
      <c r="G301" t="inlineStr">
        <is>
          <t>1. Visita</t>
        </is>
      </c>
      <c r="H301" t="n">
        <v>5</v>
      </c>
      <c r="I301" s="73" t="n">
        <v>764400</v>
      </c>
      <c r="J301" s="73" t="n">
        <v>3822000</v>
      </c>
      <c r="K301" s="73" t="n">
        <v>2646879</v>
      </c>
    </row>
    <row r="302">
      <c r="A302" t="n">
        <v>11311</v>
      </c>
      <c r="B302" s="72" t="n">
        <v>45446.80763888889</v>
      </c>
      <c r="C302" t="inlineStr">
        <is>
          <t>Meta</t>
        </is>
      </c>
      <c r="D302" t="inlineStr">
        <is>
          <t>Villavicencio</t>
        </is>
      </c>
      <c r="E302" t="inlineStr">
        <is>
          <t>Moda</t>
        </is>
      </c>
      <c r="F302" t="inlineStr">
        <is>
          <t>App</t>
        </is>
      </c>
      <c r="G302" t="inlineStr">
        <is>
          <t>1. Visita</t>
        </is>
      </c>
      <c r="H302" t="n">
        <v>5</v>
      </c>
      <c r="I302" s="73" t="n">
        <v>143200</v>
      </c>
      <c r="J302" s="73" t="n">
        <v>716000</v>
      </c>
      <c r="K302" s="73" t="n">
        <v>491807</v>
      </c>
    </row>
    <row r="303">
      <c r="A303" t="n">
        <v>10649</v>
      </c>
      <c r="B303" s="72" t="n">
        <v>45447.46041666667</v>
      </c>
      <c r="C303" t="inlineStr">
        <is>
          <t>Bogotá D.C.</t>
        </is>
      </c>
      <c r="D303" t="inlineStr">
        <is>
          <t>Bogotá</t>
        </is>
      </c>
      <c r="E303" t="inlineStr">
        <is>
          <t>Moda</t>
        </is>
      </c>
      <c r="F303" t="inlineStr">
        <is>
          <t>Web</t>
        </is>
      </c>
      <c r="G303" t="inlineStr">
        <is>
          <t>4. Compra</t>
        </is>
      </c>
      <c r="H303" t="n">
        <v>4</v>
      </c>
      <c r="I303" s="73" t="n">
        <v>86600</v>
      </c>
      <c r="J303" s="73" t="n">
        <v>346400</v>
      </c>
      <c r="K303" s="73" t="n">
        <v>227204</v>
      </c>
    </row>
    <row r="304">
      <c r="A304" t="n">
        <v>12160</v>
      </c>
      <c r="B304" s="72" t="n">
        <v>45447.60416666666</v>
      </c>
      <c r="C304" t="inlineStr">
        <is>
          <t>Antioquia</t>
        </is>
      </c>
      <c r="D304" t="inlineStr">
        <is>
          <t>Medellín</t>
        </is>
      </c>
      <c r="E304" t="inlineStr">
        <is>
          <t>Deportes</t>
        </is>
      </c>
      <c r="F304" t="inlineStr">
        <is>
          <t>Web</t>
        </is>
      </c>
      <c r="G304" t="inlineStr">
        <is>
          <t>1. Visita</t>
        </is>
      </c>
      <c r="H304" t="n">
        <v>3</v>
      </c>
      <c r="I304" s="73" t="n">
        <v>187600</v>
      </c>
      <c r="J304" s="73" t="n">
        <v>562800</v>
      </c>
      <c r="K304" s="73" t="n">
        <v>310173</v>
      </c>
    </row>
    <row r="305">
      <c r="A305" t="n">
        <v>11071</v>
      </c>
      <c r="B305" s="72" t="n">
        <v>45447.61944444444</v>
      </c>
      <c r="C305" t="inlineStr">
        <is>
          <t>Risaralda</t>
        </is>
      </c>
      <c r="D305" t="inlineStr">
        <is>
          <t>Pereira</t>
        </is>
      </c>
      <c r="E305" t="inlineStr">
        <is>
          <t>Moda</t>
        </is>
      </c>
      <c r="F305" t="inlineStr">
        <is>
          <t>App</t>
        </is>
      </c>
      <c r="G305" t="inlineStr">
        <is>
          <t>2. Carrito</t>
        </is>
      </c>
      <c r="H305" t="n">
        <v>5</v>
      </c>
      <c r="I305" s="73" t="n">
        <v>135400</v>
      </c>
      <c r="J305" s="73" t="n">
        <v>677000</v>
      </c>
      <c r="K305" s="73" t="n">
        <v>446641</v>
      </c>
    </row>
    <row r="306">
      <c r="A306" t="n">
        <v>10930</v>
      </c>
      <c r="B306" s="72" t="n">
        <v>45447.63263888889</v>
      </c>
      <c r="C306" t="inlineStr">
        <is>
          <t>Meta</t>
        </is>
      </c>
      <c r="D306" t="inlineStr">
        <is>
          <t>Villavicencio</t>
        </is>
      </c>
      <c r="E306" t="inlineStr">
        <is>
          <t>Moda</t>
        </is>
      </c>
      <c r="F306" t="inlineStr">
        <is>
          <t>App</t>
        </is>
      </c>
      <c r="G306" t="inlineStr">
        <is>
          <t>3. Pago</t>
        </is>
      </c>
      <c r="H306" t="n">
        <v>4</v>
      </c>
      <c r="I306" s="73" t="n">
        <v>133600</v>
      </c>
      <c r="J306" s="73" t="n">
        <v>534400</v>
      </c>
      <c r="K306" s="73" t="n">
        <v>365300</v>
      </c>
    </row>
    <row r="307">
      <c r="A307" t="n">
        <v>10117</v>
      </c>
      <c r="B307" s="72" t="n">
        <v>45447.75902777778</v>
      </c>
      <c r="C307" t="inlineStr">
        <is>
          <t>Risaralda</t>
        </is>
      </c>
      <c r="D307" t="inlineStr">
        <is>
          <t>Pereira</t>
        </is>
      </c>
      <c r="E307" t="inlineStr">
        <is>
          <t>Hogar</t>
        </is>
      </c>
      <c r="F307" t="inlineStr">
        <is>
          <t>App</t>
        </is>
      </c>
      <c r="G307" t="inlineStr">
        <is>
          <t>1. Visita</t>
        </is>
      </c>
      <c r="H307" t="n">
        <v>5</v>
      </c>
      <c r="I307" s="73" t="n">
        <v>150900</v>
      </c>
      <c r="J307" s="73" t="n">
        <v>754500</v>
      </c>
      <c r="K307" s="73" t="n">
        <v>501417</v>
      </c>
    </row>
    <row r="308">
      <c r="A308" t="n">
        <v>12300</v>
      </c>
      <c r="B308" s="72" t="n">
        <v>45447.79027777778</v>
      </c>
      <c r="C308" t="inlineStr">
        <is>
          <t>Meta</t>
        </is>
      </c>
      <c r="D308" t="inlineStr">
        <is>
          <t>Villavicencio</t>
        </is>
      </c>
      <c r="E308" t="inlineStr">
        <is>
          <t>Juguetes</t>
        </is>
      </c>
      <c r="F308" t="inlineStr">
        <is>
          <t>Tienda física</t>
        </is>
      </c>
      <c r="G308" t="inlineStr">
        <is>
          <t>1. Visita</t>
        </is>
      </c>
      <c r="H308" t="n">
        <v>4</v>
      </c>
      <c r="I308" s="73" t="n">
        <v>103200</v>
      </c>
      <c r="J308" s="73" t="n">
        <v>412800</v>
      </c>
      <c r="K308" s="73" t="n">
        <v>235735</v>
      </c>
    </row>
    <row r="309">
      <c r="A309" t="n">
        <v>10925</v>
      </c>
      <c r="B309" s="72" t="n">
        <v>45448.00902777778</v>
      </c>
      <c r="C309" t="inlineStr">
        <is>
          <t>Valle del Cauca</t>
        </is>
      </c>
      <c r="D309" t="inlineStr">
        <is>
          <t>Cali</t>
        </is>
      </c>
      <c r="E309" t="inlineStr">
        <is>
          <t>Deportes</t>
        </is>
      </c>
      <c r="F309" t="inlineStr">
        <is>
          <t>App</t>
        </is>
      </c>
      <c r="G309" t="inlineStr">
        <is>
          <t>4. Compra</t>
        </is>
      </c>
      <c r="H309" t="n">
        <v>5</v>
      </c>
      <c r="I309" s="73" t="n">
        <v>134500</v>
      </c>
      <c r="J309" s="73" t="n">
        <v>672500</v>
      </c>
      <c r="K309" s="73" t="n">
        <v>458479</v>
      </c>
    </row>
    <row r="310">
      <c r="A310" t="n">
        <v>11941</v>
      </c>
      <c r="B310" s="72" t="n">
        <v>45448.19791666666</v>
      </c>
      <c r="C310" t="inlineStr">
        <is>
          <t>Antioquia</t>
        </is>
      </c>
      <c r="D310" t="inlineStr">
        <is>
          <t>Medellín</t>
        </is>
      </c>
      <c r="E310" t="inlineStr">
        <is>
          <t>Tecnología</t>
        </is>
      </c>
      <c r="F310" t="inlineStr">
        <is>
          <t>App</t>
        </is>
      </c>
      <c r="G310" t="inlineStr">
        <is>
          <t>2. Carrito</t>
        </is>
      </c>
      <c r="H310" t="n">
        <v>5</v>
      </c>
      <c r="I310" s="73" t="n">
        <v>685200</v>
      </c>
      <c r="J310" s="73" t="n">
        <v>3426000</v>
      </c>
      <c r="K310" s="73" t="n">
        <v>2493227</v>
      </c>
    </row>
    <row r="311">
      <c r="A311" t="n">
        <v>11845</v>
      </c>
      <c r="B311" s="72" t="n">
        <v>45448.38125</v>
      </c>
      <c r="C311" t="inlineStr">
        <is>
          <t>Antioquia</t>
        </is>
      </c>
      <c r="D311" t="inlineStr">
        <is>
          <t>Medellín</t>
        </is>
      </c>
      <c r="E311" t="inlineStr">
        <is>
          <t>Moda</t>
        </is>
      </c>
      <c r="F311" t="inlineStr">
        <is>
          <t>Tienda física</t>
        </is>
      </c>
      <c r="G311" t="inlineStr">
        <is>
          <t>1. Visita</t>
        </is>
      </c>
      <c r="H311" t="n">
        <v>5</v>
      </c>
      <c r="I311" s="73" t="n">
        <v>139900</v>
      </c>
      <c r="J311" s="73" t="n">
        <v>699500</v>
      </c>
      <c r="K311" s="73" t="n">
        <v>476828</v>
      </c>
    </row>
    <row r="312">
      <c r="A312" t="n">
        <v>10682</v>
      </c>
      <c r="B312" s="72" t="n">
        <v>45448.39027777778</v>
      </c>
      <c r="C312" t="inlineStr">
        <is>
          <t>Bogotá D.C.</t>
        </is>
      </c>
      <c r="D312" t="inlineStr">
        <is>
          <t>Bogotá</t>
        </is>
      </c>
      <c r="E312" t="inlineStr">
        <is>
          <t>Juguetes</t>
        </is>
      </c>
      <c r="F312" t="inlineStr">
        <is>
          <t>App</t>
        </is>
      </c>
      <c r="G312" t="inlineStr">
        <is>
          <t>1. Visita</t>
        </is>
      </c>
      <c r="H312" t="n">
        <v>5</v>
      </c>
      <c r="I312" s="73" t="n">
        <v>99500</v>
      </c>
      <c r="J312" s="73" t="n">
        <v>497500</v>
      </c>
      <c r="K312" s="73" t="n">
        <v>280788</v>
      </c>
    </row>
    <row r="313">
      <c r="A313" t="n">
        <v>11168</v>
      </c>
      <c r="B313" s="72" t="n">
        <v>45448.39305555556</v>
      </c>
      <c r="C313" t="inlineStr">
        <is>
          <t>Santander</t>
        </is>
      </c>
      <c r="D313" t="inlineStr">
        <is>
          <t>Bucaramanga</t>
        </is>
      </c>
      <c r="E313" t="inlineStr">
        <is>
          <t>Tecnología</t>
        </is>
      </c>
      <c r="F313" t="inlineStr">
        <is>
          <t>Web</t>
        </is>
      </c>
      <c r="G313" t="inlineStr">
        <is>
          <t>3. Pago</t>
        </is>
      </c>
      <c r="H313" t="n">
        <v>4</v>
      </c>
      <c r="I313" s="73" t="n">
        <v>963700</v>
      </c>
      <c r="J313" s="73" t="n">
        <v>3854800</v>
      </c>
      <c r="K313" s="73" t="n">
        <v>2169658</v>
      </c>
    </row>
    <row r="314">
      <c r="A314" t="n">
        <v>10643</v>
      </c>
      <c r="B314" s="72" t="n">
        <v>45448.79652777778</v>
      </c>
      <c r="C314" t="inlineStr">
        <is>
          <t>Atlántico</t>
        </is>
      </c>
      <c r="D314" t="inlineStr">
        <is>
          <t>Barranquilla</t>
        </is>
      </c>
      <c r="E314" t="inlineStr">
        <is>
          <t>Juguetes</t>
        </is>
      </c>
      <c r="F314" t="inlineStr">
        <is>
          <t>Web</t>
        </is>
      </c>
      <c r="G314" t="inlineStr">
        <is>
          <t>1. Visita</t>
        </is>
      </c>
      <c r="H314" t="n">
        <v>4</v>
      </c>
      <c r="I314" s="73" t="n">
        <v>83700</v>
      </c>
      <c r="J314" s="73" t="n">
        <v>334800</v>
      </c>
      <c r="K314" s="73" t="n">
        <v>224492</v>
      </c>
    </row>
    <row r="315">
      <c r="A315" t="n">
        <v>10915</v>
      </c>
      <c r="B315" s="72" t="n">
        <v>45448.87152777778</v>
      </c>
      <c r="C315" t="inlineStr">
        <is>
          <t>Huila</t>
        </is>
      </c>
      <c r="D315" t="inlineStr">
        <is>
          <t>Neiva</t>
        </is>
      </c>
      <c r="E315" t="inlineStr">
        <is>
          <t>Belleza</t>
        </is>
      </c>
      <c r="F315" t="inlineStr">
        <is>
          <t>App</t>
        </is>
      </c>
      <c r="G315" t="inlineStr">
        <is>
          <t>1. Visita</t>
        </is>
      </c>
      <c r="H315" t="n">
        <v>3</v>
      </c>
      <c r="I315" s="73" t="n">
        <v>59100</v>
      </c>
      <c r="J315" s="73" t="n">
        <v>177300</v>
      </c>
      <c r="K315" s="73" t="n">
        <v>120577</v>
      </c>
    </row>
    <row r="316">
      <c r="A316" t="n">
        <v>12165</v>
      </c>
      <c r="B316" s="72" t="n">
        <v>45449.49305555555</v>
      </c>
      <c r="C316" t="inlineStr">
        <is>
          <t>Bogotá D.C.</t>
        </is>
      </c>
      <c r="D316" t="inlineStr">
        <is>
          <t>Bogotá</t>
        </is>
      </c>
      <c r="E316" t="inlineStr">
        <is>
          <t>Tecnología</t>
        </is>
      </c>
      <c r="F316" t="inlineStr">
        <is>
          <t>Tienda física</t>
        </is>
      </c>
      <c r="G316" t="inlineStr">
        <is>
          <t>1. Visita</t>
        </is>
      </c>
      <c r="H316" t="n">
        <v>1</v>
      </c>
      <c r="I316" s="73" t="n">
        <v>832300</v>
      </c>
      <c r="J316" s="73" t="n">
        <v>832300</v>
      </c>
      <c r="K316" s="73" t="n">
        <v>528098</v>
      </c>
    </row>
    <row r="317">
      <c r="A317" t="n">
        <v>10832</v>
      </c>
      <c r="B317" s="72" t="n">
        <v>45449.5125</v>
      </c>
      <c r="C317" t="inlineStr">
        <is>
          <t>Bogotá D.C.</t>
        </is>
      </c>
      <c r="D317" t="inlineStr">
        <is>
          <t>Bogotá</t>
        </is>
      </c>
      <c r="E317" t="inlineStr">
        <is>
          <t>Juguetes</t>
        </is>
      </c>
      <c r="F317" t="inlineStr">
        <is>
          <t>Web</t>
        </is>
      </c>
      <c r="G317" t="inlineStr">
        <is>
          <t>3. Pago</t>
        </is>
      </c>
      <c r="H317" t="n">
        <v>5</v>
      </c>
      <c r="I317" s="73" t="n">
        <v>109800</v>
      </c>
      <c r="J317" s="73" t="n">
        <v>549000</v>
      </c>
      <c r="K317" s="73" t="n">
        <v>394957</v>
      </c>
    </row>
    <row r="318">
      <c r="A318" t="n">
        <v>11886</v>
      </c>
      <c r="B318" s="72" t="n">
        <v>45449.84236111111</v>
      </c>
      <c r="C318" t="inlineStr">
        <is>
          <t>Antioquia</t>
        </is>
      </c>
      <c r="D318" t="inlineStr">
        <is>
          <t>Medellín</t>
        </is>
      </c>
      <c r="E318" t="inlineStr">
        <is>
          <t>Deportes</t>
        </is>
      </c>
      <c r="F318" t="inlineStr">
        <is>
          <t>App</t>
        </is>
      </c>
      <c r="G318" t="inlineStr">
        <is>
          <t>1. Visita</t>
        </is>
      </c>
      <c r="H318" t="n">
        <v>5</v>
      </c>
      <c r="I318" s="73" t="n">
        <v>184000</v>
      </c>
      <c r="J318" s="73" t="n">
        <v>920000</v>
      </c>
      <c r="K318" s="73" t="n">
        <v>663282</v>
      </c>
    </row>
    <row r="319">
      <c r="A319" t="n">
        <v>11390</v>
      </c>
      <c r="B319" s="72" t="n">
        <v>45450.38541666666</v>
      </c>
      <c r="C319" t="inlineStr">
        <is>
          <t>Santander</t>
        </is>
      </c>
      <c r="D319" t="inlineStr">
        <is>
          <t>Bucaramanga</t>
        </is>
      </c>
      <c r="E319" t="inlineStr">
        <is>
          <t>Belleza</t>
        </is>
      </c>
      <c r="F319" t="inlineStr">
        <is>
          <t>App</t>
        </is>
      </c>
      <c r="G319" t="inlineStr">
        <is>
          <t>1. Visita</t>
        </is>
      </c>
      <c r="H319" t="n">
        <v>4</v>
      </c>
      <c r="I319" s="73" t="n">
        <v>69200</v>
      </c>
      <c r="J319" s="73" t="n">
        <v>318320</v>
      </c>
      <c r="K319" s="73" t="n">
        <v>195883</v>
      </c>
    </row>
    <row r="320">
      <c r="A320" t="n">
        <v>12118</v>
      </c>
      <c r="B320" s="72" t="n">
        <v>45450.84861111111</v>
      </c>
      <c r="C320" t="inlineStr">
        <is>
          <t>Bogotá D.C.</t>
        </is>
      </c>
      <c r="D320" t="inlineStr">
        <is>
          <t>Bogotá</t>
        </is>
      </c>
      <c r="E320" t="inlineStr">
        <is>
          <t>Moda</t>
        </is>
      </c>
      <c r="F320" t="inlineStr">
        <is>
          <t>Marketplace</t>
        </is>
      </c>
      <c r="G320" t="inlineStr">
        <is>
          <t>1. Visita</t>
        </is>
      </c>
      <c r="H320" t="n">
        <v>5</v>
      </c>
      <c r="I320" s="73" t="n">
        <v>146000</v>
      </c>
      <c r="J320" s="73" t="n">
        <v>839500</v>
      </c>
      <c r="K320" s="73" t="n">
        <v>565716</v>
      </c>
    </row>
    <row r="321">
      <c r="A321" t="n">
        <v>10605</v>
      </c>
      <c r="B321" s="72" t="n">
        <v>45451.47916666666</v>
      </c>
      <c r="C321" t="inlineStr">
        <is>
          <t>Bogotá D.C.</t>
        </is>
      </c>
      <c r="D321" t="inlineStr">
        <is>
          <t>Bogotá</t>
        </is>
      </c>
      <c r="E321" t="inlineStr">
        <is>
          <t>Moda</t>
        </is>
      </c>
      <c r="F321" t="inlineStr">
        <is>
          <t>Web</t>
        </is>
      </c>
      <c r="G321" t="inlineStr">
        <is>
          <t>2. Carrito</t>
        </is>
      </c>
      <c r="H321" t="n">
        <v>3</v>
      </c>
      <c r="I321" s="73" t="n">
        <v>120000</v>
      </c>
      <c r="J321" s="73" t="n">
        <v>414000</v>
      </c>
      <c r="K321" s="73" t="n">
        <v>308301</v>
      </c>
    </row>
    <row r="322">
      <c r="A322" t="n">
        <v>11304</v>
      </c>
      <c r="B322" s="72" t="n">
        <v>45451.83541666667</v>
      </c>
      <c r="C322" t="inlineStr">
        <is>
          <t>Bogotá D.C.</t>
        </is>
      </c>
      <c r="D322" t="inlineStr">
        <is>
          <t>Bogotá</t>
        </is>
      </c>
      <c r="E322" t="inlineStr">
        <is>
          <t>Deportes</t>
        </is>
      </c>
      <c r="F322" t="inlineStr">
        <is>
          <t>Web</t>
        </is>
      </c>
      <c r="G322" t="inlineStr">
        <is>
          <t>2. Carrito</t>
        </is>
      </c>
      <c r="H322" t="n">
        <v>5</v>
      </c>
      <c r="I322" s="73" t="n">
        <v>180600</v>
      </c>
      <c r="J322" s="73" t="n">
        <v>1038450</v>
      </c>
      <c r="K322" s="73" t="n">
        <v>702357</v>
      </c>
    </row>
    <row r="323">
      <c r="A323" t="n">
        <v>10631</v>
      </c>
      <c r="B323" s="72" t="n">
        <v>45452.55</v>
      </c>
      <c r="C323" t="inlineStr">
        <is>
          <t>Valle del Cauca</t>
        </is>
      </c>
      <c r="D323" t="inlineStr">
        <is>
          <t>Cali</t>
        </is>
      </c>
      <c r="E323" t="inlineStr">
        <is>
          <t>Belleza</t>
        </is>
      </c>
      <c r="F323" t="inlineStr">
        <is>
          <t>Tienda física</t>
        </is>
      </c>
      <c r="G323" t="inlineStr">
        <is>
          <t>1. Visita</t>
        </is>
      </c>
      <c r="H323" t="n">
        <v>2</v>
      </c>
      <c r="I323" s="73" t="n">
        <v>58100</v>
      </c>
      <c r="J323" s="73" t="n">
        <v>133630</v>
      </c>
      <c r="K323" s="73" t="n">
        <v>82952</v>
      </c>
    </row>
    <row r="324">
      <c r="A324" t="n">
        <v>10555</v>
      </c>
      <c r="B324" s="72" t="n">
        <v>45452.55902777778</v>
      </c>
      <c r="C324" t="inlineStr">
        <is>
          <t>Atlántico</t>
        </is>
      </c>
      <c r="D324" t="inlineStr">
        <is>
          <t>Barranquilla</t>
        </is>
      </c>
      <c r="E324" t="inlineStr">
        <is>
          <t>Tecnología</t>
        </is>
      </c>
      <c r="F324" t="inlineStr">
        <is>
          <t>Web</t>
        </is>
      </c>
      <c r="G324" t="inlineStr">
        <is>
          <t>1. Visita</t>
        </is>
      </c>
      <c r="H324" t="n">
        <v>1</v>
      </c>
      <c r="I324" s="73" t="n">
        <v>880400</v>
      </c>
      <c r="J324" s="73" t="n">
        <v>1012460</v>
      </c>
      <c r="K324" s="73" t="n">
        <v>709585</v>
      </c>
    </row>
    <row r="325">
      <c r="A325" t="n">
        <v>11067</v>
      </c>
      <c r="B325" s="72" t="n">
        <v>45452.72222222222</v>
      </c>
      <c r="C325" t="inlineStr">
        <is>
          <t>Bogotá D.C.</t>
        </is>
      </c>
      <c r="D325" t="inlineStr">
        <is>
          <t>Bogotá</t>
        </is>
      </c>
      <c r="E325" t="inlineStr">
        <is>
          <t>Moda</t>
        </is>
      </c>
      <c r="F325" t="inlineStr">
        <is>
          <t>Web</t>
        </is>
      </c>
      <c r="G325" t="inlineStr">
        <is>
          <t>3. Pago</t>
        </is>
      </c>
      <c r="H325" t="n">
        <v>4</v>
      </c>
      <c r="I325" s="73" t="n">
        <v>136500</v>
      </c>
      <c r="J325" s="73" t="n">
        <v>627900</v>
      </c>
      <c r="K325" s="73" t="n">
        <v>464937</v>
      </c>
    </row>
    <row r="326">
      <c r="A326" t="n">
        <v>10744</v>
      </c>
      <c r="B326" s="72" t="n">
        <v>45452.85694444444</v>
      </c>
      <c r="C326" t="inlineStr">
        <is>
          <t>Bogotá D.C.</t>
        </is>
      </c>
      <c r="D326" t="inlineStr">
        <is>
          <t>Bogotá</t>
        </is>
      </c>
      <c r="E326" t="inlineStr">
        <is>
          <t>Tecnología</t>
        </is>
      </c>
      <c r="F326" t="inlineStr">
        <is>
          <t>App</t>
        </is>
      </c>
      <c r="G326" t="inlineStr">
        <is>
          <t>1. Visita</t>
        </is>
      </c>
      <c r="H326" t="n">
        <v>5</v>
      </c>
      <c r="I326" s="73" t="n">
        <v>1026300</v>
      </c>
      <c r="J326" s="73" t="n">
        <v>5901225</v>
      </c>
      <c r="K326" s="73" t="n">
        <v>3492907</v>
      </c>
    </row>
    <row r="327">
      <c r="A327" t="n">
        <v>11075</v>
      </c>
      <c r="B327" s="72" t="n">
        <v>45453.38819444444</v>
      </c>
      <c r="C327" t="inlineStr">
        <is>
          <t>Risaralda</t>
        </is>
      </c>
      <c r="D327" t="inlineStr">
        <is>
          <t>Pereira</t>
        </is>
      </c>
      <c r="E327" t="inlineStr">
        <is>
          <t>Deportes</t>
        </is>
      </c>
      <c r="F327" t="inlineStr">
        <is>
          <t>Marketplace</t>
        </is>
      </c>
      <c r="G327" t="inlineStr">
        <is>
          <t>2. Carrito</t>
        </is>
      </c>
      <c r="H327" t="n">
        <v>5</v>
      </c>
      <c r="I327" s="73" t="n">
        <v>172800</v>
      </c>
      <c r="J327" s="73" t="n">
        <v>864000</v>
      </c>
      <c r="K327" s="73" t="n">
        <v>512013</v>
      </c>
    </row>
    <row r="328">
      <c r="A328" t="n">
        <v>10340</v>
      </c>
      <c r="B328" s="72" t="n">
        <v>45453.43680555555</v>
      </c>
      <c r="C328" t="inlineStr">
        <is>
          <t>Bogotá D.C.</t>
        </is>
      </c>
      <c r="D328" t="inlineStr">
        <is>
          <t>Bogotá</t>
        </is>
      </c>
      <c r="E328" t="inlineStr">
        <is>
          <t>Deportes</t>
        </is>
      </c>
      <c r="F328" t="inlineStr">
        <is>
          <t>Marketplace</t>
        </is>
      </c>
      <c r="G328" t="inlineStr">
        <is>
          <t>1. Visita</t>
        </is>
      </c>
      <c r="H328" t="n">
        <v>2</v>
      </c>
      <c r="I328" s="73" t="n">
        <v>141900</v>
      </c>
      <c r="J328" s="73" t="n">
        <v>283800</v>
      </c>
      <c r="K328" s="73" t="n">
        <v>162454</v>
      </c>
    </row>
    <row r="329">
      <c r="A329" t="n">
        <v>11739</v>
      </c>
      <c r="B329" s="72" t="n">
        <v>45453.44305555556</v>
      </c>
      <c r="C329" t="inlineStr">
        <is>
          <t>Risaralda</t>
        </is>
      </c>
      <c r="D329" t="inlineStr">
        <is>
          <t>Pereira</t>
        </is>
      </c>
      <c r="E329" t="inlineStr">
        <is>
          <t>Deportes</t>
        </is>
      </c>
      <c r="F329" t="inlineStr">
        <is>
          <t>Tienda física</t>
        </is>
      </c>
      <c r="G329" t="inlineStr">
        <is>
          <t>1. Visita</t>
        </is>
      </c>
      <c r="H329" t="n">
        <v>2</v>
      </c>
      <c r="I329" s="73" t="n">
        <v>201800</v>
      </c>
      <c r="J329" s="73" t="n">
        <v>403600</v>
      </c>
      <c r="K329" s="73" t="n">
        <v>295960</v>
      </c>
    </row>
    <row r="330">
      <c r="A330" t="n">
        <v>11720</v>
      </c>
      <c r="B330" s="72" t="n">
        <v>45453.60138888889</v>
      </c>
      <c r="C330" t="inlineStr">
        <is>
          <t>Atlántico</t>
        </is>
      </c>
      <c r="D330" t="inlineStr">
        <is>
          <t>Barranquilla</t>
        </is>
      </c>
      <c r="E330" t="inlineStr">
        <is>
          <t>Deportes</t>
        </is>
      </c>
      <c r="F330" t="inlineStr">
        <is>
          <t>App</t>
        </is>
      </c>
      <c r="G330" t="inlineStr">
        <is>
          <t>1. Visita</t>
        </is>
      </c>
      <c r="H330" t="n">
        <v>2</v>
      </c>
      <c r="I330" s="73" t="n">
        <v>125000</v>
      </c>
      <c r="J330" s="73" t="n">
        <v>250000</v>
      </c>
      <c r="K330" s="73" t="n">
        <v>177549</v>
      </c>
    </row>
    <row r="331">
      <c r="A331" t="n">
        <v>11459</v>
      </c>
      <c r="B331" s="72" t="n">
        <v>45453.67847222222</v>
      </c>
      <c r="C331" t="inlineStr">
        <is>
          <t>Nariño</t>
        </is>
      </c>
      <c r="D331" t="inlineStr">
        <is>
          <t>Pasto</t>
        </is>
      </c>
      <c r="E331" t="inlineStr">
        <is>
          <t>Moda</t>
        </is>
      </c>
      <c r="F331" t="inlineStr">
        <is>
          <t>Web</t>
        </is>
      </c>
      <c r="G331" t="inlineStr">
        <is>
          <t>1. Visita</t>
        </is>
      </c>
      <c r="H331" t="n">
        <v>2</v>
      </c>
      <c r="I331" s="73" t="n">
        <v>90200</v>
      </c>
      <c r="J331" s="73" t="n">
        <v>180400</v>
      </c>
      <c r="K331" s="73" t="n">
        <v>132077</v>
      </c>
    </row>
    <row r="332">
      <c r="A332" t="n">
        <v>10086</v>
      </c>
      <c r="B332" s="72" t="n">
        <v>45453.80625</v>
      </c>
      <c r="C332" t="inlineStr">
        <is>
          <t>Santander</t>
        </is>
      </c>
      <c r="D332" t="inlineStr">
        <is>
          <t>Bucaramanga</t>
        </is>
      </c>
      <c r="E332" t="inlineStr">
        <is>
          <t>Moda</t>
        </is>
      </c>
      <c r="F332" t="inlineStr">
        <is>
          <t>Web</t>
        </is>
      </c>
      <c r="G332" t="inlineStr">
        <is>
          <t>1. Visita</t>
        </is>
      </c>
      <c r="H332" t="n">
        <v>2</v>
      </c>
      <c r="I332" s="73" t="n">
        <v>146400</v>
      </c>
      <c r="J332" s="73" t="n">
        <v>292800</v>
      </c>
      <c r="K332" s="73" t="n">
        <v>163977</v>
      </c>
    </row>
    <row r="333">
      <c r="A333" t="n">
        <v>11766</v>
      </c>
      <c r="B333" s="72" t="n">
        <v>45453.81388888889</v>
      </c>
      <c r="C333" t="inlineStr">
        <is>
          <t>Bogotá D.C.</t>
        </is>
      </c>
      <c r="D333" t="inlineStr">
        <is>
          <t>Bogotá</t>
        </is>
      </c>
      <c r="E333" t="inlineStr">
        <is>
          <t>Deportes</t>
        </is>
      </c>
      <c r="F333" t="inlineStr">
        <is>
          <t>Tienda física</t>
        </is>
      </c>
      <c r="G333" t="inlineStr">
        <is>
          <t>3. Pago</t>
        </is>
      </c>
      <c r="H333" t="n">
        <v>4</v>
      </c>
      <c r="I333" s="73" t="n">
        <v>206200</v>
      </c>
      <c r="J333" s="73" t="n">
        <v>824800</v>
      </c>
      <c r="K333" s="73" t="n">
        <v>593091</v>
      </c>
    </row>
    <row r="334">
      <c r="A334" t="n">
        <v>11424</v>
      </c>
      <c r="B334" s="72" t="n">
        <v>45453.84513888889</v>
      </c>
      <c r="C334" t="inlineStr">
        <is>
          <t>Atlántico</t>
        </is>
      </c>
      <c r="D334" t="inlineStr">
        <is>
          <t>Barranquilla</t>
        </is>
      </c>
      <c r="E334" t="inlineStr">
        <is>
          <t>Juguetes</t>
        </is>
      </c>
      <c r="F334" t="inlineStr">
        <is>
          <t>App</t>
        </is>
      </c>
      <c r="G334" t="inlineStr">
        <is>
          <t>1. Visita</t>
        </is>
      </c>
      <c r="H334" t="n">
        <v>5</v>
      </c>
      <c r="I334" s="73" t="n">
        <v>111100</v>
      </c>
      <c r="J334" s="73" t="n">
        <v>555500</v>
      </c>
      <c r="K334" s="73" t="n">
        <v>355438</v>
      </c>
    </row>
    <row r="335">
      <c r="A335" t="n">
        <v>12192</v>
      </c>
      <c r="B335" s="72" t="n">
        <v>45453.86736111111</v>
      </c>
      <c r="C335" t="inlineStr">
        <is>
          <t>Risaralda</t>
        </is>
      </c>
      <c r="D335" t="inlineStr">
        <is>
          <t>Pereira</t>
        </is>
      </c>
      <c r="E335" t="inlineStr">
        <is>
          <t>Juguetes</t>
        </is>
      </c>
      <c r="F335" t="inlineStr">
        <is>
          <t>App</t>
        </is>
      </c>
      <c r="G335" t="inlineStr">
        <is>
          <t>4. Compra</t>
        </is>
      </c>
      <c r="H335" t="n">
        <v>1</v>
      </c>
      <c r="I335" s="73" t="n">
        <v>75200</v>
      </c>
      <c r="J335" s="73" t="n">
        <v>75200</v>
      </c>
      <c r="K335" s="73" t="n">
        <v>51204</v>
      </c>
    </row>
    <row r="336">
      <c r="A336" t="n">
        <v>10971</v>
      </c>
      <c r="B336" s="72" t="n">
        <v>45454.30277777778</v>
      </c>
      <c r="C336" t="inlineStr">
        <is>
          <t>Meta</t>
        </is>
      </c>
      <c r="D336" t="inlineStr">
        <is>
          <t>Villavicencio</t>
        </is>
      </c>
      <c r="E336" t="inlineStr">
        <is>
          <t>Tecnología</t>
        </is>
      </c>
      <c r="F336" t="inlineStr">
        <is>
          <t>App</t>
        </is>
      </c>
      <c r="G336" t="inlineStr">
        <is>
          <t>1. Visita</t>
        </is>
      </c>
      <c r="H336" t="n">
        <v>5</v>
      </c>
      <c r="I336" s="73" t="n">
        <v>1050400</v>
      </c>
      <c r="J336" s="73" t="n">
        <v>5252000</v>
      </c>
      <c r="K336" s="73" t="n">
        <v>3231895</v>
      </c>
    </row>
    <row r="337">
      <c r="A337" t="n">
        <v>10824</v>
      </c>
      <c r="B337" s="72" t="n">
        <v>45454.48888888889</v>
      </c>
      <c r="C337" t="inlineStr">
        <is>
          <t>Bogotá D.C.</t>
        </is>
      </c>
      <c r="D337" t="inlineStr">
        <is>
          <t>Bogotá</t>
        </is>
      </c>
      <c r="E337" t="inlineStr">
        <is>
          <t>Deportes</t>
        </is>
      </c>
      <c r="F337" t="inlineStr">
        <is>
          <t>App</t>
        </is>
      </c>
      <c r="G337" t="inlineStr">
        <is>
          <t>2. Carrito</t>
        </is>
      </c>
      <c r="H337" t="n">
        <v>3</v>
      </c>
      <c r="I337" s="73" t="n">
        <v>206400</v>
      </c>
      <c r="J337" s="73" t="n">
        <v>619200</v>
      </c>
      <c r="K337" s="73" t="n">
        <v>459008</v>
      </c>
    </row>
    <row r="338">
      <c r="A338" t="n">
        <v>10723</v>
      </c>
      <c r="B338" s="72" t="n">
        <v>45454.76597222222</v>
      </c>
      <c r="C338" t="inlineStr">
        <is>
          <t>Bogotá D.C.</t>
        </is>
      </c>
      <c r="D338" t="inlineStr">
        <is>
          <t>Bogotá</t>
        </is>
      </c>
      <c r="E338" t="inlineStr">
        <is>
          <t>Tecnología</t>
        </is>
      </c>
      <c r="F338" t="inlineStr">
        <is>
          <t>Web</t>
        </is>
      </c>
      <c r="G338" t="inlineStr">
        <is>
          <t>1. Visita</t>
        </is>
      </c>
      <c r="H338" t="n">
        <v>2</v>
      </c>
      <c r="I338" s="73" t="n">
        <v>681100</v>
      </c>
      <c r="J338" s="73" t="n">
        <v>1362200</v>
      </c>
      <c r="K338" s="73" t="n">
        <v>916361</v>
      </c>
    </row>
    <row r="339">
      <c r="A339" t="n">
        <v>10572</v>
      </c>
      <c r="B339" s="72" t="n">
        <v>45454.79652777778</v>
      </c>
      <c r="C339" t="inlineStr">
        <is>
          <t>Bogotá D.C.</t>
        </is>
      </c>
      <c r="D339" t="inlineStr">
        <is>
          <t>Bogotá</t>
        </is>
      </c>
      <c r="E339" t="inlineStr">
        <is>
          <t>Moda</t>
        </is>
      </c>
      <c r="F339" t="inlineStr">
        <is>
          <t>App</t>
        </is>
      </c>
      <c r="G339" t="inlineStr">
        <is>
          <t>4. Compra</t>
        </is>
      </c>
      <c r="H339" t="n">
        <v>5</v>
      </c>
      <c r="I339" s="73" t="n">
        <v>146800</v>
      </c>
      <c r="J339" s="73" t="n">
        <v>734000</v>
      </c>
      <c r="K339" s="73" t="n">
        <v>411206</v>
      </c>
    </row>
    <row r="340">
      <c r="A340" t="n">
        <v>10085</v>
      </c>
      <c r="B340" s="72" t="n">
        <v>45454.84861111111</v>
      </c>
      <c r="C340" t="inlineStr">
        <is>
          <t>Risaralda</t>
        </is>
      </c>
      <c r="D340" t="inlineStr">
        <is>
          <t>Pereira</t>
        </is>
      </c>
      <c r="E340" t="inlineStr">
        <is>
          <t>Juguetes</t>
        </is>
      </c>
      <c r="F340" t="inlineStr">
        <is>
          <t>Tienda física</t>
        </is>
      </c>
      <c r="G340" t="inlineStr">
        <is>
          <t>1. Visita</t>
        </is>
      </c>
      <c r="H340" t="n">
        <v>2</v>
      </c>
      <c r="I340" s="73" t="n">
        <v>77800</v>
      </c>
      <c r="J340" s="73" t="n">
        <v>155600</v>
      </c>
      <c r="K340" s="73" t="n">
        <v>115309</v>
      </c>
    </row>
    <row r="341">
      <c r="A341" t="n">
        <v>11194</v>
      </c>
      <c r="B341" s="72" t="n">
        <v>45454.94236111111</v>
      </c>
      <c r="C341" t="inlineStr">
        <is>
          <t>Bogotá D.C.</t>
        </is>
      </c>
      <c r="D341" t="inlineStr">
        <is>
          <t>Bogotá</t>
        </is>
      </c>
      <c r="E341" t="inlineStr">
        <is>
          <t>Moda</t>
        </is>
      </c>
      <c r="F341" t="inlineStr">
        <is>
          <t>Tienda física</t>
        </is>
      </c>
      <c r="G341" t="inlineStr">
        <is>
          <t>2. Carrito</t>
        </is>
      </c>
      <c r="H341" t="n">
        <v>5</v>
      </c>
      <c r="I341" s="73" t="n">
        <v>140200</v>
      </c>
      <c r="J341" s="73" t="n">
        <v>701000</v>
      </c>
      <c r="K341" s="73" t="n">
        <v>488106</v>
      </c>
    </row>
    <row r="342">
      <c r="A342" t="n">
        <v>10758</v>
      </c>
      <c r="B342" s="72" t="n">
        <v>45455.45902777778</v>
      </c>
      <c r="C342" t="inlineStr">
        <is>
          <t>Atlántico</t>
        </is>
      </c>
      <c r="D342" t="inlineStr">
        <is>
          <t>Barranquilla</t>
        </is>
      </c>
      <c r="E342" t="inlineStr">
        <is>
          <t>Moda</t>
        </is>
      </c>
      <c r="F342" t="inlineStr">
        <is>
          <t>Marketplace</t>
        </is>
      </c>
      <c r="G342" t="inlineStr">
        <is>
          <t>2. Carrito</t>
        </is>
      </c>
      <c r="H342" t="n">
        <v>2</v>
      </c>
      <c r="I342" s="73" t="n">
        <v>99900</v>
      </c>
      <c r="J342" s="73" t="n">
        <v>199800</v>
      </c>
      <c r="K342" s="73" t="n">
        <v>137452</v>
      </c>
    </row>
    <row r="343">
      <c r="A343" t="n">
        <v>10132</v>
      </c>
      <c r="B343" s="72" t="n">
        <v>45455.48194444444</v>
      </c>
      <c r="C343" t="inlineStr">
        <is>
          <t>Bogotá D.C.</t>
        </is>
      </c>
      <c r="D343" t="inlineStr">
        <is>
          <t>Bogotá</t>
        </is>
      </c>
      <c r="E343" t="inlineStr">
        <is>
          <t>Moda</t>
        </is>
      </c>
      <c r="F343" t="inlineStr">
        <is>
          <t>Tienda física</t>
        </is>
      </c>
      <c r="G343" t="inlineStr">
        <is>
          <t>3. Pago</t>
        </is>
      </c>
      <c r="H343" t="n">
        <v>1</v>
      </c>
      <c r="I343" s="73" t="n">
        <v>102900</v>
      </c>
      <c r="J343" s="73" t="n">
        <v>102900</v>
      </c>
      <c r="K343" s="73" t="n">
        <v>58940</v>
      </c>
    </row>
    <row r="344">
      <c r="A344" t="n">
        <v>11577</v>
      </c>
      <c r="B344" s="72" t="n">
        <v>45455.57083333333</v>
      </c>
      <c r="C344" t="inlineStr">
        <is>
          <t>Antioquia</t>
        </is>
      </c>
      <c r="D344" t="inlineStr">
        <is>
          <t>Medellín</t>
        </is>
      </c>
      <c r="E344" t="inlineStr">
        <is>
          <t>Moda</t>
        </is>
      </c>
      <c r="F344" t="inlineStr">
        <is>
          <t>Tienda física</t>
        </is>
      </c>
      <c r="G344" t="inlineStr">
        <is>
          <t>2. Carrito</t>
        </is>
      </c>
      <c r="H344" t="n">
        <v>3</v>
      </c>
      <c r="I344" s="73" t="n">
        <v>111100</v>
      </c>
      <c r="J344" s="73" t="n">
        <v>333300</v>
      </c>
      <c r="K344" s="73" t="n">
        <v>222637</v>
      </c>
    </row>
    <row r="345">
      <c r="A345" t="n">
        <v>10001</v>
      </c>
      <c r="B345" s="72" t="n">
        <v>45455.62986111111</v>
      </c>
      <c r="C345" t="inlineStr">
        <is>
          <t>Atlántico</t>
        </is>
      </c>
      <c r="D345" t="inlineStr">
        <is>
          <t>Barranquilla</t>
        </is>
      </c>
      <c r="E345" t="inlineStr">
        <is>
          <t>Belleza</t>
        </is>
      </c>
      <c r="F345" t="inlineStr">
        <is>
          <t>Marketplace</t>
        </is>
      </c>
      <c r="G345" t="inlineStr">
        <is>
          <t>1. Visita</t>
        </is>
      </c>
      <c r="H345" t="n">
        <v>1</v>
      </c>
      <c r="I345" s="73" t="n">
        <v>55200</v>
      </c>
      <c r="J345" s="73" t="n">
        <v>55200</v>
      </c>
      <c r="K345" s="73" t="n">
        <v>31793</v>
      </c>
    </row>
    <row r="346">
      <c r="A346" t="n">
        <v>12141</v>
      </c>
      <c r="B346" s="72" t="n">
        <v>45455.67777777778</v>
      </c>
      <c r="C346" t="inlineStr">
        <is>
          <t>Bogotá D.C.</t>
        </is>
      </c>
      <c r="D346" t="inlineStr">
        <is>
          <t>Bogotá</t>
        </is>
      </c>
      <c r="E346" t="inlineStr">
        <is>
          <t>Tecnología</t>
        </is>
      </c>
      <c r="F346" t="inlineStr">
        <is>
          <t>Web</t>
        </is>
      </c>
      <c r="G346" t="inlineStr">
        <is>
          <t>3. Pago</t>
        </is>
      </c>
      <c r="H346" t="n">
        <v>2</v>
      </c>
      <c r="I346" s="73" t="n">
        <v>810900</v>
      </c>
      <c r="J346" s="73" t="n">
        <v>1621800</v>
      </c>
      <c r="K346" s="73" t="n">
        <v>893578</v>
      </c>
    </row>
    <row r="347">
      <c r="A347" t="n">
        <v>10203</v>
      </c>
      <c r="B347" s="72" t="n">
        <v>45455.69930555556</v>
      </c>
      <c r="C347" t="inlineStr">
        <is>
          <t>Bogotá D.C.</t>
        </is>
      </c>
      <c r="D347" t="inlineStr">
        <is>
          <t>Bogotá</t>
        </is>
      </c>
      <c r="E347" t="inlineStr">
        <is>
          <t>Juguetes</t>
        </is>
      </c>
      <c r="F347" t="inlineStr">
        <is>
          <t>Web</t>
        </is>
      </c>
      <c r="G347" t="inlineStr">
        <is>
          <t>4. Compra</t>
        </is>
      </c>
      <c r="H347" t="n">
        <v>5</v>
      </c>
      <c r="I347" s="73" t="n">
        <v>101100</v>
      </c>
      <c r="J347" s="73" t="n">
        <v>505500</v>
      </c>
      <c r="K347" s="73" t="n">
        <v>336487</v>
      </c>
    </row>
    <row r="348">
      <c r="A348" t="n">
        <v>12099</v>
      </c>
      <c r="B348" s="72" t="n">
        <v>45455.73263888889</v>
      </c>
      <c r="C348" t="inlineStr">
        <is>
          <t>Valle del Cauca</t>
        </is>
      </c>
      <c r="D348" t="inlineStr">
        <is>
          <t>Cali</t>
        </is>
      </c>
      <c r="E348" t="inlineStr">
        <is>
          <t>Hogar</t>
        </is>
      </c>
      <c r="F348" t="inlineStr">
        <is>
          <t>Web</t>
        </is>
      </c>
      <c r="G348" t="inlineStr">
        <is>
          <t>3. Pago</t>
        </is>
      </c>
      <c r="H348" t="n">
        <v>3</v>
      </c>
      <c r="I348" s="73" t="n">
        <v>262700</v>
      </c>
      <c r="J348" s="73" t="n">
        <v>788100</v>
      </c>
      <c r="K348" s="73" t="n">
        <v>497268</v>
      </c>
    </row>
    <row r="349">
      <c r="A349" t="n">
        <v>11993</v>
      </c>
      <c r="B349" s="72" t="n">
        <v>45455.75486111111</v>
      </c>
      <c r="C349" t="inlineStr">
        <is>
          <t>Valle del Cauca</t>
        </is>
      </c>
      <c r="D349" t="inlineStr">
        <is>
          <t>Cali</t>
        </is>
      </c>
      <c r="E349" t="inlineStr">
        <is>
          <t>Belleza</t>
        </is>
      </c>
      <c r="F349" t="inlineStr">
        <is>
          <t>Tienda física</t>
        </is>
      </c>
      <c r="G349" t="inlineStr">
        <is>
          <t>3. Pago</t>
        </is>
      </c>
      <c r="H349" t="n">
        <v>5</v>
      </c>
      <c r="I349" s="73" t="n">
        <v>61300</v>
      </c>
      <c r="J349" s="73" t="n">
        <v>306500</v>
      </c>
      <c r="K349" s="73" t="n">
        <v>226296</v>
      </c>
    </row>
    <row r="350">
      <c r="A350" t="n">
        <v>11591</v>
      </c>
      <c r="B350" s="72" t="n">
        <v>45455.8625</v>
      </c>
      <c r="C350" t="inlineStr">
        <is>
          <t>Meta</t>
        </is>
      </c>
      <c r="D350" t="inlineStr">
        <is>
          <t>Villavicencio</t>
        </is>
      </c>
      <c r="E350" t="inlineStr">
        <is>
          <t>Moda</t>
        </is>
      </c>
      <c r="F350" t="inlineStr">
        <is>
          <t>Marketplace</t>
        </is>
      </c>
      <c r="G350" t="inlineStr">
        <is>
          <t>2. Carrito</t>
        </is>
      </c>
      <c r="H350" t="n">
        <v>3</v>
      </c>
      <c r="I350" s="73" t="n">
        <v>155300</v>
      </c>
      <c r="J350" s="73" t="n">
        <v>465900</v>
      </c>
      <c r="K350" s="73" t="n">
        <v>305684</v>
      </c>
    </row>
    <row r="351">
      <c r="A351" t="n">
        <v>11732</v>
      </c>
      <c r="B351" s="72" t="n">
        <v>45456.48472222222</v>
      </c>
      <c r="C351" t="inlineStr">
        <is>
          <t>Bogotá D.C.</t>
        </is>
      </c>
      <c r="D351" t="inlineStr">
        <is>
          <t>Bogotá</t>
        </is>
      </c>
      <c r="E351" t="inlineStr">
        <is>
          <t>Belleza</t>
        </is>
      </c>
      <c r="F351" t="inlineStr">
        <is>
          <t>Web</t>
        </is>
      </c>
      <c r="G351" t="inlineStr">
        <is>
          <t>1. Visita</t>
        </is>
      </c>
      <c r="H351" t="n">
        <v>4</v>
      </c>
      <c r="I351" s="73" t="n">
        <v>71100</v>
      </c>
      <c r="J351" s="73" t="n">
        <v>284400</v>
      </c>
      <c r="K351" s="73" t="n">
        <v>177801</v>
      </c>
    </row>
    <row r="352">
      <c r="A352" t="n">
        <v>10901</v>
      </c>
      <c r="B352" s="72" t="n">
        <v>45456.67916666667</v>
      </c>
      <c r="C352" t="inlineStr">
        <is>
          <t>Valle del Cauca</t>
        </is>
      </c>
      <c r="D352" t="inlineStr">
        <is>
          <t>Cali</t>
        </is>
      </c>
      <c r="E352" t="inlineStr">
        <is>
          <t>Belleza</t>
        </is>
      </c>
      <c r="F352" t="inlineStr">
        <is>
          <t>App</t>
        </is>
      </c>
      <c r="G352" t="inlineStr">
        <is>
          <t>1. Visita</t>
        </is>
      </c>
      <c r="H352" t="n">
        <v>2</v>
      </c>
      <c r="I352" s="73" t="n">
        <v>89300</v>
      </c>
      <c r="J352" s="73" t="n">
        <v>178600</v>
      </c>
      <c r="K352" s="73" t="n">
        <v>131866</v>
      </c>
    </row>
    <row r="353">
      <c r="A353" t="n">
        <v>11967</v>
      </c>
      <c r="B353" s="72" t="n">
        <v>45456.72083333333</v>
      </c>
      <c r="C353" t="inlineStr">
        <is>
          <t>Antioquia</t>
        </is>
      </c>
      <c r="D353" t="inlineStr">
        <is>
          <t>Medellín</t>
        </is>
      </c>
      <c r="E353" t="inlineStr">
        <is>
          <t>Moda</t>
        </is>
      </c>
      <c r="F353" t="inlineStr">
        <is>
          <t>Tienda física</t>
        </is>
      </c>
      <c r="G353" t="inlineStr">
        <is>
          <t>4. Compra</t>
        </is>
      </c>
      <c r="H353" t="n">
        <v>2</v>
      </c>
      <c r="I353" s="73" t="n">
        <v>111400</v>
      </c>
      <c r="J353" s="73" t="n">
        <v>222800</v>
      </c>
      <c r="K353" s="73" t="n">
        <v>151680</v>
      </c>
    </row>
    <row r="354">
      <c r="A354" t="n">
        <v>12221</v>
      </c>
      <c r="B354" s="72" t="n">
        <v>45456.77430555555</v>
      </c>
      <c r="C354" t="inlineStr">
        <is>
          <t>Bogotá D.C.</t>
        </is>
      </c>
      <c r="D354" t="inlineStr">
        <is>
          <t>Bogotá</t>
        </is>
      </c>
      <c r="E354" t="inlineStr">
        <is>
          <t>Hogar</t>
        </is>
      </c>
      <c r="F354" t="inlineStr">
        <is>
          <t>Web</t>
        </is>
      </c>
      <c r="G354" t="inlineStr">
        <is>
          <t>4. Compra</t>
        </is>
      </c>
      <c r="H354" t="n">
        <v>2</v>
      </c>
      <c r="I354" s="73" t="n">
        <v>161400</v>
      </c>
      <c r="J354" s="73" t="n">
        <v>322800</v>
      </c>
      <c r="K354" s="73" t="n">
        <v>236703</v>
      </c>
    </row>
    <row r="355">
      <c r="A355" t="n">
        <v>10854</v>
      </c>
      <c r="B355" s="72" t="n">
        <v>45456.88819444444</v>
      </c>
      <c r="C355" t="inlineStr">
        <is>
          <t>Antioquia</t>
        </is>
      </c>
      <c r="D355" t="inlineStr">
        <is>
          <t>Medellín</t>
        </is>
      </c>
      <c r="E355" t="inlineStr">
        <is>
          <t>Moda</t>
        </is>
      </c>
      <c r="F355" t="inlineStr">
        <is>
          <t>Marketplace</t>
        </is>
      </c>
      <c r="G355" t="inlineStr">
        <is>
          <t>1. Visita</t>
        </is>
      </c>
      <c r="H355" t="n">
        <v>4</v>
      </c>
      <c r="I355" s="73" t="n">
        <v>91900</v>
      </c>
      <c r="J355" s="73" t="n">
        <v>367600</v>
      </c>
      <c r="K355" s="73" t="n">
        <v>247359</v>
      </c>
    </row>
    <row r="356">
      <c r="A356" t="n">
        <v>10376</v>
      </c>
      <c r="B356" s="72" t="n">
        <v>45457.28888888889</v>
      </c>
      <c r="C356" t="inlineStr">
        <is>
          <t>Nariño</t>
        </is>
      </c>
      <c r="D356" t="inlineStr">
        <is>
          <t>Pasto</t>
        </is>
      </c>
      <c r="E356" t="inlineStr">
        <is>
          <t>Belleza</t>
        </is>
      </c>
      <c r="F356" t="inlineStr">
        <is>
          <t>App</t>
        </is>
      </c>
      <c r="G356" t="inlineStr">
        <is>
          <t>1. Visita</t>
        </is>
      </c>
      <c r="H356" t="n">
        <v>4</v>
      </c>
      <c r="I356" s="73" t="n">
        <v>74100</v>
      </c>
      <c r="J356" s="73" t="n">
        <v>340860</v>
      </c>
      <c r="K356" s="73" t="n">
        <v>228410</v>
      </c>
    </row>
    <row r="357">
      <c r="A357" t="n">
        <v>12321</v>
      </c>
      <c r="B357" s="72" t="n">
        <v>45457.67569444444</v>
      </c>
      <c r="C357" t="inlineStr">
        <is>
          <t>Nariño</t>
        </is>
      </c>
      <c r="D357" t="inlineStr">
        <is>
          <t>Pasto</t>
        </is>
      </c>
      <c r="E357" t="inlineStr">
        <is>
          <t>Hogar</t>
        </is>
      </c>
      <c r="F357" t="inlineStr">
        <is>
          <t>Tienda física</t>
        </is>
      </c>
      <c r="G357" t="inlineStr">
        <is>
          <t>2. Carrito</t>
        </is>
      </c>
      <c r="H357" t="n">
        <v>1</v>
      </c>
      <c r="I357" s="73" t="n">
        <v>190700</v>
      </c>
      <c r="J357" s="73" t="n">
        <v>219305</v>
      </c>
      <c r="K357" s="73" t="n">
        <v>148639</v>
      </c>
    </row>
    <row r="358">
      <c r="A358" t="n">
        <v>11222</v>
      </c>
      <c r="B358" s="72" t="n">
        <v>45457.94305555556</v>
      </c>
      <c r="C358" t="inlineStr">
        <is>
          <t>Bogotá D.C.</t>
        </is>
      </c>
      <c r="D358" t="inlineStr">
        <is>
          <t>Bogotá</t>
        </is>
      </c>
      <c r="E358" t="inlineStr">
        <is>
          <t>Tecnología</t>
        </is>
      </c>
      <c r="F358" t="inlineStr">
        <is>
          <t>Tienda física</t>
        </is>
      </c>
      <c r="G358" t="inlineStr">
        <is>
          <t>1. Visita</t>
        </is>
      </c>
      <c r="H358" t="n">
        <v>1</v>
      </c>
      <c r="I358" s="73" t="n">
        <v>1059600</v>
      </c>
      <c r="J358" s="73" t="n">
        <v>1218540</v>
      </c>
      <c r="K358" s="73" t="n">
        <v>850324</v>
      </c>
    </row>
    <row r="359">
      <c r="A359" t="n">
        <v>11024</v>
      </c>
      <c r="B359" s="72" t="n">
        <v>45457.99236111111</v>
      </c>
      <c r="C359" t="inlineStr">
        <is>
          <t>Bogotá D.C.</t>
        </is>
      </c>
      <c r="D359" t="inlineStr">
        <is>
          <t>Bogotá</t>
        </is>
      </c>
      <c r="E359" t="inlineStr">
        <is>
          <t>Deportes</t>
        </is>
      </c>
      <c r="F359" t="inlineStr">
        <is>
          <t>Marketplace</t>
        </is>
      </c>
      <c r="G359" t="inlineStr">
        <is>
          <t>1. Visita</t>
        </is>
      </c>
      <c r="H359" t="n">
        <v>3</v>
      </c>
      <c r="I359" s="73" t="n">
        <v>177800</v>
      </c>
      <c r="J359" s="73" t="n">
        <v>613410</v>
      </c>
      <c r="K359" s="73" t="n">
        <v>354166</v>
      </c>
    </row>
    <row r="360">
      <c r="A360" t="n">
        <v>10864</v>
      </c>
      <c r="B360" s="72" t="n">
        <v>45458.33888888889</v>
      </c>
      <c r="C360" t="inlineStr">
        <is>
          <t>Valle del Cauca</t>
        </is>
      </c>
      <c r="D360" t="inlineStr">
        <is>
          <t>Cali</t>
        </is>
      </c>
      <c r="E360" t="inlineStr">
        <is>
          <t>Moda</t>
        </is>
      </c>
      <c r="F360" t="inlineStr">
        <is>
          <t>App</t>
        </is>
      </c>
      <c r="G360" t="inlineStr">
        <is>
          <t>1. Visita</t>
        </is>
      </c>
      <c r="H360" t="n">
        <v>5</v>
      </c>
      <c r="I360" s="73" t="n">
        <v>145000</v>
      </c>
      <c r="J360" s="73" t="n">
        <v>833750</v>
      </c>
      <c r="K360" s="73" t="n">
        <v>574308</v>
      </c>
    </row>
    <row r="361">
      <c r="A361" t="n">
        <v>10539</v>
      </c>
      <c r="B361" s="72" t="n">
        <v>45458.47916666666</v>
      </c>
      <c r="C361" t="inlineStr">
        <is>
          <t>Bogotá D.C.</t>
        </is>
      </c>
      <c r="D361" t="inlineStr">
        <is>
          <t>Bogotá</t>
        </is>
      </c>
      <c r="E361" t="inlineStr">
        <is>
          <t>Juguetes</t>
        </is>
      </c>
      <c r="F361" t="inlineStr">
        <is>
          <t>Web</t>
        </is>
      </c>
      <c r="G361" t="inlineStr">
        <is>
          <t>2. Carrito</t>
        </is>
      </c>
      <c r="H361" t="n">
        <v>5</v>
      </c>
      <c r="I361" s="73" t="n">
        <v>110000</v>
      </c>
      <c r="J361" s="73" t="n">
        <v>632500</v>
      </c>
      <c r="K361" s="73" t="n">
        <v>395357</v>
      </c>
    </row>
    <row r="362">
      <c r="A362" t="n">
        <v>10226</v>
      </c>
      <c r="B362" s="72" t="n">
        <v>45458.67430555556</v>
      </c>
      <c r="C362" t="inlineStr">
        <is>
          <t>Bogotá D.C.</t>
        </is>
      </c>
      <c r="D362" t="inlineStr">
        <is>
          <t>Bogotá</t>
        </is>
      </c>
      <c r="E362" t="inlineStr">
        <is>
          <t>Juguetes</t>
        </is>
      </c>
      <c r="F362" t="inlineStr">
        <is>
          <t>Marketplace</t>
        </is>
      </c>
      <c r="G362" t="inlineStr">
        <is>
          <t>3. Pago</t>
        </is>
      </c>
      <c r="H362" t="n">
        <v>5</v>
      </c>
      <c r="I362" s="73" t="n">
        <v>96400</v>
      </c>
      <c r="J362" s="73" t="n">
        <v>554300</v>
      </c>
      <c r="K362" s="73" t="n">
        <v>359272</v>
      </c>
    </row>
    <row r="363">
      <c r="A363" t="n">
        <v>10189</v>
      </c>
      <c r="B363" s="72" t="n">
        <v>45458.82638888889</v>
      </c>
      <c r="C363" t="inlineStr">
        <is>
          <t>Antioquia</t>
        </is>
      </c>
      <c r="D363" t="inlineStr">
        <is>
          <t>Medellín</t>
        </is>
      </c>
      <c r="E363" t="inlineStr">
        <is>
          <t>Moda</t>
        </is>
      </c>
      <c r="F363" t="inlineStr">
        <is>
          <t>Marketplace</t>
        </is>
      </c>
      <c r="G363" t="inlineStr">
        <is>
          <t>1. Visita</t>
        </is>
      </c>
      <c r="H363" t="n">
        <v>2</v>
      </c>
      <c r="I363" s="73" t="n">
        <v>134000</v>
      </c>
      <c r="J363" s="73" t="n">
        <v>308200</v>
      </c>
      <c r="K363" s="73" t="n">
        <v>174980</v>
      </c>
    </row>
    <row r="364">
      <c r="A364" t="n">
        <v>11937</v>
      </c>
      <c r="B364" s="72" t="n">
        <v>45459.48611111111</v>
      </c>
      <c r="C364" t="inlineStr">
        <is>
          <t>Bogotá D.C.</t>
        </is>
      </c>
      <c r="D364" t="inlineStr">
        <is>
          <t>Bogotá</t>
        </is>
      </c>
      <c r="E364" t="inlineStr">
        <is>
          <t>Deportes</t>
        </is>
      </c>
      <c r="F364" t="inlineStr">
        <is>
          <t>App</t>
        </is>
      </c>
      <c r="G364" t="inlineStr">
        <is>
          <t>4. Compra</t>
        </is>
      </c>
      <c r="H364" t="n">
        <v>5</v>
      </c>
      <c r="I364" s="73" t="n">
        <v>140900</v>
      </c>
      <c r="J364" s="73" t="n">
        <v>810175</v>
      </c>
      <c r="K364" s="73" t="n">
        <v>570269</v>
      </c>
    </row>
    <row r="365">
      <c r="A365" t="n">
        <v>11151</v>
      </c>
      <c r="B365" s="72" t="n">
        <v>45459.58055555556</v>
      </c>
      <c r="C365" t="inlineStr">
        <is>
          <t>Atlántico</t>
        </is>
      </c>
      <c r="D365" t="inlineStr">
        <is>
          <t>Barranquilla</t>
        </is>
      </c>
      <c r="E365" t="inlineStr">
        <is>
          <t>Belleza</t>
        </is>
      </c>
      <c r="F365" t="inlineStr">
        <is>
          <t>Web</t>
        </is>
      </c>
      <c r="G365" t="inlineStr">
        <is>
          <t>3. Pago</t>
        </is>
      </c>
      <c r="H365" t="n">
        <v>5</v>
      </c>
      <c r="I365" s="73" t="n">
        <v>71600</v>
      </c>
      <c r="J365" s="73" t="n">
        <v>411700</v>
      </c>
      <c r="K365" s="73" t="n">
        <v>305447</v>
      </c>
    </row>
    <row r="366">
      <c r="A366" t="n">
        <v>11770</v>
      </c>
      <c r="B366" s="72" t="n">
        <v>45459.89027777778</v>
      </c>
      <c r="C366" t="inlineStr">
        <is>
          <t>Valle del Cauca</t>
        </is>
      </c>
      <c r="D366" t="inlineStr">
        <is>
          <t>Cali</t>
        </is>
      </c>
      <c r="E366" t="inlineStr">
        <is>
          <t>Deportes</t>
        </is>
      </c>
      <c r="F366" t="inlineStr">
        <is>
          <t>Marketplace</t>
        </is>
      </c>
      <c r="G366" t="inlineStr">
        <is>
          <t>3. Pago</t>
        </is>
      </c>
      <c r="H366" t="n">
        <v>2</v>
      </c>
      <c r="I366" s="73" t="n">
        <v>148000</v>
      </c>
      <c r="J366" s="73" t="n">
        <v>340400</v>
      </c>
      <c r="K366" s="73" t="n">
        <v>235463</v>
      </c>
    </row>
    <row r="367">
      <c r="A367" t="n">
        <v>10623</v>
      </c>
      <c r="B367" s="72" t="n">
        <v>45459.90625</v>
      </c>
      <c r="C367" t="inlineStr">
        <is>
          <t>Risaralda</t>
        </is>
      </c>
      <c r="D367" t="inlineStr">
        <is>
          <t>Pereira</t>
        </is>
      </c>
      <c r="E367" t="inlineStr">
        <is>
          <t>Moda</t>
        </is>
      </c>
      <c r="F367" t="inlineStr">
        <is>
          <t>App</t>
        </is>
      </c>
      <c r="G367" t="inlineStr">
        <is>
          <t>1. Visita</t>
        </is>
      </c>
      <c r="H367" t="n">
        <v>3</v>
      </c>
      <c r="I367" s="73" t="n">
        <v>112200</v>
      </c>
      <c r="J367" s="73" t="n">
        <v>387090</v>
      </c>
      <c r="K367" s="73" t="n">
        <v>227765</v>
      </c>
    </row>
    <row r="368">
      <c r="A368" t="n">
        <v>11976</v>
      </c>
      <c r="B368" s="72" t="n">
        <v>45460.11180555556</v>
      </c>
      <c r="C368" t="inlineStr">
        <is>
          <t>Antioquia</t>
        </is>
      </c>
      <c r="D368" t="inlineStr">
        <is>
          <t>Medellín</t>
        </is>
      </c>
      <c r="E368" t="inlineStr">
        <is>
          <t>Tecnología</t>
        </is>
      </c>
      <c r="F368" t="inlineStr">
        <is>
          <t>Marketplace</t>
        </is>
      </c>
      <c r="G368" t="inlineStr">
        <is>
          <t>1. Visita</t>
        </is>
      </c>
      <c r="H368" t="n">
        <v>4</v>
      </c>
      <c r="I368" s="73" t="n">
        <v>612600</v>
      </c>
      <c r="J368" s="73" t="n">
        <v>2450400</v>
      </c>
      <c r="K368" s="73" t="n">
        <v>1720052</v>
      </c>
    </row>
    <row r="369">
      <c r="A369" t="n">
        <v>10357</v>
      </c>
      <c r="B369" s="72" t="n">
        <v>45460.29652777778</v>
      </c>
      <c r="C369" t="inlineStr">
        <is>
          <t>Antioquia</t>
        </is>
      </c>
      <c r="D369" t="inlineStr">
        <is>
          <t>Medellín</t>
        </is>
      </c>
      <c r="E369" t="inlineStr">
        <is>
          <t>Juguetes</t>
        </is>
      </c>
      <c r="F369" t="inlineStr">
        <is>
          <t>Web</t>
        </is>
      </c>
      <c r="G369" t="inlineStr">
        <is>
          <t>1. Visita</t>
        </is>
      </c>
      <c r="H369" t="n">
        <v>1</v>
      </c>
      <c r="I369" s="73" t="n">
        <v>68200</v>
      </c>
      <c r="J369" s="73" t="n">
        <v>68200</v>
      </c>
      <c r="K369" s="73" t="n">
        <v>50733</v>
      </c>
    </row>
    <row r="370">
      <c r="A370" t="n">
        <v>10445</v>
      </c>
      <c r="B370" s="72" t="n">
        <v>45460.4</v>
      </c>
      <c r="C370" t="inlineStr">
        <is>
          <t>Bolívar</t>
        </is>
      </c>
      <c r="D370" t="inlineStr">
        <is>
          <t>Cartagena</t>
        </is>
      </c>
      <c r="E370" t="inlineStr">
        <is>
          <t>Tecnología</t>
        </is>
      </c>
      <c r="F370" t="inlineStr">
        <is>
          <t>Web</t>
        </is>
      </c>
      <c r="G370" t="inlineStr">
        <is>
          <t>4. Compra</t>
        </is>
      </c>
      <c r="H370" t="n">
        <v>4</v>
      </c>
      <c r="I370" s="73" t="n">
        <v>922000</v>
      </c>
      <c r="J370" s="73" t="n">
        <v>3688000</v>
      </c>
      <c r="K370" s="73" t="n">
        <v>2575728</v>
      </c>
    </row>
    <row r="371">
      <c r="A371" t="n">
        <v>10912</v>
      </c>
      <c r="B371" s="72" t="n">
        <v>45460.58333333334</v>
      </c>
      <c r="C371" t="inlineStr">
        <is>
          <t>Bolívar</t>
        </is>
      </c>
      <c r="D371" t="inlineStr">
        <is>
          <t>Cartagena</t>
        </is>
      </c>
      <c r="E371" t="inlineStr">
        <is>
          <t>Moda</t>
        </is>
      </c>
      <c r="F371" t="inlineStr">
        <is>
          <t>App</t>
        </is>
      </c>
      <c r="G371" t="inlineStr">
        <is>
          <t>3. Pago</t>
        </is>
      </c>
      <c r="H371" t="n">
        <v>1</v>
      </c>
      <c r="I371" s="73" t="n">
        <v>133200</v>
      </c>
      <c r="J371" s="73" t="n">
        <v>133200</v>
      </c>
      <c r="K371" s="73" t="n">
        <v>87256</v>
      </c>
    </row>
    <row r="372">
      <c r="A372" t="n">
        <v>10911</v>
      </c>
      <c r="B372" s="72" t="n">
        <v>45460.73541666667</v>
      </c>
      <c r="C372" t="inlineStr">
        <is>
          <t>Valle del Cauca</t>
        </is>
      </c>
      <c r="D372" t="inlineStr">
        <is>
          <t>Cali</t>
        </is>
      </c>
      <c r="E372" t="inlineStr">
        <is>
          <t>Hogar</t>
        </is>
      </c>
      <c r="F372" t="inlineStr">
        <is>
          <t>Web</t>
        </is>
      </c>
      <c r="G372" t="inlineStr">
        <is>
          <t>1. Visita</t>
        </is>
      </c>
      <c r="H372" t="n">
        <v>4</v>
      </c>
      <c r="I372" s="73" t="n">
        <v>227000</v>
      </c>
      <c r="J372" s="73" t="n">
        <v>908000</v>
      </c>
      <c r="K372" s="73" t="n">
        <v>570952</v>
      </c>
    </row>
    <row r="373">
      <c r="A373" t="n">
        <v>12047</v>
      </c>
      <c r="B373" s="72" t="n">
        <v>45461.45277777778</v>
      </c>
      <c r="C373" t="inlineStr">
        <is>
          <t>Bogotá D.C.</t>
        </is>
      </c>
      <c r="D373" t="inlineStr">
        <is>
          <t>Bogotá</t>
        </is>
      </c>
      <c r="E373" t="inlineStr">
        <is>
          <t>Hogar</t>
        </is>
      </c>
      <c r="F373" t="inlineStr">
        <is>
          <t>Tienda física</t>
        </is>
      </c>
      <c r="G373" t="inlineStr">
        <is>
          <t>3. Pago</t>
        </is>
      </c>
      <c r="H373" t="n">
        <v>1</v>
      </c>
      <c r="I373" s="73" t="n">
        <v>160500</v>
      </c>
      <c r="J373" s="73" t="n">
        <v>160500</v>
      </c>
      <c r="K373" s="73" t="n">
        <v>96037</v>
      </c>
    </row>
    <row r="374">
      <c r="A374" t="n">
        <v>10424</v>
      </c>
      <c r="B374" s="72" t="n">
        <v>45461.76597222222</v>
      </c>
      <c r="C374" t="inlineStr">
        <is>
          <t>Santander</t>
        </is>
      </c>
      <c r="D374" t="inlineStr">
        <is>
          <t>Bucaramanga</t>
        </is>
      </c>
      <c r="E374" t="inlineStr">
        <is>
          <t>Juguetes</t>
        </is>
      </c>
      <c r="F374" t="inlineStr">
        <is>
          <t>Tienda física</t>
        </is>
      </c>
      <c r="G374" t="inlineStr">
        <is>
          <t>3. Pago</t>
        </is>
      </c>
      <c r="H374" t="n">
        <v>4</v>
      </c>
      <c r="I374" s="73" t="n">
        <v>103900</v>
      </c>
      <c r="J374" s="73" t="n">
        <v>415600</v>
      </c>
      <c r="K374" s="73" t="n">
        <v>249381</v>
      </c>
    </row>
    <row r="375">
      <c r="A375" t="n">
        <v>11966</v>
      </c>
      <c r="B375" s="72" t="n">
        <v>45461.81875</v>
      </c>
      <c r="C375" t="inlineStr">
        <is>
          <t>Santander</t>
        </is>
      </c>
      <c r="D375" t="inlineStr">
        <is>
          <t>Bucaramanga</t>
        </is>
      </c>
      <c r="E375" t="inlineStr">
        <is>
          <t>Tecnología</t>
        </is>
      </c>
      <c r="F375" t="inlineStr">
        <is>
          <t>App</t>
        </is>
      </c>
      <c r="G375" t="inlineStr">
        <is>
          <t>1. Visita</t>
        </is>
      </c>
      <c r="H375" t="n">
        <v>1</v>
      </c>
      <c r="I375" s="73" t="n">
        <v>795300</v>
      </c>
      <c r="J375" s="73" t="n">
        <v>795300</v>
      </c>
      <c r="K375" s="73" t="n">
        <v>526425</v>
      </c>
    </row>
    <row r="376">
      <c r="A376" t="n">
        <v>11250</v>
      </c>
      <c r="B376" s="72" t="n">
        <v>45462.07291666666</v>
      </c>
      <c r="C376" t="inlineStr">
        <is>
          <t>Bolívar</t>
        </is>
      </c>
      <c r="D376" t="inlineStr">
        <is>
          <t>Cartagena</t>
        </is>
      </c>
      <c r="E376" t="inlineStr">
        <is>
          <t>Juguetes</t>
        </is>
      </c>
      <c r="F376" t="inlineStr">
        <is>
          <t>Web</t>
        </is>
      </c>
      <c r="G376" t="inlineStr">
        <is>
          <t>4. Compra</t>
        </is>
      </c>
      <c r="H376" t="n">
        <v>3</v>
      </c>
      <c r="I376" s="73" t="n">
        <v>97300</v>
      </c>
      <c r="J376" s="73" t="n">
        <v>291900</v>
      </c>
      <c r="K376" s="73" t="n">
        <v>193345</v>
      </c>
    </row>
    <row r="377">
      <c r="A377" t="n">
        <v>10632</v>
      </c>
      <c r="B377" s="72" t="n">
        <v>45462.34236111111</v>
      </c>
      <c r="C377" t="inlineStr">
        <is>
          <t>Santander</t>
        </is>
      </c>
      <c r="D377" t="inlineStr">
        <is>
          <t>Bucaramanga</t>
        </is>
      </c>
      <c r="E377" t="inlineStr">
        <is>
          <t>Juguetes</t>
        </is>
      </c>
      <c r="F377" t="inlineStr">
        <is>
          <t>Tienda física</t>
        </is>
      </c>
      <c r="G377" t="inlineStr">
        <is>
          <t>3. Pago</t>
        </is>
      </c>
      <c r="H377" t="n">
        <v>3</v>
      </c>
      <c r="I377" s="73" t="n">
        <v>92900</v>
      </c>
      <c r="J377" s="73" t="n">
        <v>278700</v>
      </c>
      <c r="K377" s="73" t="n">
        <v>185555</v>
      </c>
    </row>
    <row r="378">
      <c r="A378" t="n">
        <v>10162</v>
      </c>
      <c r="B378" s="72" t="n">
        <v>45462.55208333334</v>
      </c>
      <c r="C378" t="inlineStr">
        <is>
          <t>Valle del Cauca</t>
        </is>
      </c>
      <c r="D378" t="inlineStr">
        <is>
          <t>Cali</t>
        </is>
      </c>
      <c r="E378" t="inlineStr">
        <is>
          <t>Juguetes</t>
        </is>
      </c>
      <c r="F378" t="inlineStr">
        <is>
          <t>App</t>
        </is>
      </c>
      <c r="G378" t="inlineStr">
        <is>
          <t>1. Visita</t>
        </is>
      </c>
      <c r="H378" t="n">
        <v>2</v>
      </c>
      <c r="I378" s="73" t="n">
        <v>76300</v>
      </c>
      <c r="J378" s="73" t="n">
        <v>152600</v>
      </c>
      <c r="K378" s="73" t="n">
        <v>104920</v>
      </c>
    </row>
    <row r="379">
      <c r="A379" t="n">
        <v>11708</v>
      </c>
      <c r="B379" s="72" t="n">
        <v>45462.56666666667</v>
      </c>
      <c r="C379" t="inlineStr">
        <is>
          <t>Bolívar</t>
        </is>
      </c>
      <c r="D379" t="inlineStr">
        <is>
          <t>Cartagena</t>
        </is>
      </c>
      <c r="E379" t="inlineStr">
        <is>
          <t>Moda</t>
        </is>
      </c>
      <c r="F379" t="inlineStr">
        <is>
          <t>Web</t>
        </is>
      </c>
      <c r="G379" t="inlineStr">
        <is>
          <t>2. Carrito</t>
        </is>
      </c>
      <c r="H379" t="n">
        <v>5</v>
      </c>
      <c r="I379" s="73" t="n">
        <v>114200</v>
      </c>
      <c r="J379" s="73" t="n">
        <v>571000</v>
      </c>
      <c r="K379" s="73" t="n">
        <v>379721</v>
      </c>
    </row>
    <row r="380">
      <c r="A380" t="n">
        <v>10254</v>
      </c>
      <c r="B380" s="72" t="n">
        <v>45462.66805555556</v>
      </c>
      <c r="C380" t="inlineStr">
        <is>
          <t>Valle del Cauca</t>
        </is>
      </c>
      <c r="D380" t="inlineStr">
        <is>
          <t>Cali</t>
        </is>
      </c>
      <c r="E380" t="inlineStr">
        <is>
          <t>Juguetes</t>
        </is>
      </c>
      <c r="F380" t="inlineStr">
        <is>
          <t>Tienda física</t>
        </is>
      </c>
      <c r="G380" t="inlineStr">
        <is>
          <t>1. Visita</t>
        </is>
      </c>
      <c r="H380" t="n">
        <v>1</v>
      </c>
      <c r="I380" s="73" t="n">
        <v>63600</v>
      </c>
      <c r="J380" s="73" t="n">
        <v>63600</v>
      </c>
      <c r="K380" s="73" t="n">
        <v>44099</v>
      </c>
    </row>
    <row r="381">
      <c r="A381" t="n">
        <v>12378</v>
      </c>
      <c r="B381" s="72" t="n">
        <v>45462.75208333333</v>
      </c>
      <c r="C381" t="inlineStr">
        <is>
          <t>Antioquia</t>
        </is>
      </c>
      <c r="D381" t="inlineStr">
        <is>
          <t>Medellín</t>
        </is>
      </c>
      <c r="E381" t="inlineStr">
        <is>
          <t>Hogar</t>
        </is>
      </c>
      <c r="F381" t="inlineStr">
        <is>
          <t>Marketplace</t>
        </is>
      </c>
      <c r="G381" t="inlineStr">
        <is>
          <t>1. Visita</t>
        </is>
      </c>
      <c r="H381" t="n">
        <v>2</v>
      </c>
      <c r="I381" s="73" t="n">
        <v>237900</v>
      </c>
      <c r="J381" s="73" t="n">
        <v>475800</v>
      </c>
      <c r="K381" s="73" t="n">
        <v>280734</v>
      </c>
    </row>
    <row r="382">
      <c r="A382" t="n">
        <v>10871</v>
      </c>
      <c r="B382" s="72" t="n">
        <v>45462.80625</v>
      </c>
      <c r="C382" t="inlineStr">
        <is>
          <t>Bogotá D.C.</t>
        </is>
      </c>
      <c r="D382" t="inlineStr">
        <is>
          <t>Bogotá</t>
        </is>
      </c>
      <c r="E382" t="inlineStr">
        <is>
          <t>Deportes</t>
        </is>
      </c>
      <c r="F382" t="inlineStr">
        <is>
          <t>Marketplace</t>
        </is>
      </c>
      <c r="G382" t="inlineStr">
        <is>
          <t>3. Pago</t>
        </is>
      </c>
      <c r="H382" t="n">
        <v>2</v>
      </c>
      <c r="I382" s="73" t="n">
        <v>113300</v>
      </c>
      <c r="J382" s="73" t="n">
        <v>226600</v>
      </c>
      <c r="K382" s="73" t="n">
        <v>149882</v>
      </c>
    </row>
    <row r="383">
      <c r="A383" t="n">
        <v>10508</v>
      </c>
      <c r="B383" s="72" t="n">
        <v>45463.56736111111</v>
      </c>
      <c r="C383" t="inlineStr">
        <is>
          <t>Huila</t>
        </is>
      </c>
      <c r="D383" t="inlineStr">
        <is>
          <t>Neiva</t>
        </is>
      </c>
      <c r="E383" t="inlineStr">
        <is>
          <t>Tecnología</t>
        </is>
      </c>
      <c r="F383" t="inlineStr">
        <is>
          <t>Marketplace</t>
        </is>
      </c>
      <c r="G383" t="inlineStr">
        <is>
          <t>1. Visita</t>
        </is>
      </c>
      <c r="H383" t="n">
        <v>5</v>
      </c>
      <c r="I383" s="73" t="n">
        <v>928100</v>
      </c>
      <c r="J383" s="73" t="n">
        <v>4640500</v>
      </c>
      <c r="K383" s="73" t="n">
        <v>2709999</v>
      </c>
    </row>
    <row r="384">
      <c r="A384" t="n">
        <v>11764</v>
      </c>
      <c r="B384" s="72" t="n">
        <v>45463.58819444444</v>
      </c>
      <c r="C384" t="inlineStr">
        <is>
          <t>Atlántico</t>
        </is>
      </c>
      <c r="D384" t="inlineStr">
        <is>
          <t>Barranquilla</t>
        </is>
      </c>
      <c r="E384" t="inlineStr">
        <is>
          <t>Belleza</t>
        </is>
      </c>
      <c r="F384" t="inlineStr">
        <is>
          <t>Tienda física</t>
        </is>
      </c>
      <c r="G384" t="inlineStr">
        <is>
          <t>2. Carrito</t>
        </is>
      </c>
      <c r="H384" t="n">
        <v>2</v>
      </c>
      <c r="I384" s="73" t="n">
        <v>59500</v>
      </c>
      <c r="J384" s="73" t="n">
        <v>119000</v>
      </c>
      <c r="K384" s="73" t="n">
        <v>73650</v>
      </c>
    </row>
    <row r="385">
      <c r="A385" t="n">
        <v>10874</v>
      </c>
      <c r="B385" s="72" t="n">
        <v>45463.65486111111</v>
      </c>
      <c r="C385" t="inlineStr">
        <is>
          <t>Bogotá D.C.</t>
        </is>
      </c>
      <c r="D385" t="inlineStr">
        <is>
          <t>Bogotá</t>
        </is>
      </c>
      <c r="E385" t="inlineStr">
        <is>
          <t>Deportes</t>
        </is>
      </c>
      <c r="F385" t="inlineStr">
        <is>
          <t>Marketplace</t>
        </is>
      </c>
      <c r="G385" t="inlineStr">
        <is>
          <t>2. Carrito</t>
        </is>
      </c>
      <c r="H385" t="n">
        <v>5</v>
      </c>
      <c r="I385" s="73" t="n">
        <v>153900</v>
      </c>
      <c r="J385" s="73" t="n">
        <v>769500</v>
      </c>
      <c r="K385" s="73" t="n">
        <v>462696</v>
      </c>
    </row>
    <row r="386">
      <c r="A386" t="n">
        <v>10721</v>
      </c>
      <c r="B386" s="72" t="n">
        <v>45463.73958333334</v>
      </c>
      <c r="C386" t="inlineStr">
        <is>
          <t>Meta</t>
        </is>
      </c>
      <c r="D386" t="inlineStr">
        <is>
          <t>Villavicencio</t>
        </is>
      </c>
      <c r="E386" t="inlineStr">
        <is>
          <t>Moda</t>
        </is>
      </c>
      <c r="F386" t="inlineStr">
        <is>
          <t>Web</t>
        </is>
      </c>
      <c r="G386" t="inlineStr">
        <is>
          <t>3. Pago</t>
        </is>
      </c>
      <c r="H386" t="n">
        <v>2</v>
      </c>
      <c r="I386" s="73" t="n">
        <v>84700</v>
      </c>
      <c r="J386" s="73" t="n">
        <v>169400</v>
      </c>
      <c r="K386" s="73" t="n">
        <v>105155</v>
      </c>
    </row>
    <row r="387">
      <c r="A387" t="n">
        <v>11112</v>
      </c>
      <c r="B387" s="72" t="n">
        <v>45463.74930555555</v>
      </c>
      <c r="C387" t="inlineStr">
        <is>
          <t>Atlántico</t>
        </is>
      </c>
      <c r="D387" t="inlineStr">
        <is>
          <t>Barranquilla</t>
        </is>
      </c>
      <c r="E387" t="inlineStr">
        <is>
          <t>Moda</t>
        </is>
      </c>
      <c r="F387" t="inlineStr">
        <is>
          <t>Web</t>
        </is>
      </c>
      <c r="G387" t="inlineStr">
        <is>
          <t>1. Visita</t>
        </is>
      </c>
      <c r="H387" t="n">
        <v>4</v>
      </c>
      <c r="I387" s="73" t="n">
        <v>84500</v>
      </c>
      <c r="J387" s="73" t="n">
        <v>338000</v>
      </c>
      <c r="K387" s="73" t="n">
        <v>221171</v>
      </c>
    </row>
    <row r="388">
      <c r="A388" t="n">
        <v>12089</v>
      </c>
      <c r="B388" s="72" t="n">
        <v>45463.77430555555</v>
      </c>
      <c r="C388" t="inlineStr">
        <is>
          <t>Bogotá D.C.</t>
        </is>
      </c>
      <c r="D388" t="inlineStr">
        <is>
          <t>Bogotá</t>
        </is>
      </c>
      <c r="E388" t="inlineStr">
        <is>
          <t>Hogar</t>
        </is>
      </c>
      <c r="F388" t="inlineStr">
        <is>
          <t>Web</t>
        </is>
      </c>
      <c r="G388" t="inlineStr">
        <is>
          <t>3. Pago</t>
        </is>
      </c>
      <c r="H388" t="n">
        <v>2</v>
      </c>
      <c r="I388" s="73" t="n">
        <v>236900</v>
      </c>
      <c r="J388" s="73" t="n">
        <v>473800</v>
      </c>
      <c r="K388" s="73" t="n">
        <v>332242</v>
      </c>
    </row>
    <row r="389">
      <c r="A389" t="n">
        <v>12034</v>
      </c>
      <c r="B389" s="72" t="n">
        <v>45463.85486111111</v>
      </c>
      <c r="C389" t="inlineStr">
        <is>
          <t>Risaralda</t>
        </is>
      </c>
      <c r="D389" t="inlineStr">
        <is>
          <t>Pereira</t>
        </is>
      </c>
      <c r="E389" t="inlineStr">
        <is>
          <t>Belleza</t>
        </is>
      </c>
      <c r="F389" t="inlineStr">
        <is>
          <t>Web</t>
        </is>
      </c>
      <c r="G389" t="inlineStr">
        <is>
          <t>1. Visita</t>
        </is>
      </c>
      <c r="H389" t="n">
        <v>4</v>
      </c>
      <c r="I389" s="73" t="n">
        <v>80700</v>
      </c>
      <c r="J389" s="73" t="n">
        <v>322800</v>
      </c>
      <c r="K389" s="73" t="n">
        <v>214306</v>
      </c>
    </row>
    <row r="390">
      <c r="A390" t="n">
        <v>12046</v>
      </c>
      <c r="B390" s="72" t="n">
        <v>45463.87013888889</v>
      </c>
      <c r="C390" t="inlineStr">
        <is>
          <t>Santander</t>
        </is>
      </c>
      <c r="D390" t="inlineStr">
        <is>
          <t>Bucaramanga</t>
        </is>
      </c>
      <c r="E390" t="inlineStr">
        <is>
          <t>Deportes</t>
        </is>
      </c>
      <c r="F390" t="inlineStr">
        <is>
          <t>Marketplace</t>
        </is>
      </c>
      <c r="G390" t="inlineStr">
        <is>
          <t>1. Visita</t>
        </is>
      </c>
      <c r="H390" t="n">
        <v>1</v>
      </c>
      <c r="I390" s="73" t="n">
        <v>185900</v>
      </c>
      <c r="J390" s="73" t="n">
        <v>185900</v>
      </c>
      <c r="K390" s="73" t="n">
        <v>110283</v>
      </c>
    </row>
    <row r="391">
      <c r="A391" t="n">
        <v>10129</v>
      </c>
      <c r="B391" s="72" t="n">
        <v>45464.56458333333</v>
      </c>
      <c r="C391" t="inlineStr">
        <is>
          <t>Meta</t>
        </is>
      </c>
      <c r="D391" t="inlineStr">
        <is>
          <t>Villavicencio</t>
        </is>
      </c>
      <c r="E391" t="inlineStr">
        <is>
          <t>Hogar</t>
        </is>
      </c>
      <c r="F391" t="inlineStr">
        <is>
          <t>Marketplace</t>
        </is>
      </c>
      <c r="G391" t="inlineStr">
        <is>
          <t>1. Visita</t>
        </is>
      </c>
      <c r="H391" t="n">
        <v>1</v>
      </c>
      <c r="I391" s="73" t="n">
        <v>152700</v>
      </c>
      <c r="J391" s="73" t="n">
        <v>175605</v>
      </c>
      <c r="K391" s="73" t="n">
        <v>101904</v>
      </c>
    </row>
    <row r="392">
      <c r="A392" t="n">
        <v>11878</v>
      </c>
      <c r="B392" s="72" t="n">
        <v>45464.80416666667</v>
      </c>
      <c r="C392" t="inlineStr">
        <is>
          <t>Bogotá D.C.</t>
        </is>
      </c>
      <c r="D392" t="inlineStr">
        <is>
          <t>Bogotá</t>
        </is>
      </c>
      <c r="E392" t="inlineStr">
        <is>
          <t>Deportes</t>
        </is>
      </c>
      <c r="F392" t="inlineStr">
        <is>
          <t>App</t>
        </is>
      </c>
      <c r="G392" t="inlineStr">
        <is>
          <t>1. Visita</t>
        </is>
      </c>
      <c r="H392" t="n">
        <v>4</v>
      </c>
      <c r="I392" s="73" t="n">
        <v>113900</v>
      </c>
      <c r="J392" s="73" t="n">
        <v>523940</v>
      </c>
      <c r="K392" s="73" t="n">
        <v>380892</v>
      </c>
    </row>
    <row r="393">
      <c r="A393" t="n">
        <v>11471</v>
      </c>
      <c r="B393" s="72" t="n">
        <v>45464.81319444445</v>
      </c>
      <c r="C393" t="inlineStr">
        <is>
          <t>Bolívar</t>
        </is>
      </c>
      <c r="D393" t="inlineStr">
        <is>
          <t>Cartagena</t>
        </is>
      </c>
      <c r="E393" t="inlineStr">
        <is>
          <t>Belleza</t>
        </is>
      </c>
      <c r="F393" t="inlineStr">
        <is>
          <t>Tienda física</t>
        </is>
      </c>
      <c r="G393" t="inlineStr">
        <is>
          <t>1. Visita</t>
        </is>
      </c>
      <c r="H393" t="n">
        <v>4</v>
      </c>
      <c r="I393" s="73" t="n">
        <v>84300</v>
      </c>
      <c r="J393" s="73" t="n">
        <v>387780</v>
      </c>
      <c r="K393" s="73" t="n">
        <v>260677</v>
      </c>
    </row>
    <row r="394">
      <c r="A394" t="n">
        <v>12108</v>
      </c>
      <c r="B394" s="72" t="n">
        <v>45464.87222222222</v>
      </c>
      <c r="C394" t="inlineStr">
        <is>
          <t>Risaralda</t>
        </is>
      </c>
      <c r="D394" t="inlineStr">
        <is>
          <t>Pereira</t>
        </is>
      </c>
      <c r="E394" t="inlineStr">
        <is>
          <t>Hogar</t>
        </is>
      </c>
      <c r="F394" t="inlineStr">
        <is>
          <t>Tienda física</t>
        </is>
      </c>
      <c r="G394" t="inlineStr">
        <is>
          <t>2. Carrito</t>
        </is>
      </c>
      <c r="H394" t="n">
        <v>4</v>
      </c>
      <c r="I394" s="73" t="n">
        <v>205800</v>
      </c>
      <c r="J394" s="73" t="n">
        <v>946680</v>
      </c>
      <c r="K394" s="73" t="n">
        <v>609545</v>
      </c>
    </row>
    <row r="395">
      <c r="A395" t="n">
        <v>11306</v>
      </c>
      <c r="B395" s="72" t="n">
        <v>45464.99583333333</v>
      </c>
      <c r="C395" t="inlineStr">
        <is>
          <t>Bogotá D.C.</t>
        </is>
      </c>
      <c r="D395" t="inlineStr">
        <is>
          <t>Bogotá</t>
        </is>
      </c>
      <c r="E395" t="inlineStr">
        <is>
          <t>Juguetes</t>
        </is>
      </c>
      <c r="F395" t="inlineStr">
        <is>
          <t>Web</t>
        </is>
      </c>
      <c r="G395" t="inlineStr">
        <is>
          <t>1. Visita</t>
        </is>
      </c>
      <c r="H395" t="n">
        <v>1</v>
      </c>
      <c r="I395" s="73" t="n">
        <v>68300</v>
      </c>
      <c r="J395" s="73" t="n">
        <v>78545</v>
      </c>
      <c r="K395" s="73" t="n">
        <v>49855</v>
      </c>
    </row>
    <row r="396">
      <c r="A396" t="n">
        <v>11702</v>
      </c>
      <c r="B396" s="72" t="n">
        <v>45465.64652777778</v>
      </c>
      <c r="C396" t="inlineStr">
        <is>
          <t>Bolívar</t>
        </is>
      </c>
      <c r="D396" t="inlineStr">
        <is>
          <t>Cartagena</t>
        </is>
      </c>
      <c r="E396" t="inlineStr">
        <is>
          <t>Moda</t>
        </is>
      </c>
      <c r="F396" t="inlineStr">
        <is>
          <t>Tienda física</t>
        </is>
      </c>
      <c r="G396" t="inlineStr">
        <is>
          <t>1. Visita</t>
        </is>
      </c>
      <c r="H396" t="n">
        <v>1</v>
      </c>
      <c r="I396" s="73" t="n">
        <v>118400</v>
      </c>
      <c r="J396" s="73" t="n">
        <v>136160</v>
      </c>
      <c r="K396" s="73" t="n">
        <v>92998</v>
      </c>
    </row>
    <row r="397">
      <c r="A397" t="n">
        <v>11443</v>
      </c>
      <c r="B397" s="72" t="n">
        <v>45466.50486111111</v>
      </c>
      <c r="C397" t="inlineStr">
        <is>
          <t>Antioquia</t>
        </is>
      </c>
      <c r="D397" t="inlineStr">
        <is>
          <t>Medellín</t>
        </is>
      </c>
      <c r="E397" t="inlineStr">
        <is>
          <t>Deportes</t>
        </is>
      </c>
      <c r="F397" t="inlineStr">
        <is>
          <t>Tienda física</t>
        </is>
      </c>
      <c r="G397" t="inlineStr">
        <is>
          <t>2. Carrito</t>
        </is>
      </c>
      <c r="H397" t="n">
        <v>3</v>
      </c>
      <c r="I397" s="73" t="n">
        <v>141300</v>
      </c>
      <c r="J397" s="73" t="n">
        <v>487485</v>
      </c>
      <c r="K397" s="73" t="n">
        <v>312554</v>
      </c>
    </row>
    <row r="398">
      <c r="A398" t="n">
        <v>10951</v>
      </c>
      <c r="B398" s="72" t="n">
        <v>45466.50555555556</v>
      </c>
      <c r="C398" t="inlineStr">
        <is>
          <t>Antioquia</t>
        </is>
      </c>
      <c r="D398" t="inlineStr">
        <is>
          <t>Medellín</t>
        </is>
      </c>
      <c r="E398" t="inlineStr">
        <is>
          <t>Moda</t>
        </is>
      </c>
      <c r="F398" t="inlineStr">
        <is>
          <t>App</t>
        </is>
      </c>
      <c r="G398" t="inlineStr">
        <is>
          <t>3. Pago</t>
        </is>
      </c>
      <c r="H398" t="n">
        <v>4</v>
      </c>
      <c r="I398" s="73" t="n">
        <v>88600</v>
      </c>
      <c r="J398" s="73" t="n">
        <v>407560</v>
      </c>
      <c r="K398" s="73" t="n">
        <v>279885</v>
      </c>
    </row>
    <row r="399">
      <c r="A399" t="n">
        <v>12372</v>
      </c>
      <c r="B399" s="72" t="n">
        <v>45466.54583333333</v>
      </c>
      <c r="C399" t="inlineStr">
        <is>
          <t>Huila</t>
        </is>
      </c>
      <c r="D399" t="inlineStr">
        <is>
          <t>Neiva</t>
        </is>
      </c>
      <c r="E399" t="inlineStr">
        <is>
          <t>Juguetes</t>
        </is>
      </c>
      <c r="F399" t="inlineStr">
        <is>
          <t>App</t>
        </is>
      </c>
      <c r="G399" t="inlineStr">
        <is>
          <t>3. Pago</t>
        </is>
      </c>
      <c r="H399" t="n">
        <v>2</v>
      </c>
      <c r="I399" s="73" t="n">
        <v>102900</v>
      </c>
      <c r="J399" s="73" t="n">
        <v>236670</v>
      </c>
      <c r="K399" s="73" t="n">
        <v>156291</v>
      </c>
    </row>
    <row r="400">
      <c r="A400" t="n">
        <v>10884</v>
      </c>
      <c r="B400" s="72" t="n">
        <v>45466.59513888889</v>
      </c>
      <c r="C400" t="inlineStr">
        <is>
          <t>Atlántico</t>
        </is>
      </c>
      <c r="D400" t="inlineStr">
        <is>
          <t>Barranquilla</t>
        </is>
      </c>
      <c r="E400" t="inlineStr">
        <is>
          <t>Hogar</t>
        </is>
      </c>
      <c r="F400" t="inlineStr">
        <is>
          <t>Tienda física</t>
        </is>
      </c>
      <c r="G400" t="inlineStr">
        <is>
          <t>1. Visita</t>
        </is>
      </c>
      <c r="H400" t="n">
        <v>2</v>
      </c>
      <c r="I400" s="73" t="n">
        <v>241800</v>
      </c>
      <c r="J400" s="73" t="n">
        <v>556140</v>
      </c>
      <c r="K400" s="73" t="n">
        <v>371071</v>
      </c>
    </row>
    <row r="401">
      <c r="A401" t="n">
        <v>10282</v>
      </c>
      <c r="B401" s="72" t="n">
        <v>45466.70486111111</v>
      </c>
      <c r="C401" t="inlineStr">
        <is>
          <t>Meta</t>
        </is>
      </c>
      <c r="D401" t="inlineStr">
        <is>
          <t>Villavicencio</t>
        </is>
      </c>
      <c r="E401" t="inlineStr">
        <is>
          <t>Juguetes</t>
        </is>
      </c>
      <c r="F401" t="inlineStr">
        <is>
          <t>Tienda física</t>
        </is>
      </c>
      <c r="G401" t="inlineStr">
        <is>
          <t>1. Visita</t>
        </is>
      </c>
      <c r="H401" t="n">
        <v>2</v>
      </c>
      <c r="I401" s="73" t="n">
        <v>95900</v>
      </c>
      <c r="J401" s="73" t="n">
        <v>220570</v>
      </c>
      <c r="K401" s="73" t="n">
        <v>156031</v>
      </c>
    </row>
    <row r="402">
      <c r="A402" t="n">
        <v>12387</v>
      </c>
      <c r="B402" s="72" t="n">
        <v>45466.8625</v>
      </c>
      <c r="C402" t="inlineStr">
        <is>
          <t>Santander</t>
        </is>
      </c>
      <c r="D402" t="inlineStr">
        <is>
          <t>Bucaramanga</t>
        </is>
      </c>
      <c r="E402" t="inlineStr">
        <is>
          <t>Belleza</t>
        </is>
      </c>
      <c r="F402" t="inlineStr">
        <is>
          <t>Web</t>
        </is>
      </c>
      <c r="G402" t="inlineStr">
        <is>
          <t>1. Visita</t>
        </is>
      </c>
      <c r="H402" t="n">
        <v>4</v>
      </c>
      <c r="I402" s="73" t="n">
        <v>82500</v>
      </c>
      <c r="J402" s="73" t="n">
        <v>379500</v>
      </c>
      <c r="K402" s="73" t="n">
        <v>239777</v>
      </c>
    </row>
    <row r="403">
      <c r="A403" t="n">
        <v>11296</v>
      </c>
      <c r="B403" s="72" t="n">
        <v>45467.67986111111</v>
      </c>
      <c r="C403" t="inlineStr">
        <is>
          <t>Bogotá D.C.</t>
        </is>
      </c>
      <c r="D403" t="inlineStr">
        <is>
          <t>Bogotá</t>
        </is>
      </c>
      <c r="E403" t="inlineStr">
        <is>
          <t>Tecnología</t>
        </is>
      </c>
      <c r="F403" t="inlineStr">
        <is>
          <t>App</t>
        </is>
      </c>
      <c r="G403" t="inlineStr">
        <is>
          <t>3. Pago</t>
        </is>
      </c>
      <c r="H403" t="n">
        <v>4</v>
      </c>
      <c r="I403" s="73" t="n">
        <v>775200</v>
      </c>
      <c r="J403" s="73" t="n">
        <v>3100800</v>
      </c>
      <c r="K403" s="73" t="n">
        <v>2082566</v>
      </c>
    </row>
    <row r="404">
      <c r="A404" t="n">
        <v>10509</v>
      </c>
      <c r="B404" s="72" t="n">
        <v>45467.68055555555</v>
      </c>
      <c r="C404" t="inlineStr">
        <is>
          <t>Nariño</t>
        </is>
      </c>
      <c r="D404" t="inlineStr">
        <is>
          <t>Pasto</t>
        </is>
      </c>
      <c r="E404" t="inlineStr">
        <is>
          <t>Juguetes</t>
        </is>
      </c>
      <c r="F404" t="inlineStr">
        <is>
          <t>Tienda física</t>
        </is>
      </c>
      <c r="G404" t="inlineStr">
        <is>
          <t>3. Pago</t>
        </is>
      </c>
      <c r="H404" t="n">
        <v>5</v>
      </c>
      <c r="I404" s="73" t="n">
        <v>76000</v>
      </c>
      <c r="J404" s="73" t="n">
        <v>380000</v>
      </c>
      <c r="K404" s="73" t="n">
        <v>253349</v>
      </c>
    </row>
    <row r="405">
      <c r="A405" t="n">
        <v>10488</v>
      </c>
      <c r="B405" s="72" t="n">
        <v>45467.74513888889</v>
      </c>
      <c r="C405" t="inlineStr">
        <is>
          <t>Bogotá D.C.</t>
        </is>
      </c>
      <c r="D405" t="inlineStr">
        <is>
          <t>Bogotá</t>
        </is>
      </c>
      <c r="E405" t="inlineStr">
        <is>
          <t>Hogar</t>
        </is>
      </c>
      <c r="F405" t="inlineStr">
        <is>
          <t>App</t>
        </is>
      </c>
      <c r="G405" t="inlineStr">
        <is>
          <t>2. Carrito</t>
        </is>
      </c>
      <c r="H405" t="n">
        <v>4</v>
      </c>
      <c r="I405" s="73" t="n">
        <v>150200</v>
      </c>
      <c r="J405" s="73" t="n">
        <v>600800</v>
      </c>
      <c r="K405" s="73" t="n">
        <v>338664</v>
      </c>
    </row>
    <row r="406">
      <c r="A406" t="n">
        <v>10272</v>
      </c>
      <c r="B406" s="72" t="n">
        <v>45467.93611111111</v>
      </c>
      <c r="C406" t="inlineStr">
        <is>
          <t>Antioquia</t>
        </is>
      </c>
      <c r="D406" t="inlineStr">
        <is>
          <t>Medellín</t>
        </is>
      </c>
      <c r="E406" t="inlineStr">
        <is>
          <t>Hogar</t>
        </is>
      </c>
      <c r="F406" t="inlineStr">
        <is>
          <t>Web</t>
        </is>
      </c>
      <c r="G406" t="inlineStr">
        <is>
          <t>4. Compra</t>
        </is>
      </c>
      <c r="H406" t="n">
        <v>5</v>
      </c>
      <c r="I406" s="73" t="n">
        <v>222600</v>
      </c>
      <c r="J406" s="73" t="n">
        <v>1113000</v>
      </c>
      <c r="K406" s="73" t="n">
        <v>818614</v>
      </c>
    </row>
    <row r="407">
      <c r="A407" t="n">
        <v>12001</v>
      </c>
      <c r="B407" s="72" t="n">
        <v>45468.39444444444</v>
      </c>
      <c r="C407" t="inlineStr">
        <is>
          <t>Bogotá D.C.</t>
        </is>
      </c>
      <c r="D407" t="inlineStr">
        <is>
          <t>Bogotá</t>
        </is>
      </c>
      <c r="E407" t="inlineStr">
        <is>
          <t>Hogar</t>
        </is>
      </c>
      <c r="F407" t="inlineStr">
        <is>
          <t>Web</t>
        </is>
      </c>
      <c r="G407" t="inlineStr">
        <is>
          <t>1. Visita</t>
        </is>
      </c>
      <c r="H407" t="n">
        <v>3</v>
      </c>
      <c r="I407" s="73" t="n">
        <v>215300</v>
      </c>
      <c r="J407" s="73" t="n">
        <v>645900</v>
      </c>
      <c r="K407" s="73" t="n">
        <v>424790</v>
      </c>
    </row>
    <row r="408">
      <c r="A408" t="n">
        <v>11153</v>
      </c>
      <c r="B408" s="72" t="n">
        <v>45468.65833333333</v>
      </c>
      <c r="C408" t="inlineStr">
        <is>
          <t>Antioquia</t>
        </is>
      </c>
      <c r="D408" t="inlineStr">
        <is>
          <t>Medellín</t>
        </is>
      </c>
      <c r="E408" t="inlineStr">
        <is>
          <t>Tecnología</t>
        </is>
      </c>
      <c r="F408" t="inlineStr">
        <is>
          <t>Tienda física</t>
        </is>
      </c>
      <c r="G408" t="inlineStr">
        <is>
          <t>1. Visita</t>
        </is>
      </c>
      <c r="H408" t="n">
        <v>1</v>
      </c>
      <c r="I408" s="73" t="n">
        <v>632200</v>
      </c>
      <c r="J408" s="73" t="n">
        <v>632200</v>
      </c>
      <c r="K408" s="73" t="n">
        <v>389203</v>
      </c>
    </row>
    <row r="409">
      <c r="A409" t="n">
        <v>12044</v>
      </c>
      <c r="B409" s="72" t="n">
        <v>45468.83611111111</v>
      </c>
      <c r="C409" t="inlineStr">
        <is>
          <t>Bolívar</t>
        </is>
      </c>
      <c r="D409" t="inlineStr">
        <is>
          <t>Cartagena</t>
        </is>
      </c>
      <c r="E409" t="inlineStr">
        <is>
          <t>Deportes</t>
        </is>
      </c>
      <c r="F409" t="inlineStr">
        <is>
          <t>Web</t>
        </is>
      </c>
      <c r="G409" t="inlineStr">
        <is>
          <t>1. Visita</t>
        </is>
      </c>
      <c r="H409" t="n">
        <v>3</v>
      </c>
      <c r="I409" s="73" t="n">
        <v>177600</v>
      </c>
      <c r="J409" s="73" t="n">
        <v>532800</v>
      </c>
      <c r="K409" s="73" t="n">
        <v>380436</v>
      </c>
    </row>
    <row r="410">
      <c r="A410" t="n">
        <v>10785</v>
      </c>
      <c r="B410" s="72" t="n">
        <v>45469.44166666667</v>
      </c>
      <c r="C410" t="inlineStr">
        <is>
          <t>Antioquia</t>
        </is>
      </c>
      <c r="D410" t="inlineStr">
        <is>
          <t>Medellín</t>
        </is>
      </c>
      <c r="E410" t="inlineStr">
        <is>
          <t>Hogar</t>
        </is>
      </c>
      <c r="F410" t="inlineStr">
        <is>
          <t>Web</t>
        </is>
      </c>
      <c r="G410" t="inlineStr">
        <is>
          <t>2. Carrito</t>
        </is>
      </c>
      <c r="H410" t="n">
        <v>3</v>
      </c>
      <c r="I410" s="73" t="n">
        <v>253200</v>
      </c>
      <c r="J410" s="73" t="n">
        <v>759600</v>
      </c>
      <c r="K410" s="73" t="n">
        <v>454616</v>
      </c>
    </row>
    <row r="411">
      <c r="A411" t="n">
        <v>12039</v>
      </c>
      <c r="B411" s="72" t="n">
        <v>45469.77916666667</v>
      </c>
      <c r="C411" t="inlineStr">
        <is>
          <t>Atlántico</t>
        </is>
      </c>
      <c r="D411" t="inlineStr">
        <is>
          <t>Barranquilla</t>
        </is>
      </c>
      <c r="E411" t="inlineStr">
        <is>
          <t>Belleza</t>
        </is>
      </c>
      <c r="F411" t="inlineStr">
        <is>
          <t>App</t>
        </is>
      </c>
      <c r="G411" t="inlineStr">
        <is>
          <t>1. Visita</t>
        </is>
      </c>
      <c r="H411" t="n">
        <v>5</v>
      </c>
      <c r="I411" s="73" t="n">
        <v>86700</v>
      </c>
      <c r="J411" s="73" t="n">
        <v>433500</v>
      </c>
      <c r="K411" s="73" t="n">
        <v>275813</v>
      </c>
    </row>
    <row r="412">
      <c r="A412" t="n">
        <v>12256</v>
      </c>
      <c r="B412" s="72" t="n">
        <v>45469.88472222222</v>
      </c>
      <c r="C412" t="inlineStr">
        <is>
          <t>Bogotá D.C.</t>
        </is>
      </c>
      <c r="D412" t="inlineStr">
        <is>
          <t>Bogotá</t>
        </is>
      </c>
      <c r="E412" t="inlineStr">
        <is>
          <t>Moda</t>
        </is>
      </c>
      <c r="F412" t="inlineStr">
        <is>
          <t>App</t>
        </is>
      </c>
      <c r="G412" t="inlineStr">
        <is>
          <t>3. Pago</t>
        </is>
      </c>
      <c r="H412" t="n">
        <v>3</v>
      </c>
      <c r="I412" s="73" t="n">
        <v>136600</v>
      </c>
      <c r="J412" s="73" t="n">
        <v>409800</v>
      </c>
      <c r="K412" s="73" t="n">
        <v>247235</v>
      </c>
    </row>
    <row r="413">
      <c r="A413" t="n">
        <v>11660</v>
      </c>
      <c r="B413" s="72" t="n">
        <v>45470.53819444445</v>
      </c>
      <c r="C413" t="inlineStr">
        <is>
          <t>Antioquia</t>
        </is>
      </c>
      <c r="D413" t="inlineStr">
        <is>
          <t>Medellín</t>
        </is>
      </c>
      <c r="E413" t="inlineStr">
        <is>
          <t>Deportes</t>
        </is>
      </c>
      <c r="F413" t="inlineStr">
        <is>
          <t>Web</t>
        </is>
      </c>
      <c r="G413" t="inlineStr">
        <is>
          <t>1. Visita</t>
        </is>
      </c>
      <c r="H413" t="n">
        <v>4</v>
      </c>
      <c r="I413" s="73" t="n">
        <v>184800</v>
      </c>
      <c r="J413" s="73" t="n">
        <v>739200</v>
      </c>
      <c r="K413" s="73" t="n">
        <v>538485</v>
      </c>
    </row>
    <row r="414">
      <c r="A414" t="n">
        <v>12048</v>
      </c>
      <c r="B414" s="72" t="n">
        <v>45470.55972222222</v>
      </c>
      <c r="C414" t="inlineStr">
        <is>
          <t>Bogotá D.C.</t>
        </is>
      </c>
      <c r="D414" t="inlineStr">
        <is>
          <t>Bogotá</t>
        </is>
      </c>
      <c r="E414" t="inlineStr">
        <is>
          <t>Deportes</t>
        </is>
      </c>
      <c r="F414" t="inlineStr">
        <is>
          <t>Web</t>
        </is>
      </c>
      <c r="G414" t="inlineStr">
        <is>
          <t>1. Visita</t>
        </is>
      </c>
      <c r="H414" t="n">
        <v>2</v>
      </c>
      <c r="I414" s="73" t="n">
        <v>190600</v>
      </c>
      <c r="J414" s="73" t="n">
        <v>381200</v>
      </c>
      <c r="K414" s="73" t="n">
        <v>266034</v>
      </c>
    </row>
    <row r="415">
      <c r="A415" t="n">
        <v>10438</v>
      </c>
      <c r="B415" s="72" t="n">
        <v>45470.61805555555</v>
      </c>
      <c r="C415" t="inlineStr">
        <is>
          <t>Bogotá D.C.</t>
        </is>
      </c>
      <c r="D415" t="inlineStr">
        <is>
          <t>Bogotá</t>
        </is>
      </c>
      <c r="E415" t="inlineStr">
        <is>
          <t>Hogar</t>
        </is>
      </c>
      <c r="F415" t="inlineStr">
        <is>
          <t>App</t>
        </is>
      </c>
      <c r="G415" t="inlineStr">
        <is>
          <t>1. Visita</t>
        </is>
      </c>
      <c r="H415" t="n">
        <v>4</v>
      </c>
      <c r="I415" s="73" t="n">
        <v>271300</v>
      </c>
      <c r="J415" s="73" t="n">
        <v>1085200</v>
      </c>
      <c r="K415" s="73" t="n">
        <v>699912</v>
      </c>
    </row>
    <row r="416">
      <c r="A416" t="n">
        <v>10910</v>
      </c>
      <c r="B416" s="72" t="n">
        <v>45471.32361111111</v>
      </c>
      <c r="C416" t="inlineStr">
        <is>
          <t>Antioquia</t>
        </is>
      </c>
      <c r="D416" t="inlineStr">
        <is>
          <t>Medellín</t>
        </is>
      </c>
      <c r="E416" t="inlineStr">
        <is>
          <t>Moda</t>
        </is>
      </c>
      <c r="F416" t="inlineStr">
        <is>
          <t>App</t>
        </is>
      </c>
      <c r="G416" t="inlineStr">
        <is>
          <t>1. Visita</t>
        </is>
      </c>
      <c r="H416" t="n">
        <v>1</v>
      </c>
      <c r="I416" s="73" t="n">
        <v>97900</v>
      </c>
      <c r="J416" s="73" t="n">
        <v>112585</v>
      </c>
      <c r="K416" s="73" t="n">
        <v>62498</v>
      </c>
    </row>
    <row r="417">
      <c r="A417" t="n">
        <v>11827</v>
      </c>
      <c r="B417" s="72" t="n">
        <v>45471.42013888889</v>
      </c>
      <c r="C417" t="inlineStr">
        <is>
          <t>Huila</t>
        </is>
      </c>
      <c r="D417" t="inlineStr">
        <is>
          <t>Neiva</t>
        </is>
      </c>
      <c r="E417" t="inlineStr">
        <is>
          <t>Hogar</t>
        </is>
      </c>
      <c r="F417" t="inlineStr">
        <is>
          <t>Tienda física</t>
        </is>
      </c>
      <c r="G417" t="inlineStr">
        <is>
          <t>1. Visita</t>
        </is>
      </c>
      <c r="H417" t="n">
        <v>4</v>
      </c>
      <c r="I417" s="73" t="n">
        <v>166600</v>
      </c>
      <c r="J417" s="73" t="n">
        <v>766360</v>
      </c>
      <c r="K417" s="73" t="n">
        <v>423335</v>
      </c>
    </row>
    <row r="418">
      <c r="A418" t="n">
        <v>10828</v>
      </c>
      <c r="B418" s="72" t="n">
        <v>45471.47430555556</v>
      </c>
      <c r="C418" t="inlineStr">
        <is>
          <t>Atlántico</t>
        </is>
      </c>
      <c r="D418" t="inlineStr">
        <is>
          <t>Barranquilla</t>
        </is>
      </c>
      <c r="E418" t="inlineStr">
        <is>
          <t>Belleza</t>
        </is>
      </c>
      <c r="F418" t="inlineStr">
        <is>
          <t>Tienda física</t>
        </is>
      </c>
      <c r="G418" t="inlineStr">
        <is>
          <t>2. Carrito</t>
        </is>
      </c>
      <c r="H418" t="n">
        <v>5</v>
      </c>
      <c r="I418" s="73" t="n">
        <v>65600</v>
      </c>
      <c r="J418" s="73" t="n">
        <v>377200</v>
      </c>
      <c r="K418" s="73" t="n">
        <v>230582</v>
      </c>
    </row>
    <row r="419">
      <c r="A419" t="n">
        <v>11066</v>
      </c>
      <c r="B419" s="72" t="n">
        <v>45471.49791666667</v>
      </c>
      <c r="C419" t="inlineStr">
        <is>
          <t>Santander</t>
        </is>
      </c>
      <c r="D419" t="inlineStr">
        <is>
          <t>Bucaramanga</t>
        </is>
      </c>
      <c r="E419" t="inlineStr">
        <is>
          <t>Belleza</t>
        </is>
      </c>
      <c r="F419" t="inlineStr">
        <is>
          <t>App</t>
        </is>
      </c>
      <c r="G419" t="inlineStr">
        <is>
          <t>4. Compra</t>
        </is>
      </c>
      <c r="H419" t="n">
        <v>4</v>
      </c>
      <c r="I419" s="73" t="n">
        <v>52300</v>
      </c>
      <c r="J419" s="73" t="n">
        <v>240580</v>
      </c>
      <c r="K419" s="73" t="n">
        <v>172572</v>
      </c>
    </row>
    <row r="420">
      <c r="A420" t="n">
        <v>10978</v>
      </c>
      <c r="B420" s="72" t="n">
        <v>45471.61805555555</v>
      </c>
      <c r="C420" t="inlineStr">
        <is>
          <t>Bogotá D.C.</t>
        </is>
      </c>
      <c r="D420" t="inlineStr">
        <is>
          <t>Bogotá</t>
        </is>
      </c>
      <c r="E420" t="inlineStr">
        <is>
          <t>Tecnología</t>
        </is>
      </c>
      <c r="F420" t="inlineStr">
        <is>
          <t>Marketplace</t>
        </is>
      </c>
      <c r="G420" t="inlineStr">
        <is>
          <t>2. Carrito</t>
        </is>
      </c>
      <c r="H420" t="n">
        <v>5</v>
      </c>
      <c r="I420" s="73" t="n">
        <v>664500</v>
      </c>
      <c r="J420" s="73" t="n">
        <v>3820875</v>
      </c>
      <c r="K420" s="73" t="n">
        <v>2765232</v>
      </c>
    </row>
    <row r="421">
      <c r="A421" t="n">
        <v>11792</v>
      </c>
      <c r="B421" s="72" t="n">
        <v>45472.40069444444</v>
      </c>
      <c r="C421" t="inlineStr">
        <is>
          <t>Bogotá D.C.</t>
        </is>
      </c>
      <c r="D421" t="inlineStr">
        <is>
          <t>Bogotá</t>
        </is>
      </c>
      <c r="E421" t="inlineStr">
        <is>
          <t>Deportes</t>
        </is>
      </c>
      <c r="F421" t="inlineStr">
        <is>
          <t>App</t>
        </is>
      </c>
      <c r="G421" t="inlineStr">
        <is>
          <t>2. Carrito</t>
        </is>
      </c>
      <c r="H421" t="n">
        <v>1</v>
      </c>
      <c r="I421" s="73" t="n">
        <v>141400</v>
      </c>
      <c r="J421" s="73" t="n">
        <v>162610</v>
      </c>
      <c r="K421" s="73" t="n">
        <v>93911</v>
      </c>
    </row>
    <row r="422">
      <c r="A422" t="n">
        <v>11913</v>
      </c>
      <c r="B422" s="72" t="n">
        <v>45472.53819444445</v>
      </c>
      <c r="C422" t="inlineStr">
        <is>
          <t>Nariño</t>
        </is>
      </c>
      <c r="D422" t="inlineStr">
        <is>
          <t>Pasto</t>
        </is>
      </c>
      <c r="E422" t="inlineStr">
        <is>
          <t>Hogar</t>
        </is>
      </c>
      <c r="F422" t="inlineStr">
        <is>
          <t>App</t>
        </is>
      </c>
      <c r="G422" t="inlineStr">
        <is>
          <t>2. Carrito</t>
        </is>
      </c>
      <c r="H422" t="n">
        <v>4</v>
      </c>
      <c r="I422" s="73" t="n">
        <v>176400</v>
      </c>
      <c r="J422" s="73" t="n">
        <v>811440</v>
      </c>
      <c r="K422" s="73" t="n">
        <v>472842</v>
      </c>
    </row>
    <row r="423">
      <c r="A423" t="n">
        <v>10347</v>
      </c>
      <c r="B423" s="72" t="n">
        <v>45472.60208333333</v>
      </c>
      <c r="C423" t="inlineStr">
        <is>
          <t>Antioquia</t>
        </is>
      </c>
      <c r="D423" t="inlineStr">
        <is>
          <t>Medellín</t>
        </is>
      </c>
      <c r="E423" t="inlineStr">
        <is>
          <t>Deportes</t>
        </is>
      </c>
      <c r="F423" t="inlineStr">
        <is>
          <t>App</t>
        </is>
      </c>
      <c r="G423" t="inlineStr">
        <is>
          <t>1. Visita</t>
        </is>
      </c>
      <c r="H423" t="n">
        <v>1</v>
      </c>
      <c r="I423" s="73" t="n">
        <v>196900</v>
      </c>
      <c r="J423" s="73" t="n">
        <v>226435</v>
      </c>
      <c r="K423" s="73" t="n">
        <v>164400</v>
      </c>
    </row>
    <row r="424">
      <c r="A424" t="n">
        <v>11769</v>
      </c>
      <c r="B424" s="72" t="n">
        <v>45472.81180555555</v>
      </c>
      <c r="C424" t="inlineStr">
        <is>
          <t>Valle del Cauca</t>
        </is>
      </c>
      <c r="D424" t="inlineStr">
        <is>
          <t>Cali</t>
        </is>
      </c>
      <c r="E424" t="inlineStr">
        <is>
          <t>Juguetes</t>
        </is>
      </c>
      <c r="F424" t="inlineStr">
        <is>
          <t>Tienda física</t>
        </is>
      </c>
      <c r="G424" t="inlineStr">
        <is>
          <t>2. Carrito</t>
        </is>
      </c>
      <c r="H424" t="n">
        <v>3</v>
      </c>
      <c r="I424" s="73" t="n">
        <v>112300</v>
      </c>
      <c r="J424" s="73" t="n">
        <v>387435</v>
      </c>
      <c r="K424" s="73" t="n">
        <v>259858</v>
      </c>
    </row>
    <row r="425">
      <c r="A425" t="n">
        <v>10207</v>
      </c>
      <c r="B425" s="72" t="n">
        <v>45472.87847222222</v>
      </c>
      <c r="C425" t="inlineStr">
        <is>
          <t>Bogotá D.C.</t>
        </is>
      </c>
      <c r="D425" t="inlineStr">
        <is>
          <t>Bogotá</t>
        </is>
      </c>
      <c r="E425" t="inlineStr">
        <is>
          <t>Belleza</t>
        </is>
      </c>
      <c r="F425" t="inlineStr">
        <is>
          <t>Tienda física</t>
        </is>
      </c>
      <c r="G425" t="inlineStr">
        <is>
          <t>1. Visita</t>
        </is>
      </c>
      <c r="H425" t="n">
        <v>1</v>
      </c>
      <c r="I425" s="73" t="n">
        <v>89500</v>
      </c>
      <c r="J425" s="73" t="n">
        <v>102925</v>
      </c>
      <c r="K425" s="73" t="n">
        <v>73858</v>
      </c>
    </row>
    <row r="426">
      <c r="A426" t="n">
        <v>11449</v>
      </c>
      <c r="B426" s="72" t="n">
        <v>45473.04652777778</v>
      </c>
      <c r="C426" t="inlineStr">
        <is>
          <t>Atlántico</t>
        </is>
      </c>
      <c r="D426" t="inlineStr">
        <is>
          <t>Barranquilla</t>
        </is>
      </c>
      <c r="E426" t="inlineStr">
        <is>
          <t>Hogar</t>
        </is>
      </c>
      <c r="F426" t="inlineStr">
        <is>
          <t>Tienda física</t>
        </is>
      </c>
      <c r="G426" t="inlineStr">
        <is>
          <t>1. Visita</t>
        </is>
      </c>
      <c r="H426" t="n">
        <v>5</v>
      </c>
      <c r="I426" s="73" t="n">
        <v>178600</v>
      </c>
      <c r="J426" s="73" t="n">
        <v>1026950</v>
      </c>
      <c r="K426" s="73" t="n">
        <v>678631</v>
      </c>
    </row>
    <row r="427">
      <c r="A427" t="n">
        <v>10014</v>
      </c>
      <c r="B427" s="72" t="n">
        <v>45473.28125</v>
      </c>
      <c r="C427" t="inlineStr">
        <is>
          <t>Bogotá D.C.</t>
        </is>
      </c>
      <c r="D427" t="inlineStr">
        <is>
          <t>Bogotá</t>
        </is>
      </c>
      <c r="E427" t="inlineStr">
        <is>
          <t>Deportes</t>
        </is>
      </c>
      <c r="F427" t="inlineStr">
        <is>
          <t>Web</t>
        </is>
      </c>
      <c r="G427" t="inlineStr">
        <is>
          <t>1. Visita</t>
        </is>
      </c>
      <c r="H427" t="n">
        <v>1</v>
      </c>
      <c r="I427" s="73" t="n">
        <v>207900</v>
      </c>
      <c r="J427" s="73" t="n">
        <v>239085</v>
      </c>
      <c r="K427" s="73" t="n">
        <v>148578</v>
      </c>
    </row>
    <row r="428">
      <c r="A428" t="n">
        <v>10844</v>
      </c>
      <c r="B428" s="72" t="n">
        <v>45473.44583333333</v>
      </c>
      <c r="C428" t="inlineStr">
        <is>
          <t>Valle del Cauca</t>
        </is>
      </c>
      <c r="D428" t="inlineStr">
        <is>
          <t>Cali</t>
        </is>
      </c>
      <c r="E428" t="inlineStr">
        <is>
          <t>Juguetes</t>
        </is>
      </c>
      <c r="F428" t="inlineStr">
        <is>
          <t>App</t>
        </is>
      </c>
      <c r="G428" t="inlineStr">
        <is>
          <t>2. Carrito</t>
        </is>
      </c>
      <c r="H428" t="n">
        <v>4</v>
      </c>
      <c r="I428" s="73" t="n">
        <v>90500</v>
      </c>
      <c r="J428" s="73" t="n">
        <v>416300</v>
      </c>
      <c r="K428" s="73" t="n">
        <v>234394</v>
      </c>
    </row>
    <row r="429">
      <c r="A429" t="n">
        <v>12388</v>
      </c>
      <c r="B429" s="72" t="n">
        <v>45473.57222222222</v>
      </c>
      <c r="C429" t="inlineStr">
        <is>
          <t>Atlántico</t>
        </is>
      </c>
      <c r="D429" t="inlineStr">
        <is>
          <t>Barranquilla</t>
        </is>
      </c>
      <c r="E429" t="inlineStr">
        <is>
          <t>Belleza</t>
        </is>
      </c>
      <c r="F429" t="inlineStr">
        <is>
          <t>Tienda física</t>
        </is>
      </c>
      <c r="G429" t="inlineStr">
        <is>
          <t>1. Visita</t>
        </is>
      </c>
      <c r="H429" t="n">
        <v>2</v>
      </c>
      <c r="I429" s="73" t="n">
        <v>86800</v>
      </c>
      <c r="J429" s="73" t="n">
        <v>199640</v>
      </c>
      <c r="K429" s="73" t="n">
        <v>117542</v>
      </c>
    </row>
    <row r="430">
      <c r="A430" t="n">
        <v>11645</v>
      </c>
      <c r="B430" s="72" t="n">
        <v>45473.60902777778</v>
      </c>
      <c r="C430" t="inlineStr">
        <is>
          <t>Valle del Cauca</t>
        </is>
      </c>
      <c r="D430" t="inlineStr">
        <is>
          <t>Cali</t>
        </is>
      </c>
      <c r="E430" t="inlineStr">
        <is>
          <t>Juguetes</t>
        </is>
      </c>
      <c r="F430" t="inlineStr">
        <is>
          <t>App</t>
        </is>
      </c>
      <c r="G430" t="inlineStr">
        <is>
          <t>2. Carrito</t>
        </is>
      </c>
      <c r="H430" t="n">
        <v>2</v>
      </c>
      <c r="I430" s="73" t="n">
        <v>113700</v>
      </c>
      <c r="J430" s="73" t="n">
        <v>261510</v>
      </c>
      <c r="K430" s="73" t="n">
        <v>174725</v>
      </c>
    </row>
    <row r="431">
      <c r="A431" t="n">
        <v>12384</v>
      </c>
      <c r="B431" s="72" t="n">
        <v>45473.61736111111</v>
      </c>
      <c r="C431" t="inlineStr">
        <is>
          <t>Bogotá D.C.</t>
        </is>
      </c>
      <c r="D431" t="inlineStr">
        <is>
          <t>Bogotá</t>
        </is>
      </c>
      <c r="E431" t="inlineStr">
        <is>
          <t>Hogar</t>
        </is>
      </c>
      <c r="F431" t="inlineStr">
        <is>
          <t>Tienda física</t>
        </is>
      </c>
      <c r="G431" t="inlineStr">
        <is>
          <t>1. Visita</t>
        </is>
      </c>
      <c r="H431" t="n">
        <v>3</v>
      </c>
      <c r="I431" s="73" t="n">
        <v>159700</v>
      </c>
      <c r="J431" s="73" t="n">
        <v>550965</v>
      </c>
      <c r="K431" s="73" t="n">
        <v>321447</v>
      </c>
    </row>
    <row r="432">
      <c r="A432" t="n">
        <v>10753</v>
      </c>
      <c r="B432" s="72" t="n">
        <v>45474.39305555556</v>
      </c>
      <c r="C432" t="inlineStr">
        <is>
          <t>Valle del Cauca</t>
        </is>
      </c>
      <c r="D432" t="inlineStr">
        <is>
          <t>Cali</t>
        </is>
      </c>
      <c r="E432" t="inlineStr">
        <is>
          <t>Belleza</t>
        </is>
      </c>
      <c r="F432" t="inlineStr">
        <is>
          <t>Tienda física</t>
        </is>
      </c>
      <c r="G432" t="inlineStr">
        <is>
          <t>2. Carrito</t>
        </is>
      </c>
      <c r="H432" t="n">
        <v>1</v>
      </c>
      <c r="I432" s="73" t="n">
        <v>73100</v>
      </c>
      <c r="J432" s="73" t="n">
        <v>73100</v>
      </c>
      <c r="K432" s="73" t="n">
        <v>50347</v>
      </c>
    </row>
    <row r="433">
      <c r="A433" t="n">
        <v>11241</v>
      </c>
      <c r="B433" s="72" t="n">
        <v>45474.40208333333</v>
      </c>
      <c r="C433" t="inlineStr">
        <is>
          <t>Atlántico</t>
        </is>
      </c>
      <c r="D433" t="inlineStr">
        <is>
          <t>Barranquilla</t>
        </is>
      </c>
      <c r="E433" t="inlineStr">
        <is>
          <t>Tecnología</t>
        </is>
      </c>
      <c r="F433" t="inlineStr">
        <is>
          <t>Marketplace</t>
        </is>
      </c>
      <c r="G433" t="inlineStr">
        <is>
          <t>1. Visita</t>
        </is>
      </c>
      <c r="H433" t="n">
        <v>3</v>
      </c>
      <c r="I433" s="73" t="n">
        <v>829500</v>
      </c>
      <c r="J433" s="73" t="n">
        <v>2488500</v>
      </c>
      <c r="K433" s="73" t="n">
        <v>1822912</v>
      </c>
    </row>
    <row r="434">
      <c r="A434" t="n">
        <v>11392</v>
      </c>
      <c r="B434" s="72" t="n">
        <v>45474.43611111111</v>
      </c>
      <c r="C434" t="inlineStr">
        <is>
          <t>Bogotá D.C.</t>
        </is>
      </c>
      <c r="D434" t="inlineStr">
        <is>
          <t>Bogotá</t>
        </is>
      </c>
      <c r="E434" t="inlineStr">
        <is>
          <t>Deportes</t>
        </is>
      </c>
      <c r="F434" t="inlineStr">
        <is>
          <t>Marketplace</t>
        </is>
      </c>
      <c r="G434" t="inlineStr">
        <is>
          <t>2. Carrito</t>
        </is>
      </c>
      <c r="H434" t="n">
        <v>2</v>
      </c>
      <c r="I434" s="73" t="n">
        <v>114100</v>
      </c>
      <c r="J434" s="73" t="n">
        <v>228200</v>
      </c>
      <c r="K434" s="73" t="n">
        <v>151928</v>
      </c>
    </row>
    <row r="435">
      <c r="A435" t="n">
        <v>10174</v>
      </c>
      <c r="B435" s="72" t="n">
        <v>45475.32222222222</v>
      </c>
      <c r="C435" t="inlineStr">
        <is>
          <t>Bogotá D.C.</t>
        </is>
      </c>
      <c r="D435" t="inlineStr">
        <is>
          <t>Bogotá</t>
        </is>
      </c>
      <c r="E435" t="inlineStr">
        <is>
          <t>Juguetes</t>
        </is>
      </c>
      <c r="F435" t="inlineStr">
        <is>
          <t>Marketplace</t>
        </is>
      </c>
      <c r="G435" t="inlineStr">
        <is>
          <t>1. Visita</t>
        </is>
      </c>
      <c r="H435" t="n">
        <v>1</v>
      </c>
      <c r="I435" s="73" t="n">
        <v>109000</v>
      </c>
      <c r="J435" s="73" t="n">
        <v>109000</v>
      </c>
      <c r="K435" s="73" t="n">
        <v>78968</v>
      </c>
    </row>
    <row r="436">
      <c r="A436" t="n">
        <v>11240</v>
      </c>
      <c r="B436" s="72" t="n">
        <v>45475.53472222222</v>
      </c>
      <c r="C436" t="inlineStr">
        <is>
          <t>Bolívar</t>
        </is>
      </c>
      <c r="D436" t="inlineStr">
        <is>
          <t>Cartagena</t>
        </is>
      </c>
      <c r="E436" t="inlineStr">
        <is>
          <t>Tecnología</t>
        </is>
      </c>
      <c r="F436" t="inlineStr">
        <is>
          <t>Web</t>
        </is>
      </c>
      <c r="G436" t="inlineStr">
        <is>
          <t>3. Pago</t>
        </is>
      </c>
      <c r="H436" t="n">
        <v>4</v>
      </c>
      <c r="I436" s="73" t="n">
        <v>766700</v>
      </c>
      <c r="J436" s="73" t="n">
        <v>3066800</v>
      </c>
      <c r="K436" s="73" t="n">
        <v>1777118</v>
      </c>
    </row>
    <row r="437">
      <c r="A437" t="n">
        <v>12209</v>
      </c>
      <c r="B437" s="72" t="n">
        <v>45475.60763888889</v>
      </c>
      <c r="C437" t="inlineStr">
        <is>
          <t>Valle del Cauca</t>
        </is>
      </c>
      <c r="D437" t="inlineStr">
        <is>
          <t>Cali</t>
        </is>
      </c>
      <c r="E437" t="inlineStr">
        <is>
          <t>Moda</t>
        </is>
      </c>
      <c r="F437" t="inlineStr">
        <is>
          <t>App</t>
        </is>
      </c>
      <c r="G437" t="inlineStr">
        <is>
          <t>1. Visita</t>
        </is>
      </c>
      <c r="H437" t="n">
        <v>1</v>
      </c>
      <c r="I437" s="73" t="n">
        <v>114000</v>
      </c>
      <c r="J437" s="73" t="n">
        <v>114000</v>
      </c>
      <c r="K437" s="73" t="n">
        <v>77882</v>
      </c>
    </row>
    <row r="438">
      <c r="A438" t="n">
        <v>10835</v>
      </c>
      <c r="B438" s="72" t="n">
        <v>45476.35277777778</v>
      </c>
      <c r="C438" t="inlineStr">
        <is>
          <t>Atlántico</t>
        </is>
      </c>
      <c r="D438" t="inlineStr">
        <is>
          <t>Barranquilla</t>
        </is>
      </c>
      <c r="E438" t="inlineStr">
        <is>
          <t>Belleza</t>
        </is>
      </c>
      <c r="F438" t="inlineStr">
        <is>
          <t>Web</t>
        </is>
      </c>
      <c r="G438" t="inlineStr">
        <is>
          <t>1. Visita</t>
        </is>
      </c>
      <c r="H438" t="n">
        <v>3</v>
      </c>
      <c r="I438" s="73" t="n">
        <v>83800</v>
      </c>
      <c r="J438" s="73" t="n">
        <v>251400</v>
      </c>
      <c r="K438" s="73" t="n">
        <v>166038</v>
      </c>
    </row>
    <row r="439">
      <c r="A439" t="n">
        <v>11533</v>
      </c>
      <c r="B439" s="72" t="n">
        <v>45476.55555555555</v>
      </c>
      <c r="C439" t="inlineStr">
        <is>
          <t>Risaralda</t>
        </is>
      </c>
      <c r="D439" t="inlineStr">
        <is>
          <t>Pereira</t>
        </is>
      </c>
      <c r="E439" t="inlineStr">
        <is>
          <t>Tecnología</t>
        </is>
      </c>
      <c r="F439" t="inlineStr">
        <is>
          <t>Web</t>
        </is>
      </c>
      <c r="G439" t="inlineStr">
        <is>
          <t>1. Visita</t>
        </is>
      </c>
      <c r="H439" t="n">
        <v>4</v>
      </c>
      <c r="I439" s="73" t="n">
        <v>663200</v>
      </c>
      <c r="J439" s="73" t="n">
        <v>2652800</v>
      </c>
      <c r="K439" s="73" t="n">
        <v>1778171</v>
      </c>
    </row>
    <row r="440">
      <c r="A440" t="n">
        <v>10257</v>
      </c>
      <c r="B440" s="72" t="n">
        <v>45476.81041666667</v>
      </c>
      <c r="C440" t="inlineStr">
        <is>
          <t>Huila</t>
        </is>
      </c>
      <c r="D440" t="inlineStr">
        <is>
          <t>Neiva</t>
        </is>
      </c>
      <c r="E440" t="inlineStr">
        <is>
          <t>Hogar</t>
        </is>
      </c>
      <c r="F440" t="inlineStr">
        <is>
          <t>Marketplace</t>
        </is>
      </c>
      <c r="G440" t="inlineStr">
        <is>
          <t>1. Visita</t>
        </is>
      </c>
      <c r="H440" t="n">
        <v>1</v>
      </c>
      <c r="I440" s="73" t="n">
        <v>243900</v>
      </c>
      <c r="J440" s="73" t="n">
        <v>243900</v>
      </c>
      <c r="K440" s="73" t="n">
        <v>137911</v>
      </c>
    </row>
    <row r="441">
      <c r="A441" t="n">
        <v>11658</v>
      </c>
      <c r="B441" s="72" t="n">
        <v>45476.89583333334</v>
      </c>
      <c r="C441" t="inlineStr">
        <is>
          <t>Santander</t>
        </is>
      </c>
      <c r="D441" t="inlineStr">
        <is>
          <t>Bucaramanga</t>
        </is>
      </c>
      <c r="E441" t="inlineStr">
        <is>
          <t>Belleza</t>
        </is>
      </c>
      <c r="F441" t="inlineStr">
        <is>
          <t>App</t>
        </is>
      </c>
      <c r="G441" t="inlineStr">
        <is>
          <t>3. Pago</t>
        </is>
      </c>
      <c r="H441" t="n">
        <v>5</v>
      </c>
      <c r="I441" s="73" t="n">
        <v>53400</v>
      </c>
      <c r="J441" s="73" t="n">
        <v>267000</v>
      </c>
      <c r="K441" s="73" t="n">
        <v>153470</v>
      </c>
    </row>
    <row r="442">
      <c r="A442" t="n">
        <v>10812</v>
      </c>
      <c r="B442" s="72" t="n">
        <v>45476.90555555555</v>
      </c>
      <c r="C442" t="inlineStr">
        <is>
          <t>Atlántico</t>
        </is>
      </c>
      <c r="D442" t="inlineStr">
        <is>
          <t>Barranquilla</t>
        </is>
      </c>
      <c r="E442" t="inlineStr">
        <is>
          <t>Hogar</t>
        </is>
      </c>
      <c r="F442" t="inlineStr">
        <is>
          <t>Tienda física</t>
        </is>
      </c>
      <c r="G442" t="inlineStr">
        <is>
          <t>4. Compra</t>
        </is>
      </c>
      <c r="H442" t="n">
        <v>3</v>
      </c>
      <c r="I442" s="73" t="n">
        <v>249800</v>
      </c>
      <c r="J442" s="73" t="n">
        <v>749400</v>
      </c>
      <c r="K442" s="73" t="n">
        <v>534817</v>
      </c>
    </row>
    <row r="443">
      <c r="A443" t="n">
        <v>10220</v>
      </c>
      <c r="B443" s="72" t="n">
        <v>45477.47708333333</v>
      </c>
      <c r="C443" t="inlineStr">
        <is>
          <t>Bogotá D.C.</t>
        </is>
      </c>
      <c r="D443" t="inlineStr">
        <is>
          <t>Bogotá</t>
        </is>
      </c>
      <c r="E443" t="inlineStr">
        <is>
          <t>Hogar</t>
        </is>
      </c>
      <c r="F443" t="inlineStr">
        <is>
          <t>Web</t>
        </is>
      </c>
      <c r="G443" t="inlineStr">
        <is>
          <t>4. Compra</t>
        </is>
      </c>
      <c r="H443" t="n">
        <v>5</v>
      </c>
      <c r="I443" s="73" t="n">
        <v>162800</v>
      </c>
      <c r="J443" s="73" t="n">
        <v>814000</v>
      </c>
      <c r="K443" s="73" t="n">
        <v>591977</v>
      </c>
    </row>
    <row r="444">
      <c r="A444" t="n">
        <v>11123</v>
      </c>
      <c r="B444" s="72" t="n">
        <v>45477.63263888889</v>
      </c>
      <c r="C444" t="inlineStr">
        <is>
          <t>Bogotá D.C.</t>
        </is>
      </c>
      <c r="D444" t="inlineStr">
        <is>
          <t>Bogotá</t>
        </is>
      </c>
      <c r="E444" t="inlineStr">
        <is>
          <t>Moda</t>
        </is>
      </c>
      <c r="F444" t="inlineStr">
        <is>
          <t>App</t>
        </is>
      </c>
      <c r="G444" t="inlineStr">
        <is>
          <t>1. Visita</t>
        </is>
      </c>
      <c r="H444" t="n">
        <v>5</v>
      </c>
      <c r="I444" s="73" t="n">
        <v>127100</v>
      </c>
      <c r="J444" s="73" t="n">
        <v>635500</v>
      </c>
      <c r="K444" s="73" t="n">
        <v>423153</v>
      </c>
    </row>
    <row r="445">
      <c r="A445" t="n">
        <v>10529</v>
      </c>
      <c r="B445" s="72" t="n">
        <v>45477.79097222222</v>
      </c>
      <c r="C445" t="inlineStr">
        <is>
          <t>Valle del Cauca</t>
        </is>
      </c>
      <c r="D445" t="inlineStr">
        <is>
          <t>Cali</t>
        </is>
      </c>
      <c r="E445" t="inlineStr">
        <is>
          <t>Moda</t>
        </is>
      </c>
      <c r="F445" t="inlineStr">
        <is>
          <t>Web</t>
        </is>
      </c>
      <c r="G445" t="inlineStr">
        <is>
          <t>1. Visita</t>
        </is>
      </c>
      <c r="H445" t="n">
        <v>1</v>
      </c>
      <c r="I445" s="73" t="n">
        <v>147400</v>
      </c>
      <c r="J445" s="73" t="n">
        <v>147400</v>
      </c>
      <c r="K445" s="73" t="n">
        <v>100188</v>
      </c>
    </row>
    <row r="446">
      <c r="A446" t="n">
        <v>12337</v>
      </c>
      <c r="B446" s="72" t="n">
        <v>45478.56319444445</v>
      </c>
      <c r="C446" t="inlineStr">
        <is>
          <t>Bogotá D.C.</t>
        </is>
      </c>
      <c r="D446" t="inlineStr">
        <is>
          <t>Bogotá</t>
        </is>
      </c>
      <c r="E446" t="inlineStr">
        <is>
          <t>Hogar</t>
        </is>
      </c>
      <c r="F446" t="inlineStr">
        <is>
          <t>App</t>
        </is>
      </c>
      <c r="G446" t="inlineStr">
        <is>
          <t>1. Visita</t>
        </is>
      </c>
      <c r="H446" t="n">
        <v>5</v>
      </c>
      <c r="I446" s="73" t="n">
        <v>147800</v>
      </c>
      <c r="J446" s="73" t="n">
        <v>849850</v>
      </c>
      <c r="K446" s="73" t="n">
        <v>620338</v>
      </c>
    </row>
    <row r="447">
      <c r="A447" t="n">
        <v>10607</v>
      </c>
      <c r="B447" s="72" t="n">
        <v>45478.66944444444</v>
      </c>
      <c r="C447" t="inlineStr">
        <is>
          <t>Valle del Cauca</t>
        </is>
      </c>
      <c r="D447" t="inlineStr">
        <is>
          <t>Cali</t>
        </is>
      </c>
      <c r="E447" t="inlineStr">
        <is>
          <t>Moda</t>
        </is>
      </c>
      <c r="F447" t="inlineStr">
        <is>
          <t>App</t>
        </is>
      </c>
      <c r="G447" t="inlineStr">
        <is>
          <t>2. Carrito</t>
        </is>
      </c>
      <c r="H447" t="n">
        <v>5</v>
      </c>
      <c r="I447" s="73" t="n">
        <v>145300</v>
      </c>
      <c r="J447" s="73" t="n">
        <v>835475</v>
      </c>
      <c r="K447" s="73" t="n">
        <v>478362</v>
      </c>
    </row>
    <row r="448">
      <c r="A448" t="n">
        <v>12307</v>
      </c>
      <c r="B448" s="72" t="n">
        <v>45478.87013888889</v>
      </c>
      <c r="C448" t="inlineStr">
        <is>
          <t>Antioquia</t>
        </is>
      </c>
      <c r="D448" t="inlineStr">
        <is>
          <t>Medellín</t>
        </is>
      </c>
      <c r="E448" t="inlineStr">
        <is>
          <t>Juguetes</t>
        </is>
      </c>
      <c r="F448" t="inlineStr">
        <is>
          <t>Tienda física</t>
        </is>
      </c>
      <c r="G448" t="inlineStr">
        <is>
          <t>1. Visita</t>
        </is>
      </c>
      <c r="H448" t="n">
        <v>3</v>
      </c>
      <c r="I448" s="73" t="n">
        <v>82400</v>
      </c>
      <c r="J448" s="73" t="n">
        <v>284280</v>
      </c>
      <c r="K448" s="73" t="n">
        <v>156771</v>
      </c>
    </row>
    <row r="449">
      <c r="A449" t="n">
        <v>11896</v>
      </c>
      <c r="B449" s="72" t="n">
        <v>45479.37986111111</v>
      </c>
      <c r="C449" t="inlineStr">
        <is>
          <t>Bolívar</t>
        </is>
      </c>
      <c r="D449" t="inlineStr">
        <is>
          <t>Cartagena</t>
        </is>
      </c>
      <c r="E449" t="inlineStr">
        <is>
          <t>Belleza</t>
        </is>
      </c>
      <c r="F449" t="inlineStr">
        <is>
          <t>Web</t>
        </is>
      </c>
      <c r="G449" t="inlineStr">
        <is>
          <t>2. Carrito</t>
        </is>
      </c>
      <c r="H449" t="n">
        <v>2</v>
      </c>
      <c r="I449" s="73" t="n">
        <v>65100</v>
      </c>
      <c r="J449" s="73" t="n">
        <v>149730</v>
      </c>
      <c r="K449" s="73" t="n">
        <v>92601</v>
      </c>
    </row>
    <row r="450">
      <c r="A450" t="n">
        <v>10348</v>
      </c>
      <c r="B450" s="72" t="n">
        <v>45479.54652777778</v>
      </c>
      <c r="C450" t="inlineStr">
        <is>
          <t>Antioquia</t>
        </is>
      </c>
      <c r="D450" t="inlineStr">
        <is>
          <t>Medellín</t>
        </is>
      </c>
      <c r="E450" t="inlineStr">
        <is>
          <t>Moda</t>
        </is>
      </c>
      <c r="F450" t="inlineStr">
        <is>
          <t>Web</t>
        </is>
      </c>
      <c r="G450" t="inlineStr">
        <is>
          <t>3. Pago</t>
        </is>
      </c>
      <c r="H450" t="n">
        <v>4</v>
      </c>
      <c r="I450" s="73" t="n">
        <v>147600</v>
      </c>
      <c r="J450" s="73" t="n">
        <v>678960</v>
      </c>
      <c r="K450" s="73" t="n">
        <v>502653</v>
      </c>
    </row>
    <row r="451">
      <c r="A451" t="n">
        <v>12400</v>
      </c>
      <c r="B451" s="72" t="n">
        <v>45479.60625</v>
      </c>
      <c r="C451" t="inlineStr">
        <is>
          <t>Bogotá D.C.</t>
        </is>
      </c>
      <c r="D451" t="inlineStr">
        <is>
          <t>Bogotá</t>
        </is>
      </c>
      <c r="E451" t="inlineStr">
        <is>
          <t>Tecnología</t>
        </is>
      </c>
      <c r="F451" t="inlineStr">
        <is>
          <t>Tienda física</t>
        </is>
      </c>
      <c r="G451" t="inlineStr">
        <is>
          <t>1. Visita</t>
        </is>
      </c>
      <c r="H451" t="n">
        <v>3</v>
      </c>
      <c r="I451" s="73" t="n">
        <v>966100</v>
      </c>
      <c r="J451" s="73" t="n">
        <v>3333045</v>
      </c>
      <c r="K451" s="73" t="n">
        <v>2452398</v>
      </c>
    </row>
    <row r="452">
      <c r="A452" t="n">
        <v>10846</v>
      </c>
      <c r="B452" s="72" t="n">
        <v>45479.77986111111</v>
      </c>
      <c r="C452" t="inlineStr">
        <is>
          <t>Antioquia</t>
        </is>
      </c>
      <c r="D452" t="inlineStr">
        <is>
          <t>Medellín</t>
        </is>
      </c>
      <c r="E452" t="inlineStr">
        <is>
          <t>Tecnología</t>
        </is>
      </c>
      <c r="F452" t="inlineStr">
        <is>
          <t>App</t>
        </is>
      </c>
      <c r="G452" t="inlineStr">
        <is>
          <t>1. Visita</t>
        </is>
      </c>
      <c r="H452" t="n">
        <v>2</v>
      </c>
      <c r="I452" s="73" t="n">
        <v>799400</v>
      </c>
      <c r="J452" s="73" t="n">
        <v>1838620</v>
      </c>
      <c r="K452" s="73" t="n">
        <v>1229492</v>
      </c>
    </row>
    <row r="453">
      <c r="A453" t="n">
        <v>12309</v>
      </c>
      <c r="B453" s="72" t="n">
        <v>45479.81805555556</v>
      </c>
      <c r="C453" t="inlineStr">
        <is>
          <t>Atlántico</t>
        </is>
      </c>
      <c r="D453" t="inlineStr">
        <is>
          <t>Barranquilla</t>
        </is>
      </c>
      <c r="E453" t="inlineStr">
        <is>
          <t>Hogar</t>
        </is>
      </c>
      <c r="F453" t="inlineStr">
        <is>
          <t>Tienda física</t>
        </is>
      </c>
      <c r="G453" t="inlineStr">
        <is>
          <t>2. Carrito</t>
        </is>
      </c>
      <c r="H453" t="n">
        <v>5</v>
      </c>
      <c r="I453" s="73" t="n">
        <v>223000</v>
      </c>
      <c r="J453" s="73" t="n">
        <v>1282250</v>
      </c>
      <c r="K453" s="73" t="n">
        <v>770317</v>
      </c>
    </row>
    <row r="454">
      <c r="A454" t="n">
        <v>10816</v>
      </c>
      <c r="B454" s="72" t="n">
        <v>45479.86527777778</v>
      </c>
      <c r="C454" t="inlineStr">
        <is>
          <t>Risaralda</t>
        </is>
      </c>
      <c r="D454" t="inlineStr">
        <is>
          <t>Pereira</t>
        </is>
      </c>
      <c r="E454" t="inlineStr">
        <is>
          <t>Tecnología</t>
        </is>
      </c>
      <c r="F454" t="inlineStr">
        <is>
          <t>Web</t>
        </is>
      </c>
      <c r="G454" t="inlineStr">
        <is>
          <t>1. Visita</t>
        </is>
      </c>
      <c r="H454" t="n">
        <v>2</v>
      </c>
      <c r="I454" s="73" t="n">
        <v>1078000</v>
      </c>
      <c r="J454" s="73" t="n">
        <v>2479400</v>
      </c>
      <c r="K454" s="73" t="n">
        <v>1657095</v>
      </c>
    </row>
    <row r="455">
      <c r="A455" t="n">
        <v>11796</v>
      </c>
      <c r="B455" s="72" t="n">
        <v>45479.89930555555</v>
      </c>
      <c r="C455" t="inlineStr">
        <is>
          <t>Valle del Cauca</t>
        </is>
      </c>
      <c r="D455" t="inlineStr">
        <is>
          <t>Cali</t>
        </is>
      </c>
      <c r="E455" t="inlineStr">
        <is>
          <t>Hogar</t>
        </is>
      </c>
      <c r="F455" t="inlineStr">
        <is>
          <t>Web</t>
        </is>
      </c>
      <c r="G455" t="inlineStr">
        <is>
          <t>1. Visita</t>
        </is>
      </c>
      <c r="H455" t="n">
        <v>4</v>
      </c>
      <c r="I455" s="73" t="n">
        <v>210800</v>
      </c>
      <c r="J455" s="73" t="n">
        <v>969680</v>
      </c>
      <c r="K455" s="73" t="n">
        <v>627442</v>
      </c>
    </row>
    <row r="456">
      <c r="A456" t="n">
        <v>10530</v>
      </c>
      <c r="B456" s="72" t="n">
        <v>45479.90347222222</v>
      </c>
      <c r="C456" t="inlineStr">
        <is>
          <t>Meta</t>
        </is>
      </c>
      <c r="D456" t="inlineStr">
        <is>
          <t>Villavicencio</t>
        </is>
      </c>
      <c r="E456" t="inlineStr">
        <is>
          <t>Tecnología</t>
        </is>
      </c>
      <c r="F456" t="inlineStr">
        <is>
          <t>App</t>
        </is>
      </c>
      <c r="G456" t="inlineStr">
        <is>
          <t>3. Pago</t>
        </is>
      </c>
      <c r="H456" t="n">
        <v>5</v>
      </c>
      <c r="I456" s="73" t="n">
        <v>997900</v>
      </c>
      <c r="J456" s="73" t="n">
        <v>5737925</v>
      </c>
      <c r="K456" s="73" t="n">
        <v>3334429</v>
      </c>
    </row>
    <row r="457">
      <c r="A457" t="n">
        <v>11506</v>
      </c>
      <c r="B457" s="72" t="n">
        <v>45480.38125</v>
      </c>
      <c r="C457" t="inlineStr">
        <is>
          <t>Valle del Cauca</t>
        </is>
      </c>
      <c r="D457" t="inlineStr">
        <is>
          <t>Cali</t>
        </is>
      </c>
      <c r="E457" t="inlineStr">
        <is>
          <t>Juguetes</t>
        </is>
      </c>
      <c r="F457" t="inlineStr">
        <is>
          <t>Tienda física</t>
        </is>
      </c>
      <c r="G457" t="inlineStr">
        <is>
          <t>2. Carrito</t>
        </is>
      </c>
      <c r="H457" t="n">
        <v>5</v>
      </c>
      <c r="I457" s="73" t="n">
        <v>97700</v>
      </c>
      <c r="J457" s="73" t="n">
        <v>561775</v>
      </c>
      <c r="K457" s="73" t="n">
        <v>387391</v>
      </c>
    </row>
    <row r="458">
      <c r="A458" t="n">
        <v>10817</v>
      </c>
      <c r="B458" s="72" t="n">
        <v>45480.66875</v>
      </c>
      <c r="C458" t="inlineStr">
        <is>
          <t>Bogotá D.C.</t>
        </is>
      </c>
      <c r="D458" t="inlineStr">
        <is>
          <t>Bogotá</t>
        </is>
      </c>
      <c r="E458" t="inlineStr">
        <is>
          <t>Tecnología</t>
        </is>
      </c>
      <c r="F458" t="inlineStr">
        <is>
          <t>Web</t>
        </is>
      </c>
      <c r="G458" t="inlineStr">
        <is>
          <t>2. Carrito</t>
        </is>
      </c>
      <c r="H458" t="n">
        <v>4</v>
      </c>
      <c r="I458" s="73" t="n">
        <v>815100</v>
      </c>
      <c r="J458" s="73" t="n">
        <v>3749460</v>
      </c>
      <c r="K458" s="73" t="n">
        <v>2788723</v>
      </c>
    </row>
    <row r="459">
      <c r="A459" t="n">
        <v>11010</v>
      </c>
      <c r="B459" s="72" t="n">
        <v>45480.92430555556</v>
      </c>
      <c r="C459" t="inlineStr">
        <is>
          <t>Valle del Cauca</t>
        </is>
      </c>
      <c r="D459" t="inlineStr">
        <is>
          <t>Cali</t>
        </is>
      </c>
      <c r="E459" t="inlineStr">
        <is>
          <t>Belleza</t>
        </is>
      </c>
      <c r="F459" t="inlineStr">
        <is>
          <t>Web</t>
        </is>
      </c>
      <c r="G459" t="inlineStr">
        <is>
          <t>4. Compra</t>
        </is>
      </c>
      <c r="H459" t="n">
        <v>1</v>
      </c>
      <c r="I459" s="73" t="n">
        <v>67300</v>
      </c>
      <c r="J459" s="73" t="n">
        <v>77395</v>
      </c>
      <c r="K459" s="73" t="n">
        <v>46976</v>
      </c>
    </row>
    <row r="460">
      <c r="A460" t="n">
        <v>11703</v>
      </c>
      <c r="B460" s="72" t="n">
        <v>45480.93402777778</v>
      </c>
      <c r="C460" t="inlineStr">
        <is>
          <t>Valle del Cauca</t>
        </is>
      </c>
      <c r="D460" t="inlineStr">
        <is>
          <t>Cali</t>
        </is>
      </c>
      <c r="E460" t="inlineStr">
        <is>
          <t>Deportes</t>
        </is>
      </c>
      <c r="F460" t="inlineStr">
        <is>
          <t>Web</t>
        </is>
      </c>
      <c r="G460" t="inlineStr">
        <is>
          <t>2. Carrito</t>
        </is>
      </c>
      <c r="H460" t="n">
        <v>1</v>
      </c>
      <c r="I460" s="73" t="n">
        <v>190500</v>
      </c>
      <c r="J460" s="73" t="n">
        <v>219075</v>
      </c>
      <c r="K460" s="73" t="n">
        <v>151282</v>
      </c>
    </row>
    <row r="461">
      <c r="A461" t="n">
        <v>10041</v>
      </c>
      <c r="B461" s="72" t="n">
        <v>45481.37777777778</v>
      </c>
      <c r="C461" t="inlineStr">
        <is>
          <t>Bogotá D.C.</t>
        </is>
      </c>
      <c r="D461" t="inlineStr">
        <is>
          <t>Bogotá</t>
        </is>
      </c>
      <c r="E461" t="inlineStr">
        <is>
          <t>Tecnología</t>
        </is>
      </c>
      <c r="F461" t="inlineStr">
        <is>
          <t>Tienda física</t>
        </is>
      </c>
      <c r="G461" t="inlineStr">
        <is>
          <t>1. Visita</t>
        </is>
      </c>
      <c r="H461" t="n">
        <v>2</v>
      </c>
      <c r="I461" s="73" t="n">
        <v>882500</v>
      </c>
      <c r="J461" s="73" t="n">
        <v>1765000</v>
      </c>
      <c r="K461" s="73" t="n">
        <v>1035757</v>
      </c>
    </row>
    <row r="462">
      <c r="A462" t="n">
        <v>11923</v>
      </c>
      <c r="B462" s="72" t="n">
        <v>45481.62569444445</v>
      </c>
      <c r="C462" t="inlineStr">
        <is>
          <t>Bogotá D.C.</t>
        </is>
      </c>
      <c r="D462" t="inlineStr">
        <is>
          <t>Bogotá</t>
        </is>
      </c>
      <c r="E462" t="inlineStr">
        <is>
          <t>Tecnología</t>
        </is>
      </c>
      <c r="F462" t="inlineStr">
        <is>
          <t>App</t>
        </is>
      </c>
      <c r="G462" t="inlineStr">
        <is>
          <t>1. Visita</t>
        </is>
      </c>
      <c r="H462" t="n">
        <v>5</v>
      </c>
      <c r="I462" s="73" t="n">
        <v>696800</v>
      </c>
      <c r="J462" s="73" t="n">
        <v>3484000</v>
      </c>
      <c r="K462" s="73" t="n">
        <v>2099597</v>
      </c>
    </row>
    <row r="463">
      <c r="A463" t="n">
        <v>12195</v>
      </c>
      <c r="B463" s="72" t="n">
        <v>45482.36111111111</v>
      </c>
      <c r="C463" t="inlineStr">
        <is>
          <t>Bogotá D.C.</t>
        </is>
      </c>
      <c r="D463" t="inlineStr">
        <is>
          <t>Bogotá</t>
        </is>
      </c>
      <c r="E463" t="inlineStr">
        <is>
          <t>Juguetes</t>
        </is>
      </c>
      <c r="F463" t="inlineStr">
        <is>
          <t>Tienda física</t>
        </is>
      </c>
      <c r="G463" t="inlineStr">
        <is>
          <t>2. Carrito</t>
        </is>
      </c>
      <c r="H463" t="n">
        <v>1</v>
      </c>
      <c r="I463" s="73" t="n">
        <v>82800</v>
      </c>
      <c r="J463" s="73" t="n">
        <v>82800</v>
      </c>
      <c r="K463" s="73" t="n">
        <v>57843</v>
      </c>
    </row>
    <row r="464">
      <c r="A464" t="n">
        <v>10950</v>
      </c>
      <c r="B464" s="72" t="n">
        <v>45482.42638888889</v>
      </c>
      <c r="C464" t="inlineStr">
        <is>
          <t>Valle del Cauca</t>
        </is>
      </c>
      <c r="D464" t="inlineStr">
        <is>
          <t>Cali</t>
        </is>
      </c>
      <c r="E464" t="inlineStr">
        <is>
          <t>Deportes</t>
        </is>
      </c>
      <c r="F464" t="inlineStr">
        <is>
          <t>App</t>
        </is>
      </c>
      <c r="G464" t="inlineStr">
        <is>
          <t>4. Compra</t>
        </is>
      </c>
      <c r="H464" t="n">
        <v>5</v>
      </c>
      <c r="I464" s="73" t="n">
        <v>118900</v>
      </c>
      <c r="J464" s="73" t="n">
        <v>594500</v>
      </c>
      <c r="K464" s="73" t="n">
        <v>430310</v>
      </c>
    </row>
    <row r="465">
      <c r="A465" t="n">
        <v>10022</v>
      </c>
      <c r="B465" s="72" t="n">
        <v>45482.50347222222</v>
      </c>
      <c r="C465" t="inlineStr">
        <is>
          <t>Valle del Cauca</t>
        </is>
      </c>
      <c r="D465" t="inlineStr">
        <is>
          <t>Cali</t>
        </is>
      </c>
      <c r="E465" t="inlineStr">
        <is>
          <t>Belleza</t>
        </is>
      </c>
      <c r="F465" t="inlineStr">
        <is>
          <t>Tienda física</t>
        </is>
      </c>
      <c r="G465" t="inlineStr">
        <is>
          <t>3. Pago</t>
        </is>
      </c>
      <c r="H465" t="n">
        <v>1</v>
      </c>
      <c r="I465" s="73" t="n">
        <v>55500</v>
      </c>
      <c r="J465" s="73" t="n">
        <v>55500</v>
      </c>
      <c r="K465" s="73" t="n">
        <v>37595</v>
      </c>
    </row>
    <row r="466">
      <c r="A466" t="n">
        <v>11161</v>
      </c>
      <c r="B466" s="72" t="n">
        <v>45482.54305555556</v>
      </c>
      <c r="C466" t="inlineStr">
        <is>
          <t>Santander</t>
        </is>
      </c>
      <c r="D466" t="inlineStr">
        <is>
          <t>Bucaramanga</t>
        </is>
      </c>
      <c r="E466" t="inlineStr">
        <is>
          <t>Juguetes</t>
        </is>
      </c>
      <c r="F466" t="inlineStr">
        <is>
          <t>App</t>
        </is>
      </c>
      <c r="G466" t="inlineStr">
        <is>
          <t>1. Visita</t>
        </is>
      </c>
      <c r="H466" t="n">
        <v>2</v>
      </c>
      <c r="I466" s="73" t="n">
        <v>91600</v>
      </c>
      <c r="J466" s="73" t="n">
        <v>183200</v>
      </c>
      <c r="K466" s="73" t="n">
        <v>119858</v>
      </c>
    </row>
    <row r="467">
      <c r="A467" t="n">
        <v>11832</v>
      </c>
      <c r="B467" s="72" t="n">
        <v>45483.56597222222</v>
      </c>
      <c r="C467" t="inlineStr">
        <is>
          <t>Antioquia</t>
        </is>
      </c>
      <c r="D467" t="inlineStr">
        <is>
          <t>Medellín</t>
        </is>
      </c>
      <c r="E467" t="inlineStr">
        <is>
          <t>Moda</t>
        </is>
      </c>
      <c r="F467" t="inlineStr">
        <is>
          <t>App</t>
        </is>
      </c>
      <c r="G467" t="inlineStr">
        <is>
          <t>2. Carrito</t>
        </is>
      </c>
      <c r="H467" t="n">
        <v>3</v>
      </c>
      <c r="I467" s="73" t="n">
        <v>124600</v>
      </c>
      <c r="J467" s="73" t="n">
        <v>373800</v>
      </c>
      <c r="K467" s="73" t="n">
        <v>261052</v>
      </c>
    </row>
    <row r="468">
      <c r="A468" t="n">
        <v>10560</v>
      </c>
      <c r="B468" s="72" t="n">
        <v>45483.61944444444</v>
      </c>
      <c r="C468" t="inlineStr">
        <is>
          <t>Bogotá D.C.</t>
        </is>
      </c>
      <c r="D468" t="inlineStr">
        <is>
          <t>Bogotá</t>
        </is>
      </c>
      <c r="E468" t="inlineStr">
        <is>
          <t>Deportes</t>
        </is>
      </c>
      <c r="F468" t="inlineStr">
        <is>
          <t>Tienda física</t>
        </is>
      </c>
      <c r="G468" t="inlineStr">
        <is>
          <t>2. Carrito</t>
        </is>
      </c>
      <c r="H468" t="n">
        <v>3</v>
      </c>
      <c r="I468" s="73" t="n">
        <v>164700</v>
      </c>
      <c r="J468" s="73" t="n">
        <v>494100</v>
      </c>
      <c r="K468" s="73" t="n">
        <v>341487</v>
      </c>
    </row>
    <row r="469">
      <c r="A469" t="n">
        <v>10027</v>
      </c>
      <c r="B469" s="72" t="n">
        <v>45483.68333333333</v>
      </c>
      <c r="C469" t="inlineStr">
        <is>
          <t>Valle del Cauca</t>
        </is>
      </c>
      <c r="D469" t="inlineStr">
        <is>
          <t>Cali</t>
        </is>
      </c>
      <c r="E469" t="inlineStr">
        <is>
          <t>Tecnología</t>
        </is>
      </c>
      <c r="F469" t="inlineStr">
        <is>
          <t>Tienda física</t>
        </is>
      </c>
      <c r="G469" t="inlineStr">
        <is>
          <t>1. Visita</t>
        </is>
      </c>
      <c r="H469" t="n">
        <v>1</v>
      </c>
      <c r="I469" s="73" t="n">
        <v>856100</v>
      </c>
      <c r="J469" s="73" t="n">
        <v>856100</v>
      </c>
      <c r="K469" s="73" t="n">
        <v>472819</v>
      </c>
    </row>
    <row r="470">
      <c r="A470" t="n">
        <v>10711</v>
      </c>
      <c r="B470" s="72" t="n">
        <v>45483.72013888889</v>
      </c>
      <c r="C470" t="inlineStr">
        <is>
          <t>Bogotá D.C.</t>
        </is>
      </c>
      <c r="D470" t="inlineStr">
        <is>
          <t>Bogotá</t>
        </is>
      </c>
      <c r="E470" t="inlineStr">
        <is>
          <t>Hogar</t>
        </is>
      </c>
      <c r="F470" t="inlineStr">
        <is>
          <t>Tienda física</t>
        </is>
      </c>
      <c r="G470" t="inlineStr">
        <is>
          <t>2. Carrito</t>
        </is>
      </c>
      <c r="H470" t="n">
        <v>2</v>
      </c>
      <c r="I470" s="73" t="n">
        <v>165100</v>
      </c>
      <c r="J470" s="73" t="n">
        <v>330200</v>
      </c>
      <c r="K470" s="73" t="n">
        <v>238697</v>
      </c>
    </row>
    <row r="471">
      <c r="A471" t="n">
        <v>10921</v>
      </c>
      <c r="B471" s="72" t="n">
        <v>45484.34513888889</v>
      </c>
      <c r="C471" t="inlineStr">
        <is>
          <t>Valle del Cauca</t>
        </is>
      </c>
      <c r="D471" t="inlineStr">
        <is>
          <t>Cali</t>
        </is>
      </c>
      <c r="E471" t="inlineStr">
        <is>
          <t>Tecnología</t>
        </is>
      </c>
      <c r="F471" t="inlineStr">
        <is>
          <t>Web</t>
        </is>
      </c>
      <c r="G471" t="inlineStr">
        <is>
          <t>1. Visita</t>
        </is>
      </c>
      <c r="H471" t="n">
        <v>2</v>
      </c>
      <c r="I471" s="73" t="n">
        <v>1045200</v>
      </c>
      <c r="J471" s="73" t="n">
        <v>2090400</v>
      </c>
      <c r="K471" s="73" t="n">
        <v>1528378</v>
      </c>
    </row>
    <row r="472">
      <c r="A472" t="n">
        <v>11183</v>
      </c>
      <c r="B472" s="72" t="n">
        <v>45484.48402777778</v>
      </c>
      <c r="C472" t="inlineStr">
        <is>
          <t>Bogotá D.C.</t>
        </is>
      </c>
      <c r="D472" t="inlineStr">
        <is>
          <t>Bogotá</t>
        </is>
      </c>
      <c r="E472" t="inlineStr">
        <is>
          <t>Juguetes</t>
        </is>
      </c>
      <c r="F472" t="inlineStr">
        <is>
          <t>Web</t>
        </is>
      </c>
      <c r="G472" t="inlineStr">
        <is>
          <t>3. Pago</t>
        </is>
      </c>
      <c r="H472" t="n">
        <v>2</v>
      </c>
      <c r="I472" s="73" t="n">
        <v>67200</v>
      </c>
      <c r="J472" s="73" t="n">
        <v>134400</v>
      </c>
      <c r="K472" s="73" t="n">
        <v>92726</v>
      </c>
    </row>
    <row r="473">
      <c r="A473" t="n">
        <v>10553</v>
      </c>
      <c r="B473" s="72" t="n">
        <v>45484.53333333333</v>
      </c>
      <c r="C473" t="inlineStr">
        <is>
          <t>Bolívar</t>
        </is>
      </c>
      <c r="D473" t="inlineStr">
        <is>
          <t>Cartagena</t>
        </is>
      </c>
      <c r="E473" t="inlineStr">
        <is>
          <t>Hogar</t>
        </is>
      </c>
      <c r="F473" t="inlineStr">
        <is>
          <t>Web</t>
        </is>
      </c>
      <c r="G473" t="inlineStr">
        <is>
          <t>3. Pago</t>
        </is>
      </c>
      <c r="H473" t="n">
        <v>2</v>
      </c>
      <c r="I473" s="73" t="n">
        <v>230700</v>
      </c>
      <c r="J473" s="73" t="n">
        <v>461400</v>
      </c>
      <c r="K473" s="73" t="n">
        <v>259583</v>
      </c>
    </row>
    <row r="474">
      <c r="A474" t="n">
        <v>10665</v>
      </c>
      <c r="B474" s="72" t="n">
        <v>45484.63194444445</v>
      </c>
      <c r="C474" t="inlineStr">
        <is>
          <t>Valle del Cauca</t>
        </is>
      </c>
      <c r="D474" t="inlineStr">
        <is>
          <t>Cali</t>
        </is>
      </c>
      <c r="E474" t="inlineStr">
        <is>
          <t>Tecnología</t>
        </is>
      </c>
      <c r="F474" t="inlineStr">
        <is>
          <t>App</t>
        </is>
      </c>
      <c r="G474" t="inlineStr">
        <is>
          <t>2. Carrito</t>
        </is>
      </c>
      <c r="H474" t="n">
        <v>4</v>
      </c>
      <c r="I474" s="73" t="n">
        <v>971600</v>
      </c>
      <c r="J474" s="73" t="n">
        <v>3886400</v>
      </c>
      <c r="K474" s="73" t="n">
        <v>2356627</v>
      </c>
    </row>
    <row r="475">
      <c r="A475" t="n">
        <v>10814</v>
      </c>
      <c r="B475" s="72" t="n">
        <v>45484.83958333333</v>
      </c>
      <c r="C475" t="inlineStr">
        <is>
          <t>Antioquia</t>
        </is>
      </c>
      <c r="D475" t="inlineStr">
        <is>
          <t>Medellín</t>
        </is>
      </c>
      <c r="E475" t="inlineStr">
        <is>
          <t>Moda</t>
        </is>
      </c>
      <c r="F475" t="inlineStr">
        <is>
          <t>Web</t>
        </is>
      </c>
      <c r="G475" t="inlineStr">
        <is>
          <t>1. Visita</t>
        </is>
      </c>
      <c r="H475" t="n">
        <v>5</v>
      </c>
      <c r="I475" s="73" t="n">
        <v>127600</v>
      </c>
      <c r="J475" s="73" t="n">
        <v>638000</v>
      </c>
      <c r="K475" s="73" t="n">
        <v>425963</v>
      </c>
    </row>
    <row r="476">
      <c r="A476" t="n">
        <v>10717</v>
      </c>
      <c r="B476" s="72" t="n">
        <v>45484.84583333333</v>
      </c>
      <c r="C476" t="inlineStr">
        <is>
          <t>Atlántico</t>
        </is>
      </c>
      <c r="D476" t="inlineStr">
        <is>
          <t>Barranquilla</t>
        </is>
      </c>
      <c r="E476" t="inlineStr">
        <is>
          <t>Juguetes</t>
        </is>
      </c>
      <c r="F476" t="inlineStr">
        <is>
          <t>Web</t>
        </is>
      </c>
      <c r="G476" t="inlineStr">
        <is>
          <t>4. Compra</t>
        </is>
      </c>
      <c r="H476" t="n">
        <v>1</v>
      </c>
      <c r="I476" s="73" t="n">
        <v>74700</v>
      </c>
      <c r="J476" s="73" t="n">
        <v>74700</v>
      </c>
      <c r="K476" s="73" t="n">
        <v>50644</v>
      </c>
    </row>
    <row r="477">
      <c r="A477" t="n">
        <v>10614</v>
      </c>
      <c r="B477" s="72" t="n">
        <v>45485.34375</v>
      </c>
      <c r="C477" t="inlineStr">
        <is>
          <t>Valle del Cauca</t>
        </is>
      </c>
      <c r="D477" t="inlineStr">
        <is>
          <t>Cali</t>
        </is>
      </c>
      <c r="E477" t="inlineStr">
        <is>
          <t>Deportes</t>
        </is>
      </c>
      <c r="F477" t="inlineStr">
        <is>
          <t>Web</t>
        </is>
      </c>
      <c r="G477" t="inlineStr">
        <is>
          <t>1. Visita</t>
        </is>
      </c>
      <c r="H477" t="n">
        <v>2</v>
      </c>
      <c r="I477" s="73" t="n">
        <v>158300</v>
      </c>
      <c r="J477" s="73" t="n">
        <v>364090</v>
      </c>
      <c r="K477" s="73" t="n">
        <v>255556</v>
      </c>
    </row>
    <row r="478">
      <c r="A478" t="n">
        <v>10993</v>
      </c>
      <c r="B478" s="72" t="n">
        <v>45485.53611111111</v>
      </c>
      <c r="C478" t="inlineStr">
        <is>
          <t>Atlántico</t>
        </is>
      </c>
      <c r="D478" t="inlineStr">
        <is>
          <t>Barranquilla</t>
        </is>
      </c>
      <c r="E478" t="inlineStr">
        <is>
          <t>Hogar</t>
        </is>
      </c>
      <c r="F478" t="inlineStr">
        <is>
          <t>App</t>
        </is>
      </c>
      <c r="G478" t="inlineStr">
        <is>
          <t>2. Carrito</t>
        </is>
      </c>
      <c r="H478" t="n">
        <v>4</v>
      </c>
      <c r="I478" s="73" t="n">
        <v>247500</v>
      </c>
      <c r="J478" s="73" t="n">
        <v>1138500</v>
      </c>
      <c r="K478" s="73" t="n">
        <v>709835</v>
      </c>
    </row>
    <row r="479">
      <c r="A479" t="n">
        <v>10670</v>
      </c>
      <c r="B479" s="72" t="n">
        <v>45485.59513888889</v>
      </c>
      <c r="C479" t="inlineStr">
        <is>
          <t>Bogotá D.C.</t>
        </is>
      </c>
      <c r="D479" t="inlineStr">
        <is>
          <t>Bogotá</t>
        </is>
      </c>
      <c r="E479" t="inlineStr">
        <is>
          <t>Deportes</t>
        </is>
      </c>
      <c r="F479" t="inlineStr">
        <is>
          <t>Web</t>
        </is>
      </c>
      <c r="G479" t="inlineStr">
        <is>
          <t>3. Pago</t>
        </is>
      </c>
      <c r="H479" t="n">
        <v>1</v>
      </c>
      <c r="I479" s="73" t="n">
        <v>148500</v>
      </c>
      <c r="J479" s="73" t="n">
        <v>170775</v>
      </c>
      <c r="K479" s="73" t="n">
        <v>113401</v>
      </c>
    </row>
    <row r="480">
      <c r="A480" t="n">
        <v>11098</v>
      </c>
      <c r="B480" s="72" t="n">
        <v>45485.61944444444</v>
      </c>
      <c r="C480" t="inlineStr">
        <is>
          <t>Antioquia</t>
        </is>
      </c>
      <c r="D480" t="inlineStr">
        <is>
          <t>Medellín</t>
        </is>
      </c>
      <c r="E480" t="inlineStr">
        <is>
          <t>Juguetes</t>
        </is>
      </c>
      <c r="F480" t="inlineStr">
        <is>
          <t>Web</t>
        </is>
      </c>
      <c r="G480" t="inlineStr">
        <is>
          <t>4. Compra</t>
        </is>
      </c>
      <c r="H480" t="n">
        <v>1</v>
      </c>
      <c r="I480" s="73" t="n">
        <v>74600</v>
      </c>
      <c r="J480" s="73" t="n">
        <v>85790</v>
      </c>
      <c r="K480" s="73" t="n">
        <v>64102</v>
      </c>
    </row>
    <row r="481">
      <c r="A481" t="n">
        <v>12233</v>
      </c>
      <c r="B481" s="72" t="n">
        <v>45485.64236111111</v>
      </c>
      <c r="C481" t="inlineStr">
        <is>
          <t>Valle del Cauca</t>
        </is>
      </c>
      <c r="D481" t="inlineStr">
        <is>
          <t>Cali</t>
        </is>
      </c>
      <c r="E481" t="inlineStr">
        <is>
          <t>Belleza</t>
        </is>
      </c>
      <c r="F481" t="inlineStr">
        <is>
          <t>App</t>
        </is>
      </c>
      <c r="G481" t="inlineStr">
        <is>
          <t>1. Visita</t>
        </is>
      </c>
      <c r="H481" t="n">
        <v>3</v>
      </c>
      <c r="I481" s="73" t="n">
        <v>63600</v>
      </c>
      <c r="J481" s="73" t="n">
        <v>219420</v>
      </c>
      <c r="K481" s="73" t="n">
        <v>157856</v>
      </c>
    </row>
    <row r="482">
      <c r="A482" t="n">
        <v>11009</v>
      </c>
      <c r="B482" s="72" t="n">
        <v>45485.69027777778</v>
      </c>
      <c r="C482" t="inlineStr">
        <is>
          <t>Antioquia</t>
        </is>
      </c>
      <c r="D482" t="inlineStr">
        <is>
          <t>Medellín</t>
        </is>
      </c>
      <c r="E482" t="inlineStr">
        <is>
          <t>Belleza</t>
        </is>
      </c>
      <c r="F482" t="inlineStr">
        <is>
          <t>Web</t>
        </is>
      </c>
      <c r="G482" t="inlineStr">
        <is>
          <t>2. Carrito</t>
        </is>
      </c>
      <c r="H482" t="n">
        <v>5</v>
      </c>
      <c r="I482" s="73" t="n">
        <v>84300</v>
      </c>
      <c r="J482" s="73" t="n">
        <v>484725</v>
      </c>
      <c r="K482" s="73" t="n">
        <v>298561</v>
      </c>
    </row>
    <row r="483">
      <c r="A483" t="n">
        <v>12250</v>
      </c>
      <c r="B483" s="72" t="n">
        <v>45486.50972222222</v>
      </c>
      <c r="C483" t="inlineStr">
        <is>
          <t>Valle del Cauca</t>
        </is>
      </c>
      <c r="D483" t="inlineStr">
        <is>
          <t>Cali</t>
        </is>
      </c>
      <c r="E483" t="inlineStr">
        <is>
          <t>Deportes</t>
        </is>
      </c>
      <c r="F483" t="inlineStr">
        <is>
          <t>App</t>
        </is>
      </c>
      <c r="G483" t="inlineStr">
        <is>
          <t>2. Carrito</t>
        </is>
      </c>
      <c r="H483" t="n">
        <v>2</v>
      </c>
      <c r="I483" s="73" t="n">
        <v>127000</v>
      </c>
      <c r="J483" s="73" t="n">
        <v>292100</v>
      </c>
      <c r="K483" s="73" t="n">
        <v>170614</v>
      </c>
    </row>
    <row r="484">
      <c r="A484" t="n">
        <v>11657</v>
      </c>
      <c r="B484" s="72" t="n">
        <v>45486.53472222222</v>
      </c>
      <c r="C484" t="inlineStr">
        <is>
          <t>Bolívar</t>
        </is>
      </c>
      <c r="D484" t="inlineStr">
        <is>
          <t>Cartagena</t>
        </is>
      </c>
      <c r="E484" t="inlineStr">
        <is>
          <t>Hogar</t>
        </is>
      </c>
      <c r="F484" t="inlineStr">
        <is>
          <t>Web</t>
        </is>
      </c>
      <c r="G484" t="inlineStr">
        <is>
          <t>2. Carrito</t>
        </is>
      </c>
      <c r="H484" t="n">
        <v>5</v>
      </c>
      <c r="I484" s="73" t="n">
        <v>190600</v>
      </c>
      <c r="J484" s="73" t="n">
        <v>1095950</v>
      </c>
      <c r="K484" s="73" t="n">
        <v>621421</v>
      </c>
    </row>
    <row r="485">
      <c r="A485" t="n">
        <v>11496</v>
      </c>
      <c r="B485" s="72" t="n">
        <v>45486.66527777778</v>
      </c>
      <c r="C485" t="inlineStr">
        <is>
          <t>Bogotá D.C.</t>
        </is>
      </c>
      <c r="D485" t="inlineStr">
        <is>
          <t>Bogotá</t>
        </is>
      </c>
      <c r="E485" t="inlineStr">
        <is>
          <t>Hogar</t>
        </is>
      </c>
      <c r="F485" t="inlineStr">
        <is>
          <t>Tienda física</t>
        </is>
      </c>
      <c r="G485" t="inlineStr">
        <is>
          <t>1. Visita</t>
        </is>
      </c>
      <c r="H485" t="n">
        <v>4</v>
      </c>
      <c r="I485" s="73" t="n">
        <v>213900</v>
      </c>
      <c r="J485" s="73" t="n">
        <v>983940</v>
      </c>
      <c r="K485" s="73" t="n">
        <v>636419</v>
      </c>
    </row>
    <row r="486">
      <c r="A486" t="n">
        <v>11753</v>
      </c>
      <c r="B486" s="72" t="n">
        <v>45486.80625</v>
      </c>
      <c r="C486" t="inlineStr">
        <is>
          <t>Valle del Cauca</t>
        </is>
      </c>
      <c r="D486" t="inlineStr">
        <is>
          <t>Cali</t>
        </is>
      </c>
      <c r="E486" t="inlineStr">
        <is>
          <t>Hogar</t>
        </is>
      </c>
      <c r="F486" t="inlineStr">
        <is>
          <t>App</t>
        </is>
      </c>
      <c r="G486" t="inlineStr">
        <is>
          <t>2. Carrito</t>
        </is>
      </c>
      <c r="H486" t="n">
        <v>5</v>
      </c>
      <c r="I486" s="73" t="n">
        <v>272300</v>
      </c>
      <c r="J486" s="73" t="n">
        <v>1565725</v>
      </c>
      <c r="K486" s="73" t="n">
        <v>1121289</v>
      </c>
    </row>
    <row r="487">
      <c r="A487" t="n">
        <v>12247</v>
      </c>
      <c r="B487" s="72" t="n">
        <v>45486.82638888889</v>
      </c>
      <c r="C487" t="inlineStr">
        <is>
          <t>Antioquia</t>
        </is>
      </c>
      <c r="D487" t="inlineStr">
        <is>
          <t>Medellín</t>
        </is>
      </c>
      <c r="E487" t="inlineStr">
        <is>
          <t>Hogar</t>
        </is>
      </c>
      <c r="F487" t="inlineStr">
        <is>
          <t>App</t>
        </is>
      </c>
      <c r="G487" t="inlineStr">
        <is>
          <t>1. Visita</t>
        </is>
      </c>
      <c r="H487" t="n">
        <v>1</v>
      </c>
      <c r="I487" s="73" t="n">
        <v>151100</v>
      </c>
      <c r="J487" s="73" t="n">
        <v>173765</v>
      </c>
      <c r="K487" s="73" t="n">
        <v>113785</v>
      </c>
    </row>
    <row r="488">
      <c r="A488" t="n">
        <v>11684</v>
      </c>
      <c r="B488" s="72" t="n">
        <v>45487.28680555556</v>
      </c>
      <c r="C488" t="inlineStr">
        <is>
          <t>Atlántico</t>
        </is>
      </c>
      <c r="D488" t="inlineStr">
        <is>
          <t>Barranquilla</t>
        </is>
      </c>
      <c r="E488" t="inlineStr">
        <is>
          <t>Moda</t>
        </is>
      </c>
      <c r="F488" t="inlineStr">
        <is>
          <t>Web</t>
        </is>
      </c>
      <c r="G488" t="inlineStr">
        <is>
          <t>1. Visita</t>
        </is>
      </c>
      <c r="H488" t="n">
        <v>3</v>
      </c>
      <c r="I488" s="73" t="n">
        <v>98000</v>
      </c>
      <c r="J488" s="73" t="n">
        <v>338100</v>
      </c>
      <c r="K488" s="73" t="n">
        <v>231113</v>
      </c>
    </row>
    <row r="489">
      <c r="A489" t="n">
        <v>12031</v>
      </c>
      <c r="B489" s="72" t="n">
        <v>45487.72291666667</v>
      </c>
      <c r="C489" t="inlineStr">
        <is>
          <t>Atlántico</t>
        </is>
      </c>
      <c r="D489" t="inlineStr">
        <is>
          <t>Barranquilla</t>
        </is>
      </c>
      <c r="E489" t="inlineStr">
        <is>
          <t>Tecnología</t>
        </is>
      </c>
      <c r="F489" t="inlineStr">
        <is>
          <t>Web</t>
        </is>
      </c>
      <c r="G489" t="inlineStr">
        <is>
          <t>1. Visita</t>
        </is>
      </c>
      <c r="H489" t="n">
        <v>5</v>
      </c>
      <c r="I489" s="73" t="n">
        <v>794200</v>
      </c>
      <c r="J489" s="73" t="n">
        <v>4566650</v>
      </c>
      <c r="K489" s="73" t="n">
        <v>2817324</v>
      </c>
    </row>
    <row r="490">
      <c r="A490" t="n">
        <v>11578</v>
      </c>
      <c r="B490" s="72" t="n">
        <v>45487.75625</v>
      </c>
      <c r="C490" t="inlineStr">
        <is>
          <t>Antioquia</t>
        </is>
      </c>
      <c r="D490" t="inlineStr">
        <is>
          <t>Medellín</t>
        </is>
      </c>
      <c r="E490" t="inlineStr">
        <is>
          <t>Deportes</t>
        </is>
      </c>
      <c r="F490" t="inlineStr">
        <is>
          <t>Web</t>
        </is>
      </c>
      <c r="G490" t="inlineStr">
        <is>
          <t>4. Compra</t>
        </is>
      </c>
      <c r="H490" t="n">
        <v>4</v>
      </c>
      <c r="I490" s="73" t="n">
        <v>163000</v>
      </c>
      <c r="J490" s="73" t="n">
        <v>749800</v>
      </c>
      <c r="K490" s="73" t="n">
        <v>530068</v>
      </c>
    </row>
    <row r="491">
      <c r="A491" t="n">
        <v>10216</v>
      </c>
      <c r="B491" s="72" t="n">
        <v>45487.96944444445</v>
      </c>
      <c r="C491" t="inlineStr">
        <is>
          <t>Risaralda</t>
        </is>
      </c>
      <c r="D491" t="inlineStr">
        <is>
          <t>Pereira</t>
        </is>
      </c>
      <c r="E491" t="inlineStr">
        <is>
          <t>Deportes</t>
        </is>
      </c>
      <c r="F491" t="inlineStr">
        <is>
          <t>Marketplace</t>
        </is>
      </c>
      <c r="G491" t="inlineStr">
        <is>
          <t>2. Carrito</t>
        </is>
      </c>
      <c r="H491" t="n">
        <v>4</v>
      </c>
      <c r="I491" s="73" t="n">
        <v>153900</v>
      </c>
      <c r="J491" s="73" t="n">
        <v>707940</v>
      </c>
      <c r="K491" s="73" t="n">
        <v>528130</v>
      </c>
    </row>
    <row r="492">
      <c r="A492" t="n">
        <v>12259</v>
      </c>
      <c r="B492" s="72" t="n">
        <v>45488.47361111111</v>
      </c>
      <c r="C492" t="inlineStr">
        <is>
          <t>Huila</t>
        </is>
      </c>
      <c r="D492" t="inlineStr">
        <is>
          <t>Neiva</t>
        </is>
      </c>
      <c r="E492" t="inlineStr">
        <is>
          <t>Deportes</t>
        </is>
      </c>
      <c r="F492" t="inlineStr">
        <is>
          <t>Web</t>
        </is>
      </c>
      <c r="G492" t="inlineStr">
        <is>
          <t>1. Visita</t>
        </is>
      </c>
      <c r="H492" t="n">
        <v>4</v>
      </c>
      <c r="I492" s="73" t="n">
        <v>199000</v>
      </c>
      <c r="J492" s="73" t="n">
        <v>796000</v>
      </c>
      <c r="K492" s="73" t="n">
        <v>474070</v>
      </c>
    </row>
    <row r="493">
      <c r="A493" t="n">
        <v>12130</v>
      </c>
      <c r="B493" s="72" t="n">
        <v>45488.60902777778</v>
      </c>
      <c r="C493" t="inlineStr">
        <is>
          <t>Bogotá D.C.</t>
        </is>
      </c>
      <c r="D493" t="inlineStr">
        <is>
          <t>Bogotá</t>
        </is>
      </c>
      <c r="E493" t="inlineStr">
        <is>
          <t>Deportes</t>
        </is>
      </c>
      <c r="F493" t="inlineStr">
        <is>
          <t>Marketplace</t>
        </is>
      </c>
      <c r="G493" t="inlineStr">
        <is>
          <t>2. Carrito</t>
        </is>
      </c>
      <c r="H493" t="n">
        <v>1</v>
      </c>
      <c r="I493" s="73" t="n">
        <v>184600</v>
      </c>
      <c r="J493" s="73" t="n">
        <v>184600</v>
      </c>
      <c r="K493" s="73" t="n">
        <v>136606</v>
      </c>
    </row>
    <row r="494">
      <c r="A494" t="n">
        <v>11200</v>
      </c>
      <c r="B494" s="72" t="n">
        <v>45488.61041666667</v>
      </c>
      <c r="C494" t="inlineStr">
        <is>
          <t>Valle del Cauca</t>
        </is>
      </c>
      <c r="D494" t="inlineStr">
        <is>
          <t>Cali</t>
        </is>
      </c>
      <c r="E494" t="inlineStr">
        <is>
          <t>Moda</t>
        </is>
      </c>
      <c r="F494" t="inlineStr">
        <is>
          <t>Marketplace</t>
        </is>
      </c>
      <c r="G494" t="inlineStr">
        <is>
          <t>2. Carrito</t>
        </is>
      </c>
      <c r="H494" t="n">
        <v>5</v>
      </c>
      <c r="I494" s="73" t="n">
        <v>85500</v>
      </c>
      <c r="J494" s="73" t="n">
        <v>427500</v>
      </c>
      <c r="K494" s="73" t="n">
        <v>244036</v>
      </c>
    </row>
    <row r="495">
      <c r="A495" t="n">
        <v>12045</v>
      </c>
      <c r="B495" s="72" t="n">
        <v>45488.74097222222</v>
      </c>
      <c r="C495" t="inlineStr">
        <is>
          <t>Valle del Cauca</t>
        </is>
      </c>
      <c r="D495" t="inlineStr">
        <is>
          <t>Cali</t>
        </is>
      </c>
      <c r="E495" t="inlineStr">
        <is>
          <t>Belleza</t>
        </is>
      </c>
      <c r="F495" t="inlineStr">
        <is>
          <t>Marketplace</t>
        </is>
      </c>
      <c r="G495" t="inlineStr">
        <is>
          <t>1. Visita</t>
        </is>
      </c>
      <c r="H495" t="n">
        <v>1</v>
      </c>
      <c r="I495" s="73" t="n">
        <v>56200</v>
      </c>
      <c r="J495" s="73" t="n">
        <v>56200</v>
      </c>
      <c r="K495" s="73" t="n">
        <v>37478</v>
      </c>
    </row>
    <row r="496">
      <c r="A496" t="n">
        <v>10058</v>
      </c>
      <c r="B496" s="72" t="n">
        <v>45488.89444444444</v>
      </c>
      <c r="C496" t="inlineStr">
        <is>
          <t>Bogotá D.C.</t>
        </is>
      </c>
      <c r="D496" t="inlineStr">
        <is>
          <t>Bogotá</t>
        </is>
      </c>
      <c r="E496" t="inlineStr">
        <is>
          <t>Hogar</t>
        </is>
      </c>
      <c r="F496" t="inlineStr">
        <is>
          <t>Tienda física</t>
        </is>
      </c>
      <c r="G496" t="inlineStr">
        <is>
          <t>4. Compra</t>
        </is>
      </c>
      <c r="H496" t="n">
        <v>5</v>
      </c>
      <c r="I496" s="73" t="n">
        <v>271300</v>
      </c>
      <c r="J496" s="73" t="n">
        <v>1356500</v>
      </c>
      <c r="K496" s="73" t="n">
        <v>789230</v>
      </c>
    </row>
    <row r="497">
      <c r="A497" t="n">
        <v>10184</v>
      </c>
      <c r="B497" s="72" t="n">
        <v>45489.38680555556</v>
      </c>
      <c r="C497" t="inlineStr">
        <is>
          <t>Atlántico</t>
        </is>
      </c>
      <c r="D497" t="inlineStr">
        <is>
          <t>Barranquilla</t>
        </is>
      </c>
      <c r="E497" t="inlineStr">
        <is>
          <t>Deportes</t>
        </is>
      </c>
      <c r="F497" t="inlineStr">
        <is>
          <t>App</t>
        </is>
      </c>
      <c r="G497" t="inlineStr">
        <is>
          <t>3. Pago</t>
        </is>
      </c>
      <c r="H497" t="n">
        <v>1</v>
      </c>
      <c r="I497" s="73" t="n">
        <v>156900</v>
      </c>
      <c r="J497" s="73" t="n">
        <v>156900</v>
      </c>
      <c r="K497" s="73" t="n">
        <v>114432</v>
      </c>
    </row>
    <row r="498">
      <c r="A498" t="n">
        <v>10520</v>
      </c>
      <c r="B498" s="72" t="n">
        <v>45489.48680555556</v>
      </c>
      <c r="C498" t="inlineStr">
        <is>
          <t>Valle del Cauca</t>
        </is>
      </c>
      <c r="D498" t="inlineStr">
        <is>
          <t>Cali</t>
        </is>
      </c>
      <c r="E498" t="inlineStr">
        <is>
          <t>Hogar</t>
        </is>
      </c>
      <c r="F498" t="inlineStr">
        <is>
          <t>Web</t>
        </is>
      </c>
      <c r="G498" t="inlineStr">
        <is>
          <t>1. Visita</t>
        </is>
      </c>
      <c r="H498" t="n">
        <v>5</v>
      </c>
      <c r="I498" s="73" t="n">
        <v>176700</v>
      </c>
      <c r="J498" s="73" t="n">
        <v>883500</v>
      </c>
      <c r="K498" s="73" t="n">
        <v>497617</v>
      </c>
    </row>
    <row r="499">
      <c r="A499" t="n">
        <v>11746</v>
      </c>
      <c r="B499" s="72" t="n">
        <v>45489.59444444445</v>
      </c>
      <c r="C499" t="inlineStr">
        <is>
          <t>Santander</t>
        </is>
      </c>
      <c r="D499" t="inlineStr">
        <is>
          <t>Bucaramanga</t>
        </is>
      </c>
      <c r="E499" t="inlineStr">
        <is>
          <t>Moda</t>
        </is>
      </c>
      <c r="F499" t="inlineStr">
        <is>
          <t>Web</t>
        </is>
      </c>
      <c r="G499" t="inlineStr">
        <is>
          <t>4. Compra</t>
        </is>
      </c>
      <c r="H499" t="n">
        <v>3</v>
      </c>
      <c r="I499" s="73" t="n">
        <v>132100</v>
      </c>
      <c r="J499" s="73" t="n">
        <v>396300</v>
      </c>
      <c r="K499" s="73" t="n">
        <v>247708</v>
      </c>
    </row>
    <row r="500">
      <c r="A500" t="n">
        <v>11866</v>
      </c>
      <c r="B500" s="72" t="n">
        <v>45489.78263888889</v>
      </c>
      <c r="C500" t="inlineStr">
        <is>
          <t>Antioquia</t>
        </is>
      </c>
      <c r="D500" t="inlineStr">
        <is>
          <t>Medellín</t>
        </is>
      </c>
      <c r="E500" t="inlineStr">
        <is>
          <t>Hogar</t>
        </is>
      </c>
      <c r="F500" t="inlineStr">
        <is>
          <t>Web</t>
        </is>
      </c>
      <c r="G500" t="inlineStr">
        <is>
          <t>1. Visita</t>
        </is>
      </c>
      <c r="H500" t="n">
        <v>2</v>
      </c>
      <c r="I500" s="73" t="n">
        <v>257600</v>
      </c>
      <c r="J500" s="73" t="n">
        <v>515200</v>
      </c>
      <c r="K500" s="73" t="n">
        <v>331664</v>
      </c>
    </row>
    <row r="501">
      <c r="A501" t="n">
        <v>10116</v>
      </c>
      <c r="B501" s="72" t="n">
        <v>45489.80625</v>
      </c>
      <c r="C501" t="inlineStr">
        <is>
          <t>Bogotá D.C.</t>
        </is>
      </c>
      <c r="D501" t="inlineStr">
        <is>
          <t>Bogotá</t>
        </is>
      </c>
      <c r="E501" t="inlineStr">
        <is>
          <t>Deportes</t>
        </is>
      </c>
      <c r="F501" t="inlineStr">
        <is>
          <t>App</t>
        </is>
      </c>
      <c r="G501" t="inlineStr">
        <is>
          <t>1. Visita</t>
        </is>
      </c>
      <c r="H501" t="n">
        <v>4</v>
      </c>
      <c r="I501" s="73" t="n">
        <v>123800</v>
      </c>
      <c r="J501" s="73" t="n">
        <v>495200</v>
      </c>
      <c r="K501" s="73" t="n">
        <v>322776</v>
      </c>
    </row>
    <row r="502">
      <c r="A502" t="n">
        <v>11701</v>
      </c>
      <c r="B502" s="72" t="n">
        <v>45490.01666666667</v>
      </c>
      <c r="C502" t="inlineStr">
        <is>
          <t>Bogotá D.C.</t>
        </is>
      </c>
      <c r="D502" t="inlineStr">
        <is>
          <t>Bogotá</t>
        </is>
      </c>
      <c r="E502" t="inlineStr">
        <is>
          <t>Juguetes</t>
        </is>
      </c>
      <c r="F502" t="inlineStr">
        <is>
          <t>Web</t>
        </is>
      </c>
      <c r="G502" t="inlineStr">
        <is>
          <t>3. Pago</t>
        </is>
      </c>
      <c r="H502" t="n">
        <v>3</v>
      </c>
      <c r="I502" s="73" t="n">
        <v>64500</v>
      </c>
      <c r="J502" s="73" t="n">
        <v>193500</v>
      </c>
      <c r="K502" s="73" t="n">
        <v>139177</v>
      </c>
    </row>
    <row r="503">
      <c r="A503" t="n">
        <v>11651</v>
      </c>
      <c r="B503" s="72" t="n">
        <v>45490.48402777778</v>
      </c>
      <c r="C503" t="inlineStr">
        <is>
          <t>Bogotá D.C.</t>
        </is>
      </c>
      <c r="D503" t="inlineStr">
        <is>
          <t>Bogotá</t>
        </is>
      </c>
      <c r="E503" t="inlineStr">
        <is>
          <t>Moda</t>
        </is>
      </c>
      <c r="F503" t="inlineStr">
        <is>
          <t>Marketplace</t>
        </is>
      </c>
      <c r="G503" t="inlineStr">
        <is>
          <t>4. Compra</t>
        </is>
      </c>
      <c r="H503" t="n">
        <v>1</v>
      </c>
      <c r="I503" s="73" t="n">
        <v>120400</v>
      </c>
      <c r="J503" s="73" t="n">
        <v>120400</v>
      </c>
      <c r="K503" s="73" t="n">
        <v>85276</v>
      </c>
    </row>
    <row r="504">
      <c r="A504" t="n">
        <v>10069</v>
      </c>
      <c r="B504" s="72" t="n">
        <v>45490.52569444444</v>
      </c>
      <c r="C504" t="inlineStr">
        <is>
          <t>Risaralda</t>
        </is>
      </c>
      <c r="D504" t="inlineStr">
        <is>
          <t>Pereira</t>
        </is>
      </c>
      <c r="E504" t="inlineStr">
        <is>
          <t>Belleza</t>
        </is>
      </c>
      <c r="F504" t="inlineStr">
        <is>
          <t>Web</t>
        </is>
      </c>
      <c r="G504" t="inlineStr">
        <is>
          <t>4. Compra</t>
        </is>
      </c>
      <c r="H504" t="n">
        <v>2</v>
      </c>
      <c r="I504" s="73" t="n">
        <v>53500</v>
      </c>
      <c r="J504" s="73" t="n">
        <v>107000</v>
      </c>
      <c r="K504" s="73" t="n">
        <v>62262</v>
      </c>
    </row>
    <row r="505">
      <c r="A505" t="n">
        <v>10365</v>
      </c>
      <c r="B505" s="72" t="n">
        <v>45490.66041666667</v>
      </c>
      <c r="C505" t="inlineStr">
        <is>
          <t>Meta</t>
        </is>
      </c>
      <c r="D505" t="inlineStr">
        <is>
          <t>Villavicencio</t>
        </is>
      </c>
      <c r="E505" t="inlineStr">
        <is>
          <t>Tecnología</t>
        </is>
      </c>
      <c r="F505" t="inlineStr">
        <is>
          <t>Tienda física</t>
        </is>
      </c>
      <c r="G505" t="inlineStr">
        <is>
          <t>2. Carrito</t>
        </is>
      </c>
      <c r="H505" t="n">
        <v>1</v>
      </c>
      <c r="I505" s="73" t="n">
        <v>1084400</v>
      </c>
      <c r="J505" s="73" t="n">
        <v>1084400</v>
      </c>
      <c r="K505" s="73" t="n">
        <v>704302</v>
      </c>
    </row>
    <row r="506">
      <c r="A506" t="n">
        <v>11891</v>
      </c>
      <c r="B506" s="72" t="n">
        <v>45490.76875</v>
      </c>
      <c r="C506" t="inlineStr">
        <is>
          <t>Antioquia</t>
        </is>
      </c>
      <c r="D506" t="inlineStr">
        <is>
          <t>Medellín</t>
        </is>
      </c>
      <c r="E506" t="inlineStr">
        <is>
          <t>Tecnología</t>
        </is>
      </c>
      <c r="F506" t="inlineStr">
        <is>
          <t>Tienda física</t>
        </is>
      </c>
      <c r="G506" t="inlineStr">
        <is>
          <t>2. Carrito</t>
        </is>
      </c>
      <c r="H506" t="n">
        <v>2</v>
      </c>
      <c r="I506" s="73" t="n">
        <v>971800</v>
      </c>
      <c r="J506" s="73" t="n">
        <v>1943600</v>
      </c>
      <c r="K506" s="73" t="n">
        <v>1314297</v>
      </c>
    </row>
    <row r="507">
      <c r="A507" t="n">
        <v>11017</v>
      </c>
      <c r="B507" s="72" t="n">
        <v>45490.77916666667</v>
      </c>
      <c r="C507" t="inlineStr">
        <is>
          <t>Atlántico</t>
        </is>
      </c>
      <c r="D507" t="inlineStr">
        <is>
          <t>Barranquilla</t>
        </is>
      </c>
      <c r="E507" t="inlineStr">
        <is>
          <t>Belleza</t>
        </is>
      </c>
      <c r="F507" t="inlineStr">
        <is>
          <t>Web</t>
        </is>
      </c>
      <c r="G507" t="inlineStr">
        <is>
          <t>2. Carrito</t>
        </is>
      </c>
      <c r="H507" t="n">
        <v>5</v>
      </c>
      <c r="I507" s="73" t="n">
        <v>85300</v>
      </c>
      <c r="J507" s="73" t="n">
        <v>426500</v>
      </c>
      <c r="K507" s="73" t="n">
        <v>312140</v>
      </c>
    </row>
    <row r="508">
      <c r="A508" t="n">
        <v>12025</v>
      </c>
      <c r="B508" s="72" t="n">
        <v>45491.31180555555</v>
      </c>
      <c r="C508" t="inlineStr">
        <is>
          <t>Risaralda</t>
        </is>
      </c>
      <c r="D508" t="inlineStr">
        <is>
          <t>Pereira</t>
        </is>
      </c>
      <c r="E508" t="inlineStr">
        <is>
          <t>Moda</t>
        </is>
      </c>
      <c r="F508" t="inlineStr">
        <is>
          <t>App</t>
        </is>
      </c>
      <c r="G508" t="inlineStr">
        <is>
          <t>1. Visita</t>
        </is>
      </c>
      <c r="H508" t="n">
        <v>5</v>
      </c>
      <c r="I508" s="73" t="n">
        <v>120200</v>
      </c>
      <c r="J508" s="73" t="n">
        <v>601000</v>
      </c>
      <c r="K508" s="73" t="n">
        <v>444019</v>
      </c>
    </row>
    <row r="509">
      <c r="A509" t="n">
        <v>12111</v>
      </c>
      <c r="B509" s="72" t="n">
        <v>45491.33333333334</v>
      </c>
      <c r="C509" t="inlineStr">
        <is>
          <t>Risaralda</t>
        </is>
      </c>
      <c r="D509" t="inlineStr">
        <is>
          <t>Pereira</t>
        </is>
      </c>
      <c r="E509" t="inlineStr">
        <is>
          <t>Tecnología</t>
        </is>
      </c>
      <c r="F509" t="inlineStr">
        <is>
          <t>Web</t>
        </is>
      </c>
      <c r="G509" t="inlineStr">
        <is>
          <t>1. Visita</t>
        </is>
      </c>
      <c r="H509" t="n">
        <v>4</v>
      </c>
      <c r="I509" s="73" t="n">
        <v>807700</v>
      </c>
      <c r="J509" s="73" t="n">
        <v>3230800</v>
      </c>
      <c r="K509" s="73" t="n">
        <v>2153759</v>
      </c>
    </row>
    <row r="510">
      <c r="A510" t="n">
        <v>11038</v>
      </c>
      <c r="B510" s="72" t="n">
        <v>45491.56111111111</v>
      </c>
      <c r="C510" t="inlineStr">
        <is>
          <t>Valle del Cauca</t>
        </is>
      </c>
      <c r="D510" t="inlineStr">
        <is>
          <t>Cali</t>
        </is>
      </c>
      <c r="E510" t="inlineStr">
        <is>
          <t>Moda</t>
        </is>
      </c>
      <c r="F510" t="inlineStr">
        <is>
          <t>App</t>
        </is>
      </c>
      <c r="G510" t="inlineStr">
        <is>
          <t>4. Compra</t>
        </is>
      </c>
      <c r="H510" t="n">
        <v>2</v>
      </c>
      <c r="I510" s="73" t="n">
        <v>137100</v>
      </c>
      <c r="J510" s="73" t="n">
        <v>274200</v>
      </c>
      <c r="K510" s="73" t="n">
        <v>155094</v>
      </c>
    </row>
    <row r="511">
      <c r="A511" t="n">
        <v>11998</v>
      </c>
      <c r="B511" s="72" t="n">
        <v>45491.61458333334</v>
      </c>
      <c r="C511" t="inlineStr">
        <is>
          <t>Nariño</t>
        </is>
      </c>
      <c r="D511" t="inlineStr">
        <is>
          <t>Pasto</t>
        </is>
      </c>
      <c r="E511" t="inlineStr">
        <is>
          <t>Moda</t>
        </is>
      </c>
      <c r="F511" t="inlineStr">
        <is>
          <t>Web</t>
        </is>
      </c>
      <c r="G511" t="inlineStr">
        <is>
          <t>1. Visita</t>
        </is>
      </c>
      <c r="H511" t="n">
        <v>1</v>
      </c>
      <c r="I511" s="73" t="n">
        <v>145400</v>
      </c>
      <c r="J511" s="73" t="n">
        <v>145400</v>
      </c>
      <c r="K511" s="73" t="n">
        <v>89559</v>
      </c>
    </row>
    <row r="512">
      <c r="A512" t="n">
        <v>10346</v>
      </c>
      <c r="B512" s="72" t="n">
        <v>45491.86111111111</v>
      </c>
      <c r="C512" t="inlineStr">
        <is>
          <t>Nariño</t>
        </is>
      </c>
      <c r="D512" t="inlineStr">
        <is>
          <t>Pasto</t>
        </is>
      </c>
      <c r="E512" t="inlineStr">
        <is>
          <t>Moda</t>
        </is>
      </c>
      <c r="F512" t="inlineStr">
        <is>
          <t>App</t>
        </is>
      </c>
      <c r="G512" t="inlineStr">
        <is>
          <t>1. Visita</t>
        </is>
      </c>
      <c r="H512" t="n">
        <v>1</v>
      </c>
      <c r="I512" s="73" t="n">
        <v>101700</v>
      </c>
      <c r="J512" s="73" t="n">
        <v>101700</v>
      </c>
      <c r="K512" s="73" t="n">
        <v>69640</v>
      </c>
    </row>
    <row r="513">
      <c r="A513" t="n">
        <v>10428</v>
      </c>
      <c r="B513" s="72" t="n">
        <v>45491.91736111111</v>
      </c>
      <c r="C513" t="inlineStr">
        <is>
          <t>Antioquia</t>
        </is>
      </c>
      <c r="D513" t="inlineStr">
        <is>
          <t>Medellín</t>
        </is>
      </c>
      <c r="E513" t="inlineStr">
        <is>
          <t>Deportes</t>
        </is>
      </c>
      <c r="F513" t="inlineStr">
        <is>
          <t>App</t>
        </is>
      </c>
      <c r="G513" t="inlineStr">
        <is>
          <t>4. Compra</t>
        </is>
      </c>
      <c r="H513" t="n">
        <v>4</v>
      </c>
      <c r="I513" s="73" t="n">
        <v>167700</v>
      </c>
      <c r="J513" s="73" t="n">
        <v>670800</v>
      </c>
      <c r="K513" s="73" t="n">
        <v>385065</v>
      </c>
    </row>
    <row r="514">
      <c r="A514" t="n">
        <v>12139</v>
      </c>
      <c r="B514" s="72" t="n">
        <v>45492.48888888889</v>
      </c>
      <c r="C514" t="inlineStr">
        <is>
          <t>Atlántico</t>
        </is>
      </c>
      <c r="D514" t="inlineStr">
        <is>
          <t>Barranquilla</t>
        </is>
      </c>
      <c r="E514" t="inlineStr">
        <is>
          <t>Moda</t>
        </is>
      </c>
      <c r="F514" t="inlineStr">
        <is>
          <t>Web</t>
        </is>
      </c>
      <c r="G514" t="inlineStr">
        <is>
          <t>1. Visita</t>
        </is>
      </c>
      <c r="H514" t="n">
        <v>3</v>
      </c>
      <c r="I514" s="73" t="n">
        <v>114600</v>
      </c>
      <c r="J514" s="73" t="n">
        <v>395370</v>
      </c>
      <c r="K514" s="73" t="n">
        <v>264954</v>
      </c>
    </row>
    <row r="515">
      <c r="A515" t="n">
        <v>10752</v>
      </c>
      <c r="B515" s="72" t="n">
        <v>45492.61388888889</v>
      </c>
      <c r="C515" t="inlineStr">
        <is>
          <t>Bolívar</t>
        </is>
      </c>
      <c r="D515" t="inlineStr">
        <is>
          <t>Cartagena</t>
        </is>
      </c>
      <c r="E515" t="inlineStr">
        <is>
          <t>Deportes</t>
        </is>
      </c>
      <c r="F515" t="inlineStr">
        <is>
          <t>Tienda física</t>
        </is>
      </c>
      <c r="G515" t="inlineStr">
        <is>
          <t>4. Compra</t>
        </is>
      </c>
      <c r="H515" t="n">
        <v>4</v>
      </c>
      <c r="I515" s="73" t="n">
        <v>121100</v>
      </c>
      <c r="J515" s="73" t="n">
        <v>557060</v>
      </c>
      <c r="K515" s="73" t="n">
        <v>411495</v>
      </c>
    </row>
    <row r="516">
      <c r="A516" t="n">
        <v>11264</v>
      </c>
      <c r="B516" s="72" t="n">
        <v>45492.77430555555</v>
      </c>
      <c r="C516" t="inlineStr">
        <is>
          <t>Valle del Cauca</t>
        </is>
      </c>
      <c r="D516" t="inlineStr">
        <is>
          <t>Cali</t>
        </is>
      </c>
      <c r="E516" t="inlineStr">
        <is>
          <t>Juguetes</t>
        </is>
      </c>
      <c r="F516" t="inlineStr">
        <is>
          <t>Tienda física</t>
        </is>
      </c>
      <c r="G516" t="inlineStr">
        <is>
          <t>1. Visita</t>
        </is>
      </c>
      <c r="H516" t="n">
        <v>1</v>
      </c>
      <c r="I516" s="73" t="n">
        <v>87600</v>
      </c>
      <c r="J516" s="73" t="n">
        <v>100740</v>
      </c>
      <c r="K516" s="73" t="n">
        <v>59258</v>
      </c>
    </row>
    <row r="517">
      <c r="A517" t="n">
        <v>12212</v>
      </c>
      <c r="B517" s="72" t="n">
        <v>45493.55138888889</v>
      </c>
      <c r="C517" t="inlineStr">
        <is>
          <t>Huila</t>
        </is>
      </c>
      <c r="D517" t="inlineStr">
        <is>
          <t>Neiva</t>
        </is>
      </c>
      <c r="E517" t="inlineStr">
        <is>
          <t>Juguetes</t>
        </is>
      </c>
      <c r="F517" t="inlineStr">
        <is>
          <t>Tienda física</t>
        </is>
      </c>
      <c r="G517" t="inlineStr">
        <is>
          <t>2. Carrito</t>
        </is>
      </c>
      <c r="H517" t="n">
        <v>1</v>
      </c>
      <c r="I517" s="73" t="n">
        <v>91400</v>
      </c>
      <c r="J517" s="73" t="n">
        <v>105110</v>
      </c>
      <c r="K517" s="73" t="n">
        <v>76289</v>
      </c>
    </row>
    <row r="518">
      <c r="A518" t="n">
        <v>11786</v>
      </c>
      <c r="B518" s="72" t="n">
        <v>45493.86180555556</v>
      </c>
      <c r="C518" t="inlineStr">
        <is>
          <t>Bogotá D.C.</t>
        </is>
      </c>
      <c r="D518" t="inlineStr">
        <is>
          <t>Bogotá</t>
        </is>
      </c>
      <c r="E518" t="inlineStr">
        <is>
          <t>Belleza</t>
        </is>
      </c>
      <c r="F518" t="inlineStr">
        <is>
          <t>Tienda física</t>
        </is>
      </c>
      <c r="G518" t="inlineStr">
        <is>
          <t>2. Carrito</t>
        </is>
      </c>
      <c r="H518" t="n">
        <v>5</v>
      </c>
      <c r="I518" s="73" t="n">
        <v>82900</v>
      </c>
      <c r="J518" s="73" t="n">
        <v>476675</v>
      </c>
      <c r="K518" s="73" t="n">
        <v>298546</v>
      </c>
    </row>
    <row r="519">
      <c r="A519" t="n">
        <v>10582</v>
      </c>
      <c r="B519" s="72" t="n">
        <v>45494.40208333333</v>
      </c>
      <c r="C519" t="inlineStr">
        <is>
          <t>Bogotá D.C.</t>
        </is>
      </c>
      <c r="D519" t="inlineStr">
        <is>
          <t>Bogotá</t>
        </is>
      </c>
      <c r="E519" t="inlineStr">
        <is>
          <t>Moda</t>
        </is>
      </c>
      <c r="F519" t="inlineStr">
        <is>
          <t>Marketplace</t>
        </is>
      </c>
      <c r="G519" t="inlineStr">
        <is>
          <t>1. Visita</t>
        </is>
      </c>
      <c r="H519" t="n">
        <v>2</v>
      </c>
      <c r="I519" s="73" t="n">
        <v>120400</v>
      </c>
      <c r="J519" s="73" t="n">
        <v>276920</v>
      </c>
      <c r="K519" s="73" t="n">
        <v>172298</v>
      </c>
    </row>
    <row r="520">
      <c r="A520" t="n">
        <v>10571</v>
      </c>
      <c r="B520" s="72" t="n">
        <v>45494.68680555555</v>
      </c>
      <c r="C520" t="inlineStr">
        <is>
          <t>Santander</t>
        </is>
      </c>
      <c r="D520" t="inlineStr">
        <is>
          <t>Bucaramanga</t>
        </is>
      </c>
      <c r="E520" t="inlineStr">
        <is>
          <t>Tecnología</t>
        </is>
      </c>
      <c r="F520" t="inlineStr">
        <is>
          <t>Tienda física</t>
        </is>
      </c>
      <c r="G520" t="inlineStr">
        <is>
          <t>2. Carrito</t>
        </is>
      </c>
      <c r="H520" t="n">
        <v>4</v>
      </c>
      <c r="I520" s="73" t="n">
        <v>1091100</v>
      </c>
      <c r="J520" s="73" t="n">
        <v>5019060</v>
      </c>
      <c r="K520" s="73" t="n">
        <v>3480275</v>
      </c>
    </row>
    <row r="521">
      <c r="A521" t="n">
        <v>11710</v>
      </c>
      <c r="B521" s="72" t="n">
        <v>45494.82152777778</v>
      </c>
      <c r="C521" t="inlineStr">
        <is>
          <t>Antioquia</t>
        </is>
      </c>
      <c r="D521" t="inlineStr">
        <is>
          <t>Medellín</t>
        </is>
      </c>
      <c r="E521" t="inlineStr">
        <is>
          <t>Tecnología</t>
        </is>
      </c>
      <c r="F521" t="inlineStr">
        <is>
          <t>App</t>
        </is>
      </c>
      <c r="G521" t="inlineStr">
        <is>
          <t>2. Carrito</t>
        </is>
      </c>
      <c r="H521" t="n">
        <v>3</v>
      </c>
      <c r="I521" s="73" t="n">
        <v>827500</v>
      </c>
      <c r="J521" s="73" t="n">
        <v>2854875</v>
      </c>
      <c r="K521" s="73" t="n">
        <v>1626353</v>
      </c>
    </row>
    <row r="522">
      <c r="A522" t="n">
        <v>12128</v>
      </c>
      <c r="B522" s="72" t="n">
        <v>45495.39861111111</v>
      </c>
      <c r="C522" t="inlineStr">
        <is>
          <t>Atlántico</t>
        </is>
      </c>
      <c r="D522" t="inlineStr">
        <is>
          <t>Barranquilla</t>
        </is>
      </c>
      <c r="E522" t="inlineStr">
        <is>
          <t>Juguetes</t>
        </is>
      </c>
      <c r="F522" t="inlineStr">
        <is>
          <t>Web</t>
        </is>
      </c>
      <c r="G522" t="inlineStr">
        <is>
          <t>2. Carrito</t>
        </is>
      </c>
      <c r="H522" t="n">
        <v>3</v>
      </c>
      <c r="I522" s="73" t="n">
        <v>90700</v>
      </c>
      <c r="J522" s="73" t="n">
        <v>272100</v>
      </c>
      <c r="K522" s="73" t="n">
        <v>175706</v>
      </c>
    </row>
    <row r="523">
      <c r="A523" t="n">
        <v>11867</v>
      </c>
      <c r="B523" s="72" t="n">
        <v>45495.49166666667</v>
      </c>
      <c r="C523" t="inlineStr">
        <is>
          <t>Atlántico</t>
        </is>
      </c>
      <c r="D523" t="inlineStr">
        <is>
          <t>Barranquilla</t>
        </is>
      </c>
      <c r="E523" t="inlineStr">
        <is>
          <t>Hogar</t>
        </is>
      </c>
      <c r="F523" t="inlineStr">
        <is>
          <t>Tienda física</t>
        </is>
      </c>
      <c r="G523" t="inlineStr">
        <is>
          <t>1. Visita</t>
        </is>
      </c>
      <c r="H523" t="n">
        <v>3</v>
      </c>
      <c r="I523" s="73" t="n">
        <v>211300</v>
      </c>
      <c r="J523" s="73" t="n">
        <v>633900</v>
      </c>
      <c r="K523" s="73" t="n">
        <v>465612</v>
      </c>
    </row>
    <row r="524">
      <c r="A524" t="n">
        <v>10334</v>
      </c>
      <c r="B524" s="72" t="n">
        <v>45495.64444444444</v>
      </c>
      <c r="C524" t="inlineStr">
        <is>
          <t>Bogotá D.C.</t>
        </is>
      </c>
      <c r="D524" t="inlineStr">
        <is>
          <t>Bogotá</t>
        </is>
      </c>
      <c r="E524" t="inlineStr">
        <is>
          <t>Tecnología</t>
        </is>
      </c>
      <c r="F524" t="inlineStr">
        <is>
          <t>Tienda física</t>
        </is>
      </c>
      <c r="G524" t="inlineStr">
        <is>
          <t>2. Carrito</t>
        </is>
      </c>
      <c r="H524" t="n">
        <v>4</v>
      </c>
      <c r="I524" s="73" t="n">
        <v>866200</v>
      </c>
      <c r="J524" s="73" t="n">
        <v>3464800</v>
      </c>
      <c r="K524" s="73" t="n">
        <v>1941932</v>
      </c>
    </row>
    <row r="525">
      <c r="A525" t="n">
        <v>10063</v>
      </c>
      <c r="B525" s="72" t="n">
        <v>45495.67638888889</v>
      </c>
      <c r="C525" t="inlineStr">
        <is>
          <t>Atlántico</t>
        </is>
      </c>
      <c r="D525" t="inlineStr">
        <is>
          <t>Barranquilla</t>
        </is>
      </c>
      <c r="E525" t="inlineStr">
        <is>
          <t>Deportes</t>
        </is>
      </c>
      <c r="F525" t="inlineStr">
        <is>
          <t>App</t>
        </is>
      </c>
      <c r="G525" t="inlineStr">
        <is>
          <t>1. Visita</t>
        </is>
      </c>
      <c r="H525" t="n">
        <v>4</v>
      </c>
      <c r="I525" s="73" t="n">
        <v>135800</v>
      </c>
      <c r="J525" s="73" t="n">
        <v>543200</v>
      </c>
      <c r="K525" s="73" t="n">
        <v>330035</v>
      </c>
    </row>
    <row r="526">
      <c r="A526" t="n">
        <v>10810</v>
      </c>
      <c r="B526" s="72" t="n">
        <v>45495.80763888889</v>
      </c>
      <c r="C526" t="inlineStr">
        <is>
          <t>Valle del Cauca</t>
        </is>
      </c>
      <c r="D526" t="inlineStr">
        <is>
          <t>Cali</t>
        </is>
      </c>
      <c r="E526" t="inlineStr">
        <is>
          <t>Moda</t>
        </is>
      </c>
      <c r="F526" t="inlineStr">
        <is>
          <t>Web</t>
        </is>
      </c>
      <c r="G526" t="inlineStr">
        <is>
          <t>1. Visita</t>
        </is>
      </c>
      <c r="H526" t="n">
        <v>4</v>
      </c>
      <c r="I526" s="73" t="n">
        <v>91500</v>
      </c>
      <c r="J526" s="73" t="n">
        <v>366000</v>
      </c>
      <c r="K526" s="73" t="n">
        <v>218351</v>
      </c>
    </row>
    <row r="527">
      <c r="A527" t="n">
        <v>12311</v>
      </c>
      <c r="B527" s="72" t="n">
        <v>45495.82013888889</v>
      </c>
      <c r="C527" t="inlineStr">
        <is>
          <t>Antioquia</t>
        </is>
      </c>
      <c r="D527" t="inlineStr">
        <is>
          <t>Medellín</t>
        </is>
      </c>
      <c r="E527" t="inlineStr">
        <is>
          <t>Deportes</t>
        </is>
      </c>
      <c r="F527" t="inlineStr">
        <is>
          <t>Web</t>
        </is>
      </c>
      <c r="G527" t="inlineStr">
        <is>
          <t>2. Carrito</t>
        </is>
      </c>
      <c r="H527" t="n">
        <v>3</v>
      </c>
      <c r="I527" s="73" t="n">
        <v>124200</v>
      </c>
      <c r="J527" s="73" t="n">
        <v>372600</v>
      </c>
      <c r="K527" s="73" t="n">
        <v>250920</v>
      </c>
    </row>
    <row r="528">
      <c r="A528" t="n">
        <v>11448</v>
      </c>
      <c r="B528" s="72" t="n">
        <v>45495.87013888889</v>
      </c>
      <c r="C528" t="inlineStr">
        <is>
          <t>Bogotá D.C.</t>
        </is>
      </c>
      <c r="D528" t="inlineStr">
        <is>
          <t>Bogotá</t>
        </is>
      </c>
      <c r="E528" t="inlineStr">
        <is>
          <t>Moda</t>
        </is>
      </c>
      <c r="F528" t="inlineStr">
        <is>
          <t>Tienda física</t>
        </is>
      </c>
      <c r="G528" t="inlineStr">
        <is>
          <t>4. Compra</t>
        </is>
      </c>
      <c r="H528" t="n">
        <v>3</v>
      </c>
      <c r="I528" s="73" t="n">
        <v>152300</v>
      </c>
      <c r="J528" s="73" t="n">
        <v>456900</v>
      </c>
      <c r="K528" s="73" t="n">
        <v>262081</v>
      </c>
    </row>
    <row r="529">
      <c r="A529" t="n">
        <v>11679</v>
      </c>
      <c r="B529" s="72" t="n">
        <v>45495.97708333333</v>
      </c>
      <c r="C529" t="inlineStr">
        <is>
          <t>Antioquia</t>
        </is>
      </c>
      <c r="D529" t="inlineStr">
        <is>
          <t>Medellín</t>
        </is>
      </c>
      <c r="E529" t="inlineStr">
        <is>
          <t>Juguetes</t>
        </is>
      </c>
      <c r="F529" t="inlineStr">
        <is>
          <t>Marketplace</t>
        </is>
      </c>
      <c r="G529" t="inlineStr">
        <is>
          <t>2. Carrito</t>
        </is>
      </c>
      <c r="H529" t="n">
        <v>3</v>
      </c>
      <c r="I529" s="73" t="n">
        <v>102000</v>
      </c>
      <c r="J529" s="73" t="n">
        <v>306000</v>
      </c>
      <c r="K529" s="73" t="n">
        <v>200827</v>
      </c>
    </row>
    <row r="530">
      <c r="A530" t="n">
        <v>11249</v>
      </c>
      <c r="B530" s="72" t="n">
        <v>45496.23541666667</v>
      </c>
      <c r="C530" t="inlineStr">
        <is>
          <t>Risaralda</t>
        </is>
      </c>
      <c r="D530" t="inlineStr">
        <is>
          <t>Pereira</t>
        </is>
      </c>
      <c r="E530" t="inlineStr">
        <is>
          <t>Belleza</t>
        </is>
      </c>
      <c r="F530" t="inlineStr">
        <is>
          <t>Tienda física</t>
        </is>
      </c>
      <c r="G530" t="inlineStr">
        <is>
          <t>1. Visita</t>
        </is>
      </c>
      <c r="H530" t="n">
        <v>5</v>
      </c>
      <c r="I530" s="73" t="n">
        <v>51100</v>
      </c>
      <c r="J530" s="73" t="n">
        <v>255500</v>
      </c>
      <c r="K530" s="73" t="n">
        <v>186818</v>
      </c>
    </row>
    <row r="531">
      <c r="A531" t="n">
        <v>12339</v>
      </c>
      <c r="B531" s="72" t="n">
        <v>45496.51111111111</v>
      </c>
      <c r="C531" t="inlineStr">
        <is>
          <t>Atlántico</t>
        </is>
      </c>
      <c r="D531" t="inlineStr">
        <is>
          <t>Barranquilla</t>
        </is>
      </c>
      <c r="E531" t="inlineStr">
        <is>
          <t>Hogar</t>
        </is>
      </c>
      <c r="F531" t="inlineStr">
        <is>
          <t>Web</t>
        </is>
      </c>
      <c r="G531" t="inlineStr">
        <is>
          <t>3. Pago</t>
        </is>
      </c>
      <c r="H531" t="n">
        <v>1</v>
      </c>
      <c r="I531" s="73" t="n">
        <v>220900</v>
      </c>
      <c r="J531" s="73" t="n">
        <v>220900</v>
      </c>
      <c r="K531" s="73" t="n">
        <v>138755</v>
      </c>
    </row>
    <row r="532">
      <c r="A532" t="n">
        <v>11347</v>
      </c>
      <c r="B532" s="72" t="n">
        <v>45496.87986111111</v>
      </c>
      <c r="C532" t="inlineStr">
        <is>
          <t>Risaralda</t>
        </is>
      </c>
      <c r="D532" t="inlineStr">
        <is>
          <t>Pereira</t>
        </is>
      </c>
      <c r="E532" t="inlineStr">
        <is>
          <t>Moda</t>
        </is>
      </c>
      <c r="F532" t="inlineStr">
        <is>
          <t>App</t>
        </is>
      </c>
      <c r="G532" t="inlineStr">
        <is>
          <t>2. Carrito</t>
        </is>
      </c>
      <c r="H532" t="n">
        <v>4</v>
      </c>
      <c r="I532" s="73" t="n">
        <v>124400</v>
      </c>
      <c r="J532" s="73" t="n">
        <v>497600</v>
      </c>
      <c r="K532" s="73" t="n">
        <v>287691</v>
      </c>
    </row>
    <row r="533">
      <c r="A533" t="n">
        <v>11374</v>
      </c>
      <c r="B533" s="72" t="n">
        <v>45496.91041666667</v>
      </c>
      <c r="C533" t="inlineStr">
        <is>
          <t>Bogotá D.C.</t>
        </is>
      </c>
      <c r="D533" t="inlineStr">
        <is>
          <t>Bogotá</t>
        </is>
      </c>
      <c r="E533" t="inlineStr">
        <is>
          <t>Belleza</t>
        </is>
      </c>
      <c r="F533" t="inlineStr">
        <is>
          <t>App</t>
        </is>
      </c>
      <c r="G533" t="inlineStr">
        <is>
          <t>2. Carrito</t>
        </is>
      </c>
      <c r="H533" t="n">
        <v>1</v>
      </c>
      <c r="I533" s="73" t="n">
        <v>77300</v>
      </c>
      <c r="J533" s="73" t="n">
        <v>77300</v>
      </c>
      <c r="K533" s="73" t="n">
        <v>53033</v>
      </c>
    </row>
    <row r="534">
      <c r="A534" t="n">
        <v>12171</v>
      </c>
      <c r="B534" s="72" t="n">
        <v>45497.52777777778</v>
      </c>
      <c r="C534" t="inlineStr">
        <is>
          <t>Atlántico</t>
        </is>
      </c>
      <c r="D534" t="inlineStr">
        <is>
          <t>Barranquilla</t>
        </is>
      </c>
      <c r="E534" t="inlineStr">
        <is>
          <t>Deportes</t>
        </is>
      </c>
      <c r="F534" t="inlineStr">
        <is>
          <t>Marketplace</t>
        </is>
      </c>
      <c r="G534" t="inlineStr">
        <is>
          <t>1. Visita</t>
        </is>
      </c>
      <c r="H534" t="n">
        <v>2</v>
      </c>
      <c r="I534" s="73" t="n">
        <v>140200</v>
      </c>
      <c r="J534" s="73" t="n">
        <v>280400</v>
      </c>
      <c r="K534" s="73" t="n">
        <v>198306</v>
      </c>
    </row>
    <row r="535">
      <c r="A535" t="n">
        <v>11283</v>
      </c>
      <c r="B535" s="72" t="n">
        <v>45497.67152777778</v>
      </c>
      <c r="C535" t="inlineStr">
        <is>
          <t>Bogotá D.C.</t>
        </is>
      </c>
      <c r="D535" t="inlineStr">
        <is>
          <t>Bogotá</t>
        </is>
      </c>
      <c r="E535" t="inlineStr">
        <is>
          <t>Deportes</t>
        </is>
      </c>
      <c r="F535" t="inlineStr">
        <is>
          <t>Web</t>
        </is>
      </c>
      <c r="G535" t="inlineStr">
        <is>
          <t>4. Compra</t>
        </is>
      </c>
      <c r="H535" t="n">
        <v>5</v>
      </c>
      <c r="I535" s="73" t="n">
        <v>151800</v>
      </c>
      <c r="J535" s="73" t="n">
        <v>759000</v>
      </c>
      <c r="K535" s="73" t="n">
        <v>495594</v>
      </c>
    </row>
    <row r="536">
      <c r="A536" t="n">
        <v>11355</v>
      </c>
      <c r="B536" s="72" t="n">
        <v>45497.67291666667</v>
      </c>
      <c r="C536" t="inlineStr">
        <is>
          <t>Meta</t>
        </is>
      </c>
      <c r="D536" t="inlineStr">
        <is>
          <t>Villavicencio</t>
        </is>
      </c>
      <c r="E536" t="inlineStr">
        <is>
          <t>Juguetes</t>
        </is>
      </c>
      <c r="F536" t="inlineStr">
        <is>
          <t>Tienda física</t>
        </is>
      </c>
      <c r="G536" t="inlineStr">
        <is>
          <t>2. Carrito</t>
        </is>
      </c>
      <c r="H536" t="n">
        <v>2</v>
      </c>
      <c r="I536" s="73" t="n">
        <v>94000</v>
      </c>
      <c r="J536" s="73" t="n">
        <v>188000</v>
      </c>
      <c r="K536" s="73" t="n">
        <v>129849</v>
      </c>
    </row>
    <row r="537">
      <c r="A537" t="n">
        <v>11609</v>
      </c>
      <c r="B537" s="72" t="n">
        <v>45497.81319444445</v>
      </c>
      <c r="C537" t="inlineStr">
        <is>
          <t>Antioquia</t>
        </is>
      </c>
      <c r="D537" t="inlineStr">
        <is>
          <t>Medellín</t>
        </is>
      </c>
      <c r="E537" t="inlineStr">
        <is>
          <t>Moda</t>
        </is>
      </c>
      <c r="F537" t="inlineStr">
        <is>
          <t>App</t>
        </is>
      </c>
      <c r="G537" t="inlineStr">
        <is>
          <t>1. Visita</t>
        </is>
      </c>
      <c r="H537" t="n">
        <v>3</v>
      </c>
      <c r="I537" s="73" t="n">
        <v>92500</v>
      </c>
      <c r="J537" s="73" t="n">
        <v>277500</v>
      </c>
      <c r="K537" s="73" t="n">
        <v>182062</v>
      </c>
    </row>
    <row r="538">
      <c r="A538" t="n">
        <v>11358</v>
      </c>
      <c r="B538" s="72" t="n">
        <v>45497.85763888889</v>
      </c>
      <c r="C538" t="inlineStr">
        <is>
          <t>Santander</t>
        </is>
      </c>
      <c r="D538" t="inlineStr">
        <is>
          <t>Bucaramanga</t>
        </is>
      </c>
      <c r="E538" t="inlineStr">
        <is>
          <t>Hogar</t>
        </is>
      </c>
      <c r="F538" t="inlineStr">
        <is>
          <t>Marketplace</t>
        </is>
      </c>
      <c r="G538" t="inlineStr">
        <is>
          <t>1. Visita</t>
        </is>
      </c>
      <c r="H538" t="n">
        <v>1</v>
      </c>
      <c r="I538" s="73" t="n">
        <v>272200</v>
      </c>
      <c r="J538" s="73" t="n">
        <v>272200</v>
      </c>
      <c r="K538" s="73" t="n">
        <v>200044</v>
      </c>
    </row>
    <row r="539">
      <c r="A539" t="n">
        <v>10211</v>
      </c>
      <c r="B539" s="72" t="n">
        <v>45498.30208333334</v>
      </c>
      <c r="C539" t="inlineStr">
        <is>
          <t>Santander</t>
        </is>
      </c>
      <c r="D539" t="inlineStr">
        <is>
          <t>Bucaramanga</t>
        </is>
      </c>
      <c r="E539" t="inlineStr">
        <is>
          <t>Juguetes</t>
        </is>
      </c>
      <c r="F539" t="inlineStr">
        <is>
          <t>Web</t>
        </is>
      </c>
      <c r="G539" t="inlineStr">
        <is>
          <t>1. Visita</t>
        </is>
      </c>
      <c r="H539" t="n">
        <v>2</v>
      </c>
      <c r="I539" s="73" t="n">
        <v>85000</v>
      </c>
      <c r="J539" s="73" t="n">
        <v>170000</v>
      </c>
      <c r="K539" s="73" t="n">
        <v>122225</v>
      </c>
    </row>
    <row r="540">
      <c r="A540" t="n">
        <v>10358</v>
      </c>
      <c r="B540" s="72" t="n">
        <v>45498.40833333333</v>
      </c>
      <c r="C540" t="inlineStr">
        <is>
          <t>Antioquia</t>
        </is>
      </c>
      <c r="D540" t="inlineStr">
        <is>
          <t>Medellín</t>
        </is>
      </c>
      <c r="E540" t="inlineStr">
        <is>
          <t>Tecnología</t>
        </is>
      </c>
      <c r="F540" t="inlineStr">
        <is>
          <t>App</t>
        </is>
      </c>
      <c r="G540" t="inlineStr">
        <is>
          <t>1. Visita</t>
        </is>
      </c>
      <c r="H540" t="n">
        <v>4</v>
      </c>
      <c r="I540" s="73" t="n">
        <v>901300</v>
      </c>
      <c r="J540" s="73" t="n">
        <v>3605200</v>
      </c>
      <c r="K540" s="73" t="n">
        <v>2520665</v>
      </c>
    </row>
    <row r="541">
      <c r="A541" t="n">
        <v>10449</v>
      </c>
      <c r="B541" s="72" t="n">
        <v>45498.43611111111</v>
      </c>
      <c r="C541" t="inlineStr">
        <is>
          <t>Meta</t>
        </is>
      </c>
      <c r="D541" t="inlineStr">
        <is>
          <t>Villavicencio</t>
        </is>
      </c>
      <c r="E541" t="inlineStr">
        <is>
          <t>Belleza</t>
        </is>
      </c>
      <c r="F541" t="inlineStr">
        <is>
          <t>Web</t>
        </is>
      </c>
      <c r="G541" t="inlineStr">
        <is>
          <t>2. Carrito</t>
        </is>
      </c>
      <c r="H541" t="n">
        <v>5</v>
      </c>
      <c r="I541" s="73" t="n">
        <v>75600</v>
      </c>
      <c r="J541" s="73" t="n">
        <v>378000</v>
      </c>
      <c r="K541" s="73" t="n">
        <v>269048</v>
      </c>
    </row>
    <row r="542">
      <c r="A542" t="n">
        <v>11802</v>
      </c>
      <c r="B542" s="72" t="n">
        <v>45498.62986111111</v>
      </c>
      <c r="C542" t="inlineStr">
        <is>
          <t>Atlántico</t>
        </is>
      </c>
      <c r="D542" t="inlineStr">
        <is>
          <t>Barranquilla</t>
        </is>
      </c>
      <c r="E542" t="inlineStr">
        <is>
          <t>Deportes</t>
        </is>
      </c>
      <c r="F542" t="inlineStr">
        <is>
          <t>Tienda física</t>
        </is>
      </c>
      <c r="G542" t="inlineStr">
        <is>
          <t>3. Pago</t>
        </is>
      </c>
      <c r="H542" t="n">
        <v>1</v>
      </c>
      <c r="I542" s="73" t="n">
        <v>183700</v>
      </c>
      <c r="J542" s="73" t="n">
        <v>183700</v>
      </c>
      <c r="K542" s="73" t="n">
        <v>112812</v>
      </c>
    </row>
    <row r="543">
      <c r="A543" t="n">
        <v>10081</v>
      </c>
      <c r="B543" s="72" t="n">
        <v>45498.71319444444</v>
      </c>
      <c r="C543" t="inlineStr">
        <is>
          <t>Bogotá D.C.</t>
        </is>
      </c>
      <c r="D543" t="inlineStr">
        <is>
          <t>Bogotá</t>
        </is>
      </c>
      <c r="E543" t="inlineStr">
        <is>
          <t>Tecnología</t>
        </is>
      </c>
      <c r="F543" t="inlineStr">
        <is>
          <t>Web</t>
        </is>
      </c>
      <c r="G543" t="inlineStr">
        <is>
          <t>3. Pago</t>
        </is>
      </c>
      <c r="H543" t="n">
        <v>2</v>
      </c>
      <c r="I543" s="73" t="n">
        <v>674700</v>
      </c>
      <c r="J543" s="73" t="n">
        <v>1349400</v>
      </c>
      <c r="K543" s="73" t="n">
        <v>935689</v>
      </c>
    </row>
    <row r="544">
      <c r="A544" t="n">
        <v>10351</v>
      </c>
      <c r="B544" s="72" t="n">
        <v>45498.75416666667</v>
      </c>
      <c r="C544" t="inlineStr">
        <is>
          <t>Antioquia</t>
        </is>
      </c>
      <c r="D544" t="inlineStr">
        <is>
          <t>Medellín</t>
        </is>
      </c>
      <c r="E544" t="inlineStr">
        <is>
          <t>Hogar</t>
        </is>
      </c>
      <c r="F544" t="inlineStr">
        <is>
          <t>Web</t>
        </is>
      </c>
      <c r="G544" t="inlineStr">
        <is>
          <t>1. Visita</t>
        </is>
      </c>
      <c r="H544" t="n">
        <v>5</v>
      </c>
      <c r="I544" s="73" t="n">
        <v>207800</v>
      </c>
      <c r="J544" s="73" t="n">
        <v>1039000</v>
      </c>
      <c r="K544" s="73" t="n">
        <v>746629</v>
      </c>
    </row>
    <row r="545">
      <c r="A545" t="n">
        <v>11174</v>
      </c>
      <c r="B545" s="72" t="n">
        <v>45498.81597222222</v>
      </c>
      <c r="C545" t="inlineStr">
        <is>
          <t>Risaralda</t>
        </is>
      </c>
      <c r="D545" t="inlineStr">
        <is>
          <t>Pereira</t>
        </is>
      </c>
      <c r="E545" t="inlineStr">
        <is>
          <t>Hogar</t>
        </is>
      </c>
      <c r="F545" t="inlineStr">
        <is>
          <t>Web</t>
        </is>
      </c>
      <c r="G545" t="inlineStr">
        <is>
          <t>1. Visita</t>
        </is>
      </c>
      <c r="H545" t="n">
        <v>3</v>
      </c>
      <c r="I545" s="73" t="n">
        <v>265700</v>
      </c>
      <c r="J545" s="73" t="n">
        <v>797100</v>
      </c>
      <c r="K545" s="73" t="n">
        <v>441458</v>
      </c>
    </row>
    <row r="546">
      <c r="A546" t="n">
        <v>10034</v>
      </c>
      <c r="B546" s="72" t="n">
        <v>45498.87083333333</v>
      </c>
      <c r="C546" t="inlineStr">
        <is>
          <t>Meta</t>
        </is>
      </c>
      <c r="D546" t="inlineStr">
        <is>
          <t>Villavicencio</t>
        </is>
      </c>
      <c r="E546" t="inlineStr">
        <is>
          <t>Hogar</t>
        </is>
      </c>
      <c r="F546" t="inlineStr">
        <is>
          <t>App</t>
        </is>
      </c>
      <c r="G546" t="inlineStr">
        <is>
          <t>1. Visita</t>
        </is>
      </c>
      <c r="H546" t="n">
        <v>3</v>
      </c>
      <c r="I546" s="73" t="n">
        <v>231800</v>
      </c>
      <c r="J546" s="73" t="n">
        <v>695400</v>
      </c>
      <c r="K546" s="73" t="n">
        <v>423042</v>
      </c>
    </row>
    <row r="547">
      <c r="A547" t="n">
        <v>10210</v>
      </c>
      <c r="B547" s="72" t="n">
        <v>45499.50208333333</v>
      </c>
      <c r="C547" t="inlineStr">
        <is>
          <t>Bolívar</t>
        </is>
      </c>
      <c r="D547" t="inlineStr">
        <is>
          <t>Cartagena</t>
        </is>
      </c>
      <c r="E547" t="inlineStr">
        <is>
          <t>Hogar</t>
        </is>
      </c>
      <c r="F547" t="inlineStr">
        <is>
          <t>Tienda física</t>
        </is>
      </c>
      <c r="G547" t="inlineStr">
        <is>
          <t>1. Visita</t>
        </is>
      </c>
      <c r="H547" t="n">
        <v>2</v>
      </c>
      <c r="I547" s="73" t="n">
        <v>187200</v>
      </c>
      <c r="J547" s="73" t="n">
        <v>430560</v>
      </c>
      <c r="K547" s="73" t="n">
        <v>260905</v>
      </c>
    </row>
    <row r="548">
      <c r="A548" t="n">
        <v>11569</v>
      </c>
      <c r="B548" s="72" t="n">
        <v>45500.51458333333</v>
      </c>
      <c r="C548" t="inlineStr">
        <is>
          <t>Bogotá D.C.</t>
        </is>
      </c>
      <c r="D548" t="inlineStr">
        <is>
          <t>Bogotá</t>
        </is>
      </c>
      <c r="E548" t="inlineStr">
        <is>
          <t>Belleza</t>
        </is>
      </c>
      <c r="F548" t="inlineStr">
        <is>
          <t>Tienda física</t>
        </is>
      </c>
      <c r="G548" t="inlineStr">
        <is>
          <t>2. Carrito</t>
        </is>
      </c>
      <c r="H548" t="n">
        <v>1</v>
      </c>
      <c r="I548" s="73" t="n">
        <v>72600</v>
      </c>
      <c r="J548" s="73" t="n">
        <v>83490</v>
      </c>
      <c r="K548" s="73" t="n">
        <v>52944</v>
      </c>
    </row>
    <row r="549">
      <c r="A549" t="n">
        <v>12304</v>
      </c>
      <c r="B549" s="72" t="n">
        <v>45500.99375</v>
      </c>
      <c r="C549" t="inlineStr">
        <is>
          <t>Valle del Cauca</t>
        </is>
      </c>
      <c r="D549" t="inlineStr">
        <is>
          <t>Cali</t>
        </is>
      </c>
      <c r="E549" t="inlineStr">
        <is>
          <t>Hogar</t>
        </is>
      </c>
      <c r="F549" t="inlineStr">
        <is>
          <t>Tienda física</t>
        </is>
      </c>
      <c r="G549" t="inlineStr">
        <is>
          <t>2. Carrito</t>
        </is>
      </c>
      <c r="H549" t="n">
        <v>1</v>
      </c>
      <c r="I549" s="73" t="n">
        <v>157600</v>
      </c>
      <c r="J549" s="73" t="n">
        <v>181240</v>
      </c>
      <c r="K549" s="73" t="n">
        <v>112148</v>
      </c>
    </row>
    <row r="550">
      <c r="A550" t="n">
        <v>10642</v>
      </c>
      <c r="B550" s="72" t="n">
        <v>45501.37569444445</v>
      </c>
      <c r="C550" t="inlineStr">
        <is>
          <t>Bolívar</t>
        </is>
      </c>
      <c r="D550" t="inlineStr">
        <is>
          <t>Cartagena</t>
        </is>
      </c>
      <c r="E550" t="inlineStr">
        <is>
          <t>Belleza</t>
        </is>
      </c>
      <c r="F550" t="inlineStr">
        <is>
          <t>Web</t>
        </is>
      </c>
      <c r="G550" t="inlineStr">
        <is>
          <t>4. Compra</t>
        </is>
      </c>
      <c r="H550" t="n">
        <v>5</v>
      </c>
      <c r="I550" s="73" t="n">
        <v>72900</v>
      </c>
      <c r="J550" s="73" t="n">
        <v>419175</v>
      </c>
      <c r="K550" s="73" t="n">
        <v>266030</v>
      </c>
    </row>
    <row r="551">
      <c r="A551" t="n">
        <v>11037</v>
      </c>
      <c r="B551" s="72" t="n">
        <v>45501.41319444445</v>
      </c>
      <c r="C551" t="inlineStr">
        <is>
          <t>Valle del Cauca</t>
        </is>
      </c>
      <c r="D551" t="inlineStr">
        <is>
          <t>Cali</t>
        </is>
      </c>
      <c r="E551" t="inlineStr">
        <is>
          <t>Deportes</t>
        </is>
      </c>
      <c r="F551" t="inlineStr">
        <is>
          <t>Web</t>
        </is>
      </c>
      <c r="G551" t="inlineStr">
        <is>
          <t>1. Visita</t>
        </is>
      </c>
      <c r="H551" t="n">
        <v>2</v>
      </c>
      <c r="I551" s="73" t="n">
        <v>207700</v>
      </c>
      <c r="J551" s="73" t="n">
        <v>477710</v>
      </c>
      <c r="K551" s="73" t="n">
        <v>304875</v>
      </c>
    </row>
    <row r="552">
      <c r="A552" t="n">
        <v>11890</v>
      </c>
      <c r="B552" s="72" t="n">
        <v>45501.52638888889</v>
      </c>
      <c r="C552" t="inlineStr">
        <is>
          <t>Valle del Cauca</t>
        </is>
      </c>
      <c r="D552" t="inlineStr">
        <is>
          <t>Cali</t>
        </is>
      </c>
      <c r="E552" t="inlineStr">
        <is>
          <t>Juguetes</t>
        </is>
      </c>
      <c r="F552" t="inlineStr">
        <is>
          <t>Web</t>
        </is>
      </c>
      <c r="G552" t="inlineStr">
        <is>
          <t>2. Carrito</t>
        </is>
      </c>
      <c r="H552" t="n">
        <v>5</v>
      </c>
      <c r="I552" s="73" t="n">
        <v>69900</v>
      </c>
      <c r="J552" s="73" t="n">
        <v>401925</v>
      </c>
      <c r="K552" s="73" t="n">
        <v>272231</v>
      </c>
    </row>
    <row r="553">
      <c r="A553" t="n">
        <v>12382</v>
      </c>
      <c r="B553" s="72" t="n">
        <v>45502.43263888889</v>
      </c>
      <c r="C553" t="inlineStr">
        <is>
          <t>Atlántico</t>
        </is>
      </c>
      <c r="D553" t="inlineStr">
        <is>
          <t>Barranquilla</t>
        </is>
      </c>
      <c r="E553" t="inlineStr">
        <is>
          <t>Hogar</t>
        </is>
      </c>
      <c r="F553" t="inlineStr">
        <is>
          <t>Web</t>
        </is>
      </c>
      <c r="G553" t="inlineStr">
        <is>
          <t>4. Compra</t>
        </is>
      </c>
      <c r="H553" t="n">
        <v>3</v>
      </c>
      <c r="I553" s="73" t="n">
        <v>245700</v>
      </c>
      <c r="J553" s="73" t="n">
        <v>737100</v>
      </c>
      <c r="K553" s="73" t="n">
        <v>477521</v>
      </c>
    </row>
    <row r="554">
      <c r="A554" t="n">
        <v>11488</v>
      </c>
      <c r="B554" s="72" t="n">
        <v>45502.45972222222</v>
      </c>
      <c r="C554" t="inlineStr">
        <is>
          <t>Bogotá D.C.</t>
        </is>
      </c>
      <c r="D554" t="inlineStr">
        <is>
          <t>Bogotá</t>
        </is>
      </c>
      <c r="E554" t="inlineStr">
        <is>
          <t>Tecnología</t>
        </is>
      </c>
      <c r="F554" t="inlineStr">
        <is>
          <t>App</t>
        </is>
      </c>
      <c r="G554" t="inlineStr">
        <is>
          <t>1. Visita</t>
        </is>
      </c>
      <c r="H554" t="n">
        <v>5</v>
      </c>
      <c r="I554" s="73" t="n">
        <v>991300</v>
      </c>
      <c r="J554" s="73" t="n">
        <v>4956500</v>
      </c>
      <c r="K554" s="73" t="n">
        <v>3303676</v>
      </c>
    </row>
    <row r="555">
      <c r="A555" t="n">
        <v>10742</v>
      </c>
      <c r="B555" s="72" t="n">
        <v>45502.55555555555</v>
      </c>
      <c r="C555" t="inlineStr">
        <is>
          <t>Valle del Cauca</t>
        </is>
      </c>
      <c r="D555" t="inlineStr">
        <is>
          <t>Cali</t>
        </is>
      </c>
      <c r="E555" t="inlineStr">
        <is>
          <t>Juguetes</t>
        </is>
      </c>
      <c r="F555" t="inlineStr">
        <is>
          <t>App</t>
        </is>
      </c>
      <c r="G555" t="inlineStr">
        <is>
          <t>1. Visita</t>
        </is>
      </c>
      <c r="H555" t="n">
        <v>5</v>
      </c>
      <c r="I555" s="73" t="n">
        <v>90000</v>
      </c>
      <c r="J555" s="73" t="n">
        <v>450000</v>
      </c>
      <c r="K555" s="73" t="n">
        <v>276769</v>
      </c>
    </row>
    <row r="556">
      <c r="A556" t="n">
        <v>10471</v>
      </c>
      <c r="B556" s="72" t="n">
        <v>45502.68611111111</v>
      </c>
      <c r="C556" t="inlineStr">
        <is>
          <t>Bogotá D.C.</t>
        </is>
      </c>
      <c r="D556" t="inlineStr">
        <is>
          <t>Bogotá</t>
        </is>
      </c>
      <c r="E556" t="inlineStr">
        <is>
          <t>Moda</t>
        </is>
      </c>
      <c r="F556" t="inlineStr">
        <is>
          <t>Tienda física</t>
        </is>
      </c>
      <c r="G556" t="inlineStr">
        <is>
          <t>1. Visita</t>
        </is>
      </c>
      <c r="H556" t="n">
        <v>3</v>
      </c>
      <c r="I556" s="73" t="n">
        <v>118300</v>
      </c>
      <c r="J556" s="73" t="n">
        <v>354900</v>
      </c>
      <c r="K556" s="73" t="n">
        <v>248615</v>
      </c>
    </row>
    <row r="557">
      <c r="A557" t="n">
        <v>12012</v>
      </c>
      <c r="B557" s="72" t="n">
        <v>45502.79097222222</v>
      </c>
      <c r="C557" t="inlineStr">
        <is>
          <t>Risaralda</t>
        </is>
      </c>
      <c r="D557" t="inlineStr">
        <is>
          <t>Pereira</t>
        </is>
      </c>
      <c r="E557" t="inlineStr">
        <is>
          <t>Hogar</t>
        </is>
      </c>
      <c r="F557" t="inlineStr">
        <is>
          <t>Tienda física</t>
        </is>
      </c>
      <c r="G557" t="inlineStr">
        <is>
          <t>2. Carrito</t>
        </is>
      </c>
      <c r="H557" t="n">
        <v>4</v>
      </c>
      <c r="I557" s="73" t="n">
        <v>166200</v>
      </c>
      <c r="J557" s="73" t="n">
        <v>664800</v>
      </c>
      <c r="K557" s="73" t="n">
        <v>491012</v>
      </c>
    </row>
    <row r="558">
      <c r="A558" t="n">
        <v>11435</v>
      </c>
      <c r="B558" s="72" t="n">
        <v>45502.82013888889</v>
      </c>
      <c r="C558" t="inlineStr">
        <is>
          <t>Santander</t>
        </is>
      </c>
      <c r="D558" t="inlineStr">
        <is>
          <t>Bucaramanga</t>
        </is>
      </c>
      <c r="E558" t="inlineStr">
        <is>
          <t>Tecnología</t>
        </is>
      </c>
      <c r="F558" t="inlineStr">
        <is>
          <t>App</t>
        </is>
      </c>
      <c r="G558" t="inlineStr">
        <is>
          <t>2. Carrito</t>
        </is>
      </c>
      <c r="H558" t="n">
        <v>4</v>
      </c>
      <c r="I558" s="73" t="n">
        <v>983800</v>
      </c>
      <c r="J558" s="73" t="n">
        <v>3935200</v>
      </c>
      <c r="K558" s="73" t="n">
        <v>2278041</v>
      </c>
    </row>
    <row r="559">
      <c r="A559" t="n">
        <v>12043</v>
      </c>
      <c r="B559" s="72" t="n">
        <v>45502.85416666666</v>
      </c>
      <c r="C559" t="inlineStr">
        <is>
          <t>Risaralda</t>
        </is>
      </c>
      <c r="D559" t="inlineStr">
        <is>
          <t>Pereira</t>
        </is>
      </c>
      <c r="E559" t="inlineStr">
        <is>
          <t>Moda</t>
        </is>
      </c>
      <c r="F559" t="inlineStr">
        <is>
          <t>Marketplace</t>
        </is>
      </c>
      <c r="G559" t="inlineStr">
        <is>
          <t>3. Pago</t>
        </is>
      </c>
      <c r="H559" t="n">
        <v>5</v>
      </c>
      <c r="I559" s="73" t="n">
        <v>140400</v>
      </c>
      <c r="J559" s="73" t="n">
        <v>702000</v>
      </c>
      <c r="K559" s="73" t="n">
        <v>465413</v>
      </c>
    </row>
    <row r="560">
      <c r="A560" t="n">
        <v>10851</v>
      </c>
      <c r="B560" s="72" t="n">
        <v>45502.90208333333</v>
      </c>
      <c r="C560" t="inlineStr">
        <is>
          <t>Santander</t>
        </is>
      </c>
      <c r="D560" t="inlineStr">
        <is>
          <t>Bucaramanga</t>
        </is>
      </c>
      <c r="E560" t="inlineStr">
        <is>
          <t>Juguetes</t>
        </is>
      </c>
      <c r="F560" t="inlineStr">
        <is>
          <t>Web</t>
        </is>
      </c>
      <c r="G560" t="inlineStr">
        <is>
          <t>1. Visita</t>
        </is>
      </c>
      <c r="H560" t="n">
        <v>1</v>
      </c>
      <c r="I560" s="73" t="n">
        <v>66800</v>
      </c>
      <c r="J560" s="73" t="n">
        <v>66800</v>
      </c>
      <c r="K560" s="73" t="n">
        <v>38205</v>
      </c>
    </row>
    <row r="561">
      <c r="A561" t="n">
        <v>10017</v>
      </c>
      <c r="B561" s="72" t="n">
        <v>45503.55416666667</v>
      </c>
      <c r="C561" t="inlineStr">
        <is>
          <t>Nariño</t>
        </is>
      </c>
      <c r="D561" t="inlineStr">
        <is>
          <t>Pasto</t>
        </is>
      </c>
      <c r="E561" t="inlineStr">
        <is>
          <t>Deportes</t>
        </is>
      </c>
      <c r="F561" t="inlineStr">
        <is>
          <t>App</t>
        </is>
      </c>
      <c r="G561" t="inlineStr">
        <is>
          <t>4. Compra</t>
        </is>
      </c>
      <c r="H561" t="n">
        <v>1</v>
      </c>
      <c r="I561" s="73" t="n">
        <v>120300</v>
      </c>
      <c r="J561" s="73" t="n">
        <v>120300</v>
      </c>
      <c r="K561" s="73" t="n">
        <v>87994</v>
      </c>
    </row>
    <row r="562">
      <c r="A562" t="n">
        <v>10923</v>
      </c>
      <c r="B562" s="72" t="n">
        <v>45503.73819444444</v>
      </c>
      <c r="C562" t="inlineStr">
        <is>
          <t>Valle del Cauca</t>
        </is>
      </c>
      <c r="D562" t="inlineStr">
        <is>
          <t>Cali</t>
        </is>
      </c>
      <c r="E562" t="inlineStr">
        <is>
          <t>Belleza</t>
        </is>
      </c>
      <c r="F562" t="inlineStr">
        <is>
          <t>Web</t>
        </is>
      </c>
      <c r="G562" t="inlineStr">
        <is>
          <t>2. Carrito</t>
        </is>
      </c>
      <c r="H562" t="n">
        <v>4</v>
      </c>
      <c r="I562" s="73" t="n">
        <v>72200</v>
      </c>
      <c r="J562" s="73" t="n">
        <v>288800</v>
      </c>
      <c r="K562" s="73" t="n">
        <v>179888</v>
      </c>
    </row>
    <row r="563">
      <c r="A563" t="n">
        <v>10179</v>
      </c>
      <c r="B563" s="72" t="n">
        <v>45504.54097222222</v>
      </c>
      <c r="C563" t="inlineStr">
        <is>
          <t>Nariño</t>
        </is>
      </c>
      <c r="D563" t="inlineStr">
        <is>
          <t>Pasto</t>
        </is>
      </c>
      <c r="E563" t="inlineStr">
        <is>
          <t>Deportes</t>
        </is>
      </c>
      <c r="F563" t="inlineStr">
        <is>
          <t>Web</t>
        </is>
      </c>
      <c r="G563" t="inlineStr">
        <is>
          <t>1. Visita</t>
        </is>
      </c>
      <c r="H563" t="n">
        <v>4</v>
      </c>
      <c r="I563" s="73" t="n">
        <v>114900</v>
      </c>
      <c r="J563" s="73" t="n">
        <v>459600</v>
      </c>
      <c r="K563" s="73" t="n">
        <v>302228</v>
      </c>
    </row>
    <row r="564">
      <c r="A564" t="n">
        <v>10894</v>
      </c>
      <c r="B564" s="72" t="n">
        <v>45504.66527777778</v>
      </c>
      <c r="C564" t="inlineStr">
        <is>
          <t>Bolívar</t>
        </is>
      </c>
      <c r="D564" t="inlineStr">
        <is>
          <t>Cartagena</t>
        </is>
      </c>
      <c r="E564" t="inlineStr">
        <is>
          <t>Juguetes</t>
        </is>
      </c>
      <c r="F564" t="inlineStr">
        <is>
          <t>App</t>
        </is>
      </c>
      <c r="G564" t="inlineStr">
        <is>
          <t>1. Visita</t>
        </is>
      </c>
      <c r="H564" t="n">
        <v>4</v>
      </c>
      <c r="I564" s="73" t="n">
        <v>74600</v>
      </c>
      <c r="J564" s="73" t="n">
        <v>298400</v>
      </c>
      <c r="K564" s="73" t="n">
        <v>212189</v>
      </c>
    </row>
    <row r="565">
      <c r="A565" t="n">
        <v>10900</v>
      </c>
      <c r="B565" s="72" t="n">
        <v>45504.81805555556</v>
      </c>
      <c r="C565" t="inlineStr">
        <is>
          <t>Antioquia</t>
        </is>
      </c>
      <c r="D565" t="inlineStr">
        <is>
          <t>Medellín</t>
        </is>
      </c>
      <c r="E565" t="inlineStr">
        <is>
          <t>Deportes</t>
        </is>
      </c>
      <c r="F565" t="inlineStr">
        <is>
          <t>Tienda física</t>
        </is>
      </c>
      <c r="G565" t="inlineStr">
        <is>
          <t>1. Visita</t>
        </is>
      </c>
      <c r="H565" t="n">
        <v>3</v>
      </c>
      <c r="I565" s="73" t="n">
        <v>179300</v>
      </c>
      <c r="J565" s="73" t="n">
        <v>537900</v>
      </c>
      <c r="K565" s="73" t="n">
        <v>348070</v>
      </c>
    </row>
    <row r="566">
      <c r="A566" t="n">
        <v>10095</v>
      </c>
      <c r="B566" s="72" t="n">
        <v>45505.33611111111</v>
      </c>
      <c r="C566" t="inlineStr">
        <is>
          <t>Antioquia</t>
        </is>
      </c>
      <c r="D566" t="inlineStr">
        <is>
          <t>Medellín</t>
        </is>
      </c>
      <c r="E566" t="inlineStr">
        <is>
          <t>Moda</t>
        </is>
      </c>
      <c r="F566" t="inlineStr">
        <is>
          <t>Web</t>
        </is>
      </c>
      <c r="G566" t="inlineStr">
        <is>
          <t>3. Pago</t>
        </is>
      </c>
      <c r="H566" t="n">
        <v>2</v>
      </c>
      <c r="I566" s="73" t="n">
        <v>138900</v>
      </c>
      <c r="J566" s="73" t="n">
        <v>277800</v>
      </c>
      <c r="K566" s="73" t="n">
        <v>165751</v>
      </c>
    </row>
    <row r="567">
      <c r="A567" t="n">
        <v>11606</v>
      </c>
      <c r="B567" s="72" t="n">
        <v>45505.35</v>
      </c>
      <c r="C567" t="inlineStr">
        <is>
          <t>Antioquia</t>
        </is>
      </c>
      <c r="D567" t="inlineStr">
        <is>
          <t>Medellín</t>
        </is>
      </c>
      <c r="E567" t="inlineStr">
        <is>
          <t>Deportes</t>
        </is>
      </c>
      <c r="F567" t="inlineStr">
        <is>
          <t>Tienda física</t>
        </is>
      </c>
      <c r="G567" t="inlineStr">
        <is>
          <t>3. Pago</t>
        </is>
      </c>
      <c r="H567" t="n">
        <v>1</v>
      </c>
      <c r="I567" s="73" t="n">
        <v>133600</v>
      </c>
      <c r="J567" s="73" t="n">
        <v>133600</v>
      </c>
      <c r="K567" s="73" t="n">
        <v>79548</v>
      </c>
    </row>
    <row r="568">
      <c r="A568" t="n">
        <v>10182</v>
      </c>
      <c r="B568" s="72" t="n">
        <v>45505.49236111111</v>
      </c>
      <c r="C568" t="inlineStr">
        <is>
          <t>Antioquia</t>
        </is>
      </c>
      <c r="D568" t="inlineStr">
        <is>
          <t>Medellín</t>
        </is>
      </c>
      <c r="E568" t="inlineStr">
        <is>
          <t>Juguetes</t>
        </is>
      </c>
      <c r="F568" t="inlineStr">
        <is>
          <t>Web</t>
        </is>
      </c>
      <c r="G568" t="inlineStr">
        <is>
          <t>1. Visita</t>
        </is>
      </c>
      <c r="H568" t="n">
        <v>5</v>
      </c>
      <c r="I568" s="73" t="n">
        <v>88000</v>
      </c>
      <c r="J568" s="73" t="n">
        <v>440000</v>
      </c>
      <c r="K568" s="73" t="n">
        <v>266690</v>
      </c>
    </row>
    <row r="569">
      <c r="A569" t="n">
        <v>10482</v>
      </c>
      <c r="B569" s="72" t="n">
        <v>45505.53611111111</v>
      </c>
      <c r="C569" t="inlineStr">
        <is>
          <t>Antioquia</t>
        </is>
      </c>
      <c r="D569" t="inlineStr">
        <is>
          <t>Medellín</t>
        </is>
      </c>
      <c r="E569" t="inlineStr">
        <is>
          <t>Hogar</t>
        </is>
      </c>
      <c r="F569" t="inlineStr">
        <is>
          <t>App</t>
        </is>
      </c>
      <c r="G569" t="inlineStr">
        <is>
          <t>2. Carrito</t>
        </is>
      </c>
      <c r="H569" t="n">
        <v>1</v>
      </c>
      <c r="I569" s="73" t="n">
        <v>216600</v>
      </c>
      <c r="J569" s="73" t="n">
        <v>216600</v>
      </c>
      <c r="K569" s="73" t="n">
        <v>136543</v>
      </c>
    </row>
    <row r="570">
      <c r="A570" t="n">
        <v>12077</v>
      </c>
      <c r="B570" s="72" t="n">
        <v>45505.60902777778</v>
      </c>
      <c r="C570" t="inlineStr">
        <is>
          <t>Bogotá D.C.</t>
        </is>
      </c>
      <c r="D570" t="inlineStr">
        <is>
          <t>Bogotá</t>
        </is>
      </c>
      <c r="E570" t="inlineStr">
        <is>
          <t>Belleza</t>
        </is>
      </c>
      <c r="F570" t="inlineStr">
        <is>
          <t>Web</t>
        </is>
      </c>
      <c r="G570" t="inlineStr">
        <is>
          <t>1. Visita</t>
        </is>
      </c>
      <c r="H570" t="n">
        <v>3</v>
      </c>
      <c r="I570" s="73" t="n">
        <v>71200</v>
      </c>
      <c r="J570" s="73" t="n">
        <v>213600</v>
      </c>
      <c r="K570" s="73" t="n">
        <v>157007</v>
      </c>
    </row>
    <row r="571">
      <c r="A571" t="n">
        <v>12298</v>
      </c>
      <c r="B571" s="72" t="n">
        <v>45505.83541666667</v>
      </c>
      <c r="C571" t="inlineStr">
        <is>
          <t>Antioquia</t>
        </is>
      </c>
      <c r="D571" t="inlineStr">
        <is>
          <t>Medellín</t>
        </is>
      </c>
      <c r="E571" t="inlineStr">
        <is>
          <t>Tecnología</t>
        </is>
      </c>
      <c r="F571" t="inlineStr">
        <is>
          <t>Tienda física</t>
        </is>
      </c>
      <c r="G571" t="inlineStr">
        <is>
          <t>3. Pago</t>
        </is>
      </c>
      <c r="H571" t="n">
        <v>2</v>
      </c>
      <c r="I571" s="73" t="n">
        <v>767100</v>
      </c>
      <c r="J571" s="73" t="n">
        <v>1534200</v>
      </c>
      <c r="K571" s="73" t="n">
        <v>1101047</v>
      </c>
    </row>
    <row r="572">
      <c r="A572" t="n">
        <v>10617</v>
      </c>
      <c r="B572" s="72" t="n">
        <v>45506.28333333333</v>
      </c>
      <c r="C572" t="inlineStr">
        <is>
          <t>Bogotá D.C.</t>
        </is>
      </c>
      <c r="D572" t="inlineStr">
        <is>
          <t>Bogotá</t>
        </is>
      </c>
      <c r="E572" t="inlineStr">
        <is>
          <t>Belleza</t>
        </is>
      </c>
      <c r="F572" t="inlineStr">
        <is>
          <t>Marketplace</t>
        </is>
      </c>
      <c r="G572" t="inlineStr">
        <is>
          <t>2. Carrito</t>
        </is>
      </c>
      <c r="H572" t="n">
        <v>3</v>
      </c>
      <c r="I572" s="73" t="n">
        <v>82600</v>
      </c>
      <c r="J572" s="73" t="n">
        <v>284970</v>
      </c>
      <c r="K572" s="73" t="n">
        <v>167708</v>
      </c>
    </row>
    <row r="573">
      <c r="A573" t="n">
        <v>10543</v>
      </c>
      <c r="B573" s="72" t="n">
        <v>45506.4</v>
      </c>
      <c r="C573" t="inlineStr">
        <is>
          <t>Bogotá D.C.</t>
        </is>
      </c>
      <c r="D573" t="inlineStr">
        <is>
          <t>Bogotá</t>
        </is>
      </c>
      <c r="E573" t="inlineStr">
        <is>
          <t>Moda</t>
        </is>
      </c>
      <c r="F573" t="inlineStr">
        <is>
          <t>App</t>
        </is>
      </c>
      <c r="G573" t="inlineStr">
        <is>
          <t>2. Carrito</t>
        </is>
      </c>
      <c r="H573" t="n">
        <v>3</v>
      </c>
      <c r="I573" s="73" t="n">
        <v>84100</v>
      </c>
      <c r="J573" s="73" t="n">
        <v>290145</v>
      </c>
      <c r="K573" s="73" t="n">
        <v>215441</v>
      </c>
    </row>
    <row r="574">
      <c r="A574" t="n">
        <v>11046</v>
      </c>
      <c r="B574" s="72" t="n">
        <v>45506.45694444444</v>
      </c>
      <c r="C574" t="inlineStr">
        <is>
          <t>Meta</t>
        </is>
      </c>
      <c r="D574" t="inlineStr">
        <is>
          <t>Villavicencio</t>
        </is>
      </c>
      <c r="E574" t="inlineStr">
        <is>
          <t>Tecnología</t>
        </is>
      </c>
      <c r="F574" t="inlineStr">
        <is>
          <t>Tienda física</t>
        </is>
      </c>
      <c r="G574" t="inlineStr">
        <is>
          <t>3. Pago</t>
        </is>
      </c>
      <c r="H574" t="n">
        <v>4</v>
      </c>
      <c r="I574" s="73" t="n">
        <v>857100</v>
      </c>
      <c r="J574" s="73" t="n">
        <v>3942660</v>
      </c>
      <c r="K574" s="73" t="n">
        <v>2494132</v>
      </c>
    </row>
    <row r="575">
      <c r="A575" t="n">
        <v>11263</v>
      </c>
      <c r="B575" s="72" t="n">
        <v>45506.49513888889</v>
      </c>
      <c r="C575" t="inlineStr">
        <is>
          <t>Meta</t>
        </is>
      </c>
      <c r="D575" t="inlineStr">
        <is>
          <t>Villavicencio</t>
        </is>
      </c>
      <c r="E575" t="inlineStr">
        <is>
          <t>Moda</t>
        </is>
      </c>
      <c r="F575" t="inlineStr">
        <is>
          <t>Tienda física</t>
        </is>
      </c>
      <c r="G575" t="inlineStr">
        <is>
          <t>3. Pago</t>
        </is>
      </c>
      <c r="H575" t="n">
        <v>4</v>
      </c>
      <c r="I575" s="73" t="n">
        <v>120400</v>
      </c>
      <c r="J575" s="73" t="n">
        <v>553840</v>
      </c>
      <c r="K575" s="73" t="n">
        <v>373825</v>
      </c>
    </row>
    <row r="576">
      <c r="A576" t="n">
        <v>11968</v>
      </c>
      <c r="B576" s="72" t="n">
        <v>45506.54791666667</v>
      </c>
      <c r="C576" t="inlineStr">
        <is>
          <t>Santander</t>
        </is>
      </c>
      <c r="D576" t="inlineStr">
        <is>
          <t>Bucaramanga</t>
        </is>
      </c>
      <c r="E576" t="inlineStr">
        <is>
          <t>Belleza</t>
        </is>
      </c>
      <c r="F576" t="inlineStr">
        <is>
          <t>Marketplace</t>
        </is>
      </c>
      <c r="G576" t="inlineStr">
        <is>
          <t>1. Visita</t>
        </is>
      </c>
      <c r="H576" t="n">
        <v>1</v>
      </c>
      <c r="I576" s="73" t="n">
        <v>84500</v>
      </c>
      <c r="J576" s="73" t="n">
        <v>97175</v>
      </c>
      <c r="K576" s="73" t="n">
        <v>65707</v>
      </c>
    </row>
    <row r="577">
      <c r="A577" t="n">
        <v>10046</v>
      </c>
      <c r="B577" s="72" t="n">
        <v>45506.61111111111</v>
      </c>
      <c r="C577" t="inlineStr">
        <is>
          <t>Bogotá D.C.</t>
        </is>
      </c>
      <c r="D577" t="inlineStr">
        <is>
          <t>Bogotá</t>
        </is>
      </c>
      <c r="E577" t="inlineStr">
        <is>
          <t>Moda</t>
        </is>
      </c>
      <c r="F577" t="inlineStr">
        <is>
          <t>Web</t>
        </is>
      </c>
      <c r="G577" t="inlineStr">
        <is>
          <t>1. Visita</t>
        </is>
      </c>
      <c r="H577" t="n">
        <v>5</v>
      </c>
      <c r="I577" s="73" t="n">
        <v>103800</v>
      </c>
      <c r="J577" s="73" t="n">
        <v>596850</v>
      </c>
      <c r="K577" s="73" t="n">
        <v>330797</v>
      </c>
    </row>
    <row r="578">
      <c r="A578" t="n">
        <v>11493</v>
      </c>
      <c r="B578" s="72" t="n">
        <v>45506.78125</v>
      </c>
      <c r="C578" t="inlineStr">
        <is>
          <t>Valle del Cauca</t>
        </is>
      </c>
      <c r="D578" t="inlineStr">
        <is>
          <t>Cali</t>
        </is>
      </c>
      <c r="E578" t="inlineStr">
        <is>
          <t>Deportes</t>
        </is>
      </c>
      <c r="F578" t="inlineStr">
        <is>
          <t>App</t>
        </is>
      </c>
      <c r="G578" t="inlineStr">
        <is>
          <t>1. Visita</t>
        </is>
      </c>
      <c r="H578" t="n">
        <v>4</v>
      </c>
      <c r="I578" s="73" t="n">
        <v>161800</v>
      </c>
      <c r="J578" s="73" t="n">
        <v>744280</v>
      </c>
      <c r="K578" s="73" t="n">
        <v>487426</v>
      </c>
    </row>
    <row r="579">
      <c r="A579" t="n">
        <v>11127</v>
      </c>
      <c r="B579" s="72" t="n">
        <v>45506.81458333333</v>
      </c>
      <c r="C579" t="inlineStr">
        <is>
          <t>Santander</t>
        </is>
      </c>
      <c r="D579" t="inlineStr">
        <is>
          <t>Bucaramanga</t>
        </is>
      </c>
      <c r="E579" t="inlineStr">
        <is>
          <t>Tecnología</t>
        </is>
      </c>
      <c r="F579" t="inlineStr">
        <is>
          <t>Web</t>
        </is>
      </c>
      <c r="G579" t="inlineStr">
        <is>
          <t>2. Carrito</t>
        </is>
      </c>
      <c r="H579" t="n">
        <v>2</v>
      </c>
      <c r="I579" s="73" t="n">
        <v>761600</v>
      </c>
      <c r="J579" s="73" t="n">
        <v>1751680</v>
      </c>
      <c r="K579" s="73" t="n">
        <v>1311075</v>
      </c>
    </row>
    <row r="580">
      <c r="A580" t="n">
        <v>10995</v>
      </c>
      <c r="B580" s="72" t="n">
        <v>45506.82569444444</v>
      </c>
      <c r="C580" t="inlineStr">
        <is>
          <t>Bogotá D.C.</t>
        </is>
      </c>
      <c r="D580" t="inlineStr">
        <is>
          <t>Bogotá</t>
        </is>
      </c>
      <c r="E580" t="inlineStr">
        <is>
          <t>Deportes</t>
        </is>
      </c>
      <c r="F580" t="inlineStr">
        <is>
          <t>Tienda física</t>
        </is>
      </c>
      <c r="G580" t="inlineStr">
        <is>
          <t>1. Visita</t>
        </is>
      </c>
      <c r="H580" t="n">
        <v>5</v>
      </c>
      <c r="I580" s="73" t="n">
        <v>194900</v>
      </c>
      <c r="J580" s="73" t="n">
        <v>1120675</v>
      </c>
      <c r="K580" s="73" t="n">
        <v>705960</v>
      </c>
    </row>
    <row r="581">
      <c r="A581" t="n">
        <v>11387</v>
      </c>
      <c r="B581" s="72" t="n">
        <v>45506.84305555555</v>
      </c>
      <c r="C581" t="inlineStr">
        <is>
          <t>Atlántico</t>
        </is>
      </c>
      <c r="D581" t="inlineStr">
        <is>
          <t>Barranquilla</t>
        </is>
      </c>
      <c r="E581" t="inlineStr">
        <is>
          <t>Juguetes</t>
        </is>
      </c>
      <c r="F581" t="inlineStr">
        <is>
          <t>Web</t>
        </is>
      </c>
      <c r="G581" t="inlineStr">
        <is>
          <t>1. Visita</t>
        </is>
      </c>
      <c r="H581" t="n">
        <v>5</v>
      </c>
      <c r="I581" s="73" t="n">
        <v>74500</v>
      </c>
      <c r="J581" s="73" t="n">
        <v>428375</v>
      </c>
      <c r="K581" s="73" t="n">
        <v>238463</v>
      </c>
    </row>
    <row r="582">
      <c r="A582" t="n">
        <v>11142</v>
      </c>
      <c r="B582" s="72" t="n">
        <v>45506.90763888889</v>
      </c>
      <c r="C582" t="inlineStr">
        <is>
          <t>Antioquia</t>
        </is>
      </c>
      <c r="D582" t="inlineStr">
        <is>
          <t>Medellín</t>
        </is>
      </c>
      <c r="E582" t="inlineStr">
        <is>
          <t>Belleza</t>
        </is>
      </c>
      <c r="F582" t="inlineStr">
        <is>
          <t>Web</t>
        </is>
      </c>
      <c r="G582" t="inlineStr">
        <is>
          <t>4. Compra</t>
        </is>
      </c>
      <c r="H582" t="n">
        <v>2</v>
      </c>
      <c r="I582" s="73" t="n">
        <v>69100</v>
      </c>
      <c r="J582" s="73" t="n">
        <v>158930</v>
      </c>
      <c r="K582" s="73" t="n">
        <v>100219</v>
      </c>
    </row>
    <row r="583">
      <c r="A583" t="n">
        <v>10414</v>
      </c>
      <c r="B583" s="72" t="n">
        <v>45507.42013888889</v>
      </c>
      <c r="C583" t="inlineStr">
        <is>
          <t>Antioquia</t>
        </is>
      </c>
      <c r="D583" t="inlineStr">
        <is>
          <t>Medellín</t>
        </is>
      </c>
      <c r="E583" t="inlineStr">
        <is>
          <t>Deportes</t>
        </is>
      </c>
      <c r="F583" t="inlineStr">
        <is>
          <t>Tienda física</t>
        </is>
      </c>
      <c r="G583" t="inlineStr">
        <is>
          <t>4. Compra</t>
        </is>
      </c>
      <c r="H583" t="n">
        <v>3</v>
      </c>
      <c r="I583" s="73" t="n">
        <v>157800</v>
      </c>
      <c r="J583" s="73" t="n">
        <v>544410</v>
      </c>
      <c r="K583" s="73" t="n">
        <v>399277</v>
      </c>
    </row>
    <row r="584">
      <c r="A584" t="n">
        <v>11292</v>
      </c>
      <c r="B584" s="72" t="n">
        <v>45507.54236111111</v>
      </c>
      <c r="C584" t="inlineStr">
        <is>
          <t>Santander</t>
        </is>
      </c>
      <c r="D584" t="inlineStr">
        <is>
          <t>Bucaramanga</t>
        </is>
      </c>
      <c r="E584" t="inlineStr">
        <is>
          <t>Deportes</t>
        </is>
      </c>
      <c r="F584" t="inlineStr">
        <is>
          <t>App</t>
        </is>
      </c>
      <c r="G584" t="inlineStr">
        <is>
          <t>4. Compra</t>
        </is>
      </c>
      <c r="H584" t="n">
        <v>2</v>
      </c>
      <c r="I584" s="73" t="n">
        <v>127200</v>
      </c>
      <c r="J584" s="73" t="n">
        <v>292560</v>
      </c>
      <c r="K584" s="73" t="n">
        <v>192712</v>
      </c>
    </row>
    <row r="585">
      <c r="A585" t="n">
        <v>12253</v>
      </c>
      <c r="B585" s="72" t="n">
        <v>45507.60694444444</v>
      </c>
      <c r="C585" t="inlineStr">
        <is>
          <t>Valle del Cauca</t>
        </is>
      </c>
      <c r="D585" t="inlineStr">
        <is>
          <t>Cali</t>
        </is>
      </c>
      <c r="E585" t="inlineStr">
        <is>
          <t>Hogar</t>
        </is>
      </c>
      <c r="F585" t="inlineStr">
        <is>
          <t>Web</t>
        </is>
      </c>
      <c r="G585" t="inlineStr">
        <is>
          <t>2. Carrito</t>
        </is>
      </c>
      <c r="H585" t="n">
        <v>3</v>
      </c>
      <c r="I585" s="73" t="n">
        <v>173900</v>
      </c>
      <c r="J585" s="73" t="n">
        <v>599955</v>
      </c>
      <c r="K585" s="73" t="n">
        <v>383334</v>
      </c>
    </row>
    <row r="586">
      <c r="A586" t="n">
        <v>11251</v>
      </c>
      <c r="B586" s="72" t="n">
        <v>45507.65625</v>
      </c>
      <c r="C586" t="inlineStr">
        <is>
          <t>Valle del Cauca</t>
        </is>
      </c>
      <c r="D586" t="inlineStr">
        <is>
          <t>Cali</t>
        </is>
      </c>
      <c r="E586" t="inlineStr">
        <is>
          <t>Belleza</t>
        </is>
      </c>
      <c r="F586" t="inlineStr">
        <is>
          <t>Web</t>
        </is>
      </c>
      <c r="G586" t="inlineStr">
        <is>
          <t>4. Compra</t>
        </is>
      </c>
      <c r="H586" t="n">
        <v>3</v>
      </c>
      <c r="I586" s="73" t="n">
        <v>49100</v>
      </c>
      <c r="J586" s="73" t="n">
        <v>169395</v>
      </c>
      <c r="K586" s="73" t="n">
        <v>115054</v>
      </c>
    </row>
    <row r="587">
      <c r="A587" t="n">
        <v>12159</v>
      </c>
      <c r="B587" s="72" t="n">
        <v>45507.75416666667</v>
      </c>
      <c r="C587" t="inlineStr">
        <is>
          <t>Meta</t>
        </is>
      </c>
      <c r="D587" t="inlineStr">
        <is>
          <t>Villavicencio</t>
        </is>
      </c>
      <c r="E587" t="inlineStr">
        <is>
          <t>Moda</t>
        </is>
      </c>
      <c r="F587" t="inlineStr">
        <is>
          <t>Tienda física</t>
        </is>
      </c>
      <c r="G587" t="inlineStr">
        <is>
          <t>2. Carrito</t>
        </is>
      </c>
      <c r="H587" t="n">
        <v>1</v>
      </c>
      <c r="I587" s="73" t="n">
        <v>96300</v>
      </c>
      <c r="J587" s="73" t="n">
        <v>110745</v>
      </c>
      <c r="K587" s="73" t="n">
        <v>66628</v>
      </c>
    </row>
    <row r="588">
      <c r="A588" t="n">
        <v>10175</v>
      </c>
      <c r="B588" s="72" t="n">
        <v>45507.75694444445</v>
      </c>
      <c r="C588" t="inlineStr">
        <is>
          <t>Bogotá D.C.</t>
        </is>
      </c>
      <c r="D588" t="inlineStr">
        <is>
          <t>Bogotá</t>
        </is>
      </c>
      <c r="E588" t="inlineStr">
        <is>
          <t>Hogar</t>
        </is>
      </c>
      <c r="F588" t="inlineStr">
        <is>
          <t>App</t>
        </is>
      </c>
      <c r="G588" t="inlineStr">
        <is>
          <t>1. Visita</t>
        </is>
      </c>
      <c r="H588" t="n">
        <v>3</v>
      </c>
      <c r="I588" s="73" t="n">
        <v>224000</v>
      </c>
      <c r="J588" s="73" t="n">
        <v>772800</v>
      </c>
      <c r="K588" s="73" t="n">
        <v>515899</v>
      </c>
    </row>
    <row r="589">
      <c r="A589" t="n">
        <v>11125</v>
      </c>
      <c r="B589" s="72" t="n">
        <v>45507.93472222222</v>
      </c>
      <c r="C589" t="inlineStr">
        <is>
          <t>Nariño</t>
        </is>
      </c>
      <c r="D589" t="inlineStr">
        <is>
          <t>Pasto</t>
        </is>
      </c>
      <c r="E589" t="inlineStr">
        <is>
          <t>Juguetes</t>
        </is>
      </c>
      <c r="F589" t="inlineStr">
        <is>
          <t>Web</t>
        </is>
      </c>
      <c r="G589" t="inlineStr">
        <is>
          <t>1. Visita</t>
        </is>
      </c>
      <c r="H589" t="n">
        <v>3</v>
      </c>
      <c r="I589" s="73" t="n">
        <v>115400</v>
      </c>
      <c r="J589" s="73" t="n">
        <v>398130</v>
      </c>
      <c r="K589" s="73" t="n">
        <v>290514</v>
      </c>
    </row>
    <row r="590">
      <c r="A590" t="n">
        <v>11628</v>
      </c>
      <c r="B590" s="72" t="n">
        <v>45507.98541666667</v>
      </c>
      <c r="C590" t="inlineStr">
        <is>
          <t>Bogotá D.C.</t>
        </is>
      </c>
      <c r="D590" t="inlineStr">
        <is>
          <t>Bogotá</t>
        </is>
      </c>
      <c r="E590" t="inlineStr">
        <is>
          <t>Moda</t>
        </is>
      </c>
      <c r="F590" t="inlineStr">
        <is>
          <t>App</t>
        </is>
      </c>
      <c r="G590" t="inlineStr">
        <is>
          <t>1. Visita</t>
        </is>
      </c>
      <c r="H590" t="n">
        <v>5</v>
      </c>
      <c r="I590" s="73" t="n">
        <v>109300</v>
      </c>
      <c r="J590" s="73" t="n">
        <v>628475</v>
      </c>
      <c r="K590" s="73" t="n">
        <v>382762</v>
      </c>
    </row>
    <row r="591">
      <c r="A591" t="n">
        <v>10384</v>
      </c>
      <c r="B591" s="72" t="n">
        <v>45508.49791666667</v>
      </c>
      <c r="C591" t="inlineStr">
        <is>
          <t>Antioquia</t>
        </is>
      </c>
      <c r="D591" t="inlineStr">
        <is>
          <t>Medellín</t>
        </is>
      </c>
      <c r="E591" t="inlineStr">
        <is>
          <t>Moda</t>
        </is>
      </c>
      <c r="F591" t="inlineStr">
        <is>
          <t>Marketplace</t>
        </is>
      </c>
      <c r="G591" t="inlineStr">
        <is>
          <t>2. Carrito</t>
        </is>
      </c>
      <c r="H591" t="n">
        <v>4</v>
      </c>
      <c r="I591" s="73" t="n">
        <v>103800</v>
      </c>
      <c r="J591" s="73" t="n">
        <v>477480</v>
      </c>
      <c r="K591" s="73" t="n">
        <v>347307</v>
      </c>
    </row>
    <row r="592">
      <c r="A592" t="n">
        <v>10491</v>
      </c>
      <c r="B592" s="72" t="n">
        <v>45508.78472222222</v>
      </c>
      <c r="C592" t="inlineStr">
        <is>
          <t>Valle del Cauca</t>
        </is>
      </c>
      <c r="D592" t="inlineStr">
        <is>
          <t>Cali</t>
        </is>
      </c>
      <c r="E592" t="inlineStr">
        <is>
          <t>Hogar</t>
        </is>
      </c>
      <c r="F592" t="inlineStr">
        <is>
          <t>App</t>
        </is>
      </c>
      <c r="G592" t="inlineStr">
        <is>
          <t>3. Pago</t>
        </is>
      </c>
      <c r="H592" t="n">
        <v>4</v>
      </c>
      <c r="I592" s="73" t="n">
        <v>170000</v>
      </c>
      <c r="J592" s="73" t="n">
        <v>782000</v>
      </c>
      <c r="K592" s="73" t="n">
        <v>486881</v>
      </c>
    </row>
    <row r="593">
      <c r="A593" t="n">
        <v>12142</v>
      </c>
      <c r="B593" s="72" t="n">
        <v>45509.32847222222</v>
      </c>
      <c r="C593" t="inlineStr">
        <is>
          <t>Valle del Cauca</t>
        </is>
      </c>
      <c r="D593" t="inlineStr">
        <is>
          <t>Cali</t>
        </is>
      </c>
      <c r="E593" t="inlineStr">
        <is>
          <t>Deportes</t>
        </is>
      </c>
      <c r="F593" t="inlineStr">
        <is>
          <t>Web</t>
        </is>
      </c>
      <c r="G593" t="inlineStr">
        <is>
          <t>3. Pago</t>
        </is>
      </c>
      <c r="H593" t="n">
        <v>2</v>
      </c>
      <c r="I593" s="73" t="n">
        <v>206400</v>
      </c>
      <c r="J593" s="73" t="n">
        <v>412800</v>
      </c>
      <c r="K593" s="73" t="n">
        <v>229691</v>
      </c>
    </row>
    <row r="594">
      <c r="A594" t="n">
        <v>10375</v>
      </c>
      <c r="B594" s="72" t="n">
        <v>45509.36388888889</v>
      </c>
      <c r="C594" t="inlineStr">
        <is>
          <t>Valle del Cauca</t>
        </is>
      </c>
      <c r="D594" t="inlineStr">
        <is>
          <t>Cali</t>
        </is>
      </c>
      <c r="E594" t="inlineStr">
        <is>
          <t>Juguetes</t>
        </is>
      </c>
      <c r="F594" t="inlineStr">
        <is>
          <t>App</t>
        </is>
      </c>
      <c r="G594" t="inlineStr">
        <is>
          <t>1. Visita</t>
        </is>
      </c>
      <c r="H594" t="n">
        <v>4</v>
      </c>
      <c r="I594" s="73" t="n">
        <v>107800</v>
      </c>
      <c r="J594" s="73" t="n">
        <v>431200</v>
      </c>
      <c r="K594" s="73" t="n">
        <v>306887</v>
      </c>
    </row>
    <row r="595">
      <c r="A595" t="n">
        <v>10287</v>
      </c>
      <c r="B595" s="72" t="n">
        <v>45509.41458333333</v>
      </c>
      <c r="C595" t="inlineStr">
        <is>
          <t>Bolívar</t>
        </is>
      </c>
      <c r="D595" t="inlineStr">
        <is>
          <t>Cartagena</t>
        </is>
      </c>
      <c r="E595" t="inlineStr">
        <is>
          <t>Deportes</t>
        </is>
      </c>
      <c r="F595" t="inlineStr">
        <is>
          <t>Web</t>
        </is>
      </c>
      <c r="G595" t="inlineStr">
        <is>
          <t>4. Compra</t>
        </is>
      </c>
      <c r="H595" t="n">
        <v>1</v>
      </c>
      <c r="I595" s="73" t="n">
        <v>124000</v>
      </c>
      <c r="J595" s="73" t="n">
        <v>124000</v>
      </c>
      <c r="K595" s="73" t="n">
        <v>69515</v>
      </c>
    </row>
    <row r="596">
      <c r="A596" t="n">
        <v>10122</v>
      </c>
      <c r="B596" s="72" t="n">
        <v>45509.81041666667</v>
      </c>
      <c r="C596" t="inlineStr">
        <is>
          <t>Santander</t>
        </is>
      </c>
      <c r="D596" t="inlineStr">
        <is>
          <t>Bucaramanga</t>
        </is>
      </c>
      <c r="E596" t="inlineStr">
        <is>
          <t>Deportes</t>
        </is>
      </c>
      <c r="F596" t="inlineStr">
        <is>
          <t>Web</t>
        </is>
      </c>
      <c r="G596" t="inlineStr">
        <is>
          <t>1. Visita</t>
        </is>
      </c>
      <c r="H596" t="n">
        <v>1</v>
      </c>
      <c r="I596" s="73" t="n">
        <v>185900</v>
      </c>
      <c r="J596" s="73" t="n">
        <v>185900</v>
      </c>
      <c r="K596" s="73" t="n">
        <v>106752</v>
      </c>
    </row>
    <row r="597">
      <c r="A597" t="n">
        <v>11293</v>
      </c>
      <c r="B597" s="72" t="n">
        <v>45509.99861111111</v>
      </c>
      <c r="C597" t="inlineStr">
        <is>
          <t>Valle del Cauca</t>
        </is>
      </c>
      <c r="D597" t="inlineStr">
        <is>
          <t>Cali</t>
        </is>
      </c>
      <c r="E597" t="inlineStr">
        <is>
          <t>Deportes</t>
        </is>
      </c>
      <c r="F597" t="inlineStr">
        <is>
          <t>App</t>
        </is>
      </c>
      <c r="G597" t="inlineStr">
        <is>
          <t>4. Compra</t>
        </is>
      </c>
      <c r="H597" t="n">
        <v>4</v>
      </c>
      <c r="I597" s="73" t="n">
        <v>160100</v>
      </c>
      <c r="J597" s="73" t="n">
        <v>640400</v>
      </c>
      <c r="K597" s="73" t="n">
        <v>462993</v>
      </c>
    </row>
    <row r="598">
      <c r="A598" t="n">
        <v>10163</v>
      </c>
      <c r="B598" s="72" t="n">
        <v>45510.29930555556</v>
      </c>
      <c r="C598" t="inlineStr">
        <is>
          <t>Bolívar</t>
        </is>
      </c>
      <c r="D598" t="inlineStr">
        <is>
          <t>Cartagena</t>
        </is>
      </c>
      <c r="E598" t="inlineStr">
        <is>
          <t>Juguetes</t>
        </is>
      </c>
      <c r="F598" t="inlineStr">
        <is>
          <t>App</t>
        </is>
      </c>
      <c r="G598" t="inlineStr">
        <is>
          <t>4. Compra</t>
        </is>
      </c>
      <c r="H598" t="n">
        <v>1</v>
      </c>
      <c r="I598" s="73" t="n">
        <v>97100</v>
      </c>
      <c r="J598" s="73" t="n">
        <v>97100</v>
      </c>
      <c r="K598" s="73" t="n">
        <v>57093</v>
      </c>
    </row>
    <row r="599">
      <c r="A599" t="n">
        <v>11148</v>
      </c>
      <c r="B599" s="72" t="n">
        <v>45510.47291666667</v>
      </c>
      <c r="C599" t="inlineStr">
        <is>
          <t>Antioquia</t>
        </is>
      </c>
      <c r="D599" t="inlineStr">
        <is>
          <t>Medellín</t>
        </is>
      </c>
      <c r="E599" t="inlineStr">
        <is>
          <t>Deportes</t>
        </is>
      </c>
      <c r="F599" t="inlineStr">
        <is>
          <t>Tienda física</t>
        </is>
      </c>
      <c r="G599" t="inlineStr">
        <is>
          <t>1. Visita</t>
        </is>
      </c>
      <c r="H599" t="n">
        <v>1</v>
      </c>
      <c r="I599" s="73" t="n">
        <v>194200</v>
      </c>
      <c r="J599" s="73" t="n">
        <v>194200</v>
      </c>
      <c r="K599" s="73" t="n">
        <v>121410</v>
      </c>
    </row>
    <row r="600">
      <c r="A600" t="n">
        <v>10551</v>
      </c>
      <c r="B600" s="72" t="n">
        <v>45510.63402777778</v>
      </c>
      <c r="C600" t="inlineStr">
        <is>
          <t>Santander</t>
        </is>
      </c>
      <c r="D600" t="inlineStr">
        <is>
          <t>Bucaramanga</t>
        </is>
      </c>
      <c r="E600" t="inlineStr">
        <is>
          <t>Juguetes</t>
        </is>
      </c>
      <c r="F600" t="inlineStr">
        <is>
          <t>Tienda física</t>
        </is>
      </c>
      <c r="G600" t="inlineStr">
        <is>
          <t>2. Carrito</t>
        </is>
      </c>
      <c r="H600" t="n">
        <v>1</v>
      </c>
      <c r="I600" s="73" t="n">
        <v>85100</v>
      </c>
      <c r="J600" s="73" t="n">
        <v>85100</v>
      </c>
      <c r="K600" s="73" t="n">
        <v>60675</v>
      </c>
    </row>
    <row r="601">
      <c r="A601" t="n">
        <v>12189</v>
      </c>
      <c r="B601" s="72" t="n">
        <v>45510.81527777778</v>
      </c>
      <c r="C601" t="inlineStr">
        <is>
          <t>Bogotá D.C.</t>
        </is>
      </c>
      <c r="D601" t="inlineStr">
        <is>
          <t>Bogotá</t>
        </is>
      </c>
      <c r="E601" t="inlineStr">
        <is>
          <t>Hogar</t>
        </is>
      </c>
      <c r="F601" t="inlineStr">
        <is>
          <t>Marketplace</t>
        </is>
      </c>
      <c r="G601" t="inlineStr">
        <is>
          <t>1. Visita</t>
        </is>
      </c>
      <c r="H601" t="n">
        <v>4</v>
      </c>
      <c r="I601" s="73" t="n">
        <v>207100</v>
      </c>
      <c r="J601" s="73" t="n">
        <v>828400</v>
      </c>
      <c r="K601" s="73" t="n">
        <v>489919</v>
      </c>
    </row>
    <row r="602">
      <c r="A602" t="n">
        <v>12323</v>
      </c>
      <c r="B602" s="72" t="n">
        <v>45511.54375</v>
      </c>
      <c r="C602" t="inlineStr">
        <is>
          <t>Nariño</t>
        </is>
      </c>
      <c r="D602" t="inlineStr">
        <is>
          <t>Pasto</t>
        </is>
      </c>
      <c r="E602" t="inlineStr">
        <is>
          <t>Juguetes</t>
        </is>
      </c>
      <c r="F602" t="inlineStr">
        <is>
          <t>Tienda física</t>
        </is>
      </c>
      <c r="G602" t="inlineStr">
        <is>
          <t>2. Carrito</t>
        </is>
      </c>
      <c r="H602" t="n">
        <v>4</v>
      </c>
      <c r="I602" s="73" t="n">
        <v>115700</v>
      </c>
      <c r="J602" s="73" t="n">
        <v>462800</v>
      </c>
      <c r="K602" s="73" t="n">
        <v>271913</v>
      </c>
    </row>
    <row r="603">
      <c r="A603" t="n">
        <v>11088</v>
      </c>
      <c r="B603" s="72" t="n">
        <v>45511.59722222222</v>
      </c>
      <c r="C603" t="inlineStr">
        <is>
          <t>Atlántico</t>
        </is>
      </c>
      <c r="D603" t="inlineStr">
        <is>
          <t>Barranquilla</t>
        </is>
      </c>
      <c r="E603" t="inlineStr">
        <is>
          <t>Hogar</t>
        </is>
      </c>
      <c r="F603" t="inlineStr">
        <is>
          <t>Marketplace</t>
        </is>
      </c>
      <c r="G603" t="inlineStr">
        <is>
          <t>1. Visita</t>
        </is>
      </c>
      <c r="H603" t="n">
        <v>3</v>
      </c>
      <c r="I603" s="73" t="n">
        <v>260400</v>
      </c>
      <c r="J603" s="73" t="n">
        <v>781200</v>
      </c>
      <c r="K603" s="73" t="n">
        <v>436411</v>
      </c>
    </row>
    <row r="604">
      <c r="A604" t="n">
        <v>11124</v>
      </c>
      <c r="B604" s="72" t="n">
        <v>45511.60416666666</v>
      </c>
      <c r="C604" t="inlineStr">
        <is>
          <t>Bogotá D.C.</t>
        </is>
      </c>
      <c r="D604" t="inlineStr">
        <is>
          <t>Bogotá</t>
        </is>
      </c>
      <c r="E604" t="inlineStr">
        <is>
          <t>Tecnología</t>
        </is>
      </c>
      <c r="F604" t="inlineStr">
        <is>
          <t>Web</t>
        </is>
      </c>
      <c r="G604" t="inlineStr">
        <is>
          <t>1. Visita</t>
        </is>
      </c>
      <c r="H604" t="n">
        <v>3</v>
      </c>
      <c r="I604" s="73" t="n">
        <v>839700</v>
      </c>
      <c r="J604" s="73" t="n">
        <v>2519100</v>
      </c>
      <c r="K604" s="73" t="n">
        <v>1419347</v>
      </c>
    </row>
    <row r="605">
      <c r="A605" t="n">
        <v>10739</v>
      </c>
      <c r="B605" s="72" t="n">
        <v>45511.97638888889</v>
      </c>
      <c r="C605" t="inlineStr">
        <is>
          <t>Santander</t>
        </is>
      </c>
      <c r="D605" t="inlineStr">
        <is>
          <t>Bucaramanga</t>
        </is>
      </c>
      <c r="E605" t="inlineStr">
        <is>
          <t>Moda</t>
        </is>
      </c>
      <c r="F605" t="inlineStr">
        <is>
          <t>Marketplace</t>
        </is>
      </c>
      <c r="G605" t="inlineStr">
        <is>
          <t>2. Carrito</t>
        </is>
      </c>
      <c r="H605" t="n">
        <v>5</v>
      </c>
      <c r="I605" s="73" t="n">
        <v>123200</v>
      </c>
      <c r="J605" s="73" t="n">
        <v>616000</v>
      </c>
      <c r="K605" s="73" t="n">
        <v>392675</v>
      </c>
    </row>
    <row r="606">
      <c r="A606" t="n">
        <v>11380</v>
      </c>
      <c r="B606" s="72" t="n">
        <v>45512.34375</v>
      </c>
      <c r="C606" t="inlineStr">
        <is>
          <t>Atlántico</t>
        </is>
      </c>
      <c r="D606" t="inlineStr">
        <is>
          <t>Barranquilla</t>
        </is>
      </c>
      <c r="E606" t="inlineStr">
        <is>
          <t>Deportes</t>
        </is>
      </c>
      <c r="F606" t="inlineStr">
        <is>
          <t>App</t>
        </is>
      </c>
      <c r="G606" t="inlineStr">
        <is>
          <t>1. Visita</t>
        </is>
      </c>
      <c r="H606" t="n">
        <v>4</v>
      </c>
      <c r="I606" s="73" t="n">
        <v>185500</v>
      </c>
      <c r="J606" s="73" t="n">
        <v>742000</v>
      </c>
      <c r="K606" s="73" t="n">
        <v>532568</v>
      </c>
    </row>
    <row r="607">
      <c r="A607" t="n">
        <v>10708</v>
      </c>
      <c r="B607" s="72" t="n">
        <v>45512.50555555556</v>
      </c>
      <c r="C607" t="inlineStr">
        <is>
          <t>Valle del Cauca</t>
        </is>
      </c>
      <c r="D607" t="inlineStr">
        <is>
          <t>Cali</t>
        </is>
      </c>
      <c r="E607" t="inlineStr">
        <is>
          <t>Moda</t>
        </is>
      </c>
      <c r="F607" t="inlineStr">
        <is>
          <t>Web</t>
        </is>
      </c>
      <c r="G607" t="inlineStr">
        <is>
          <t>1. Visita</t>
        </is>
      </c>
      <c r="H607" t="n">
        <v>3</v>
      </c>
      <c r="I607" s="73" t="n">
        <v>139800</v>
      </c>
      <c r="J607" s="73" t="n">
        <v>419400</v>
      </c>
      <c r="K607" s="73" t="n">
        <v>247349</v>
      </c>
    </row>
    <row r="608">
      <c r="A608" t="n">
        <v>10695</v>
      </c>
      <c r="B608" s="72" t="n">
        <v>45512.74791666667</v>
      </c>
      <c r="C608" t="inlineStr">
        <is>
          <t>Antioquia</t>
        </is>
      </c>
      <c r="D608" t="inlineStr">
        <is>
          <t>Medellín</t>
        </is>
      </c>
      <c r="E608" t="inlineStr">
        <is>
          <t>Belleza</t>
        </is>
      </c>
      <c r="F608" t="inlineStr">
        <is>
          <t>Web</t>
        </is>
      </c>
      <c r="G608" t="inlineStr">
        <is>
          <t>3. Pago</t>
        </is>
      </c>
      <c r="H608" t="n">
        <v>3</v>
      </c>
      <c r="I608" s="73" t="n">
        <v>63200</v>
      </c>
      <c r="J608" s="73" t="n">
        <v>189600</v>
      </c>
      <c r="K608" s="73" t="n">
        <v>137085</v>
      </c>
    </row>
    <row r="609">
      <c r="A609" t="n">
        <v>11134</v>
      </c>
      <c r="B609" s="72" t="n">
        <v>45512.76041666666</v>
      </c>
      <c r="C609" t="inlineStr">
        <is>
          <t>Santander</t>
        </is>
      </c>
      <c r="D609" t="inlineStr">
        <is>
          <t>Bucaramanga</t>
        </is>
      </c>
      <c r="E609" t="inlineStr">
        <is>
          <t>Deportes</t>
        </is>
      </c>
      <c r="F609" t="inlineStr">
        <is>
          <t>Web</t>
        </is>
      </c>
      <c r="G609" t="inlineStr">
        <is>
          <t>1. Visita</t>
        </is>
      </c>
      <c r="H609" t="n">
        <v>1</v>
      </c>
      <c r="I609" s="73" t="n">
        <v>175600</v>
      </c>
      <c r="J609" s="73" t="n">
        <v>175600</v>
      </c>
      <c r="K609" s="73" t="n">
        <v>113588</v>
      </c>
    </row>
    <row r="610">
      <c r="A610" t="n">
        <v>10674</v>
      </c>
      <c r="B610" s="72" t="n">
        <v>45512.83263888889</v>
      </c>
      <c r="C610" t="inlineStr">
        <is>
          <t>Valle del Cauca</t>
        </is>
      </c>
      <c r="D610" t="inlineStr">
        <is>
          <t>Cali</t>
        </is>
      </c>
      <c r="E610" t="inlineStr">
        <is>
          <t>Hogar</t>
        </is>
      </c>
      <c r="F610" t="inlineStr">
        <is>
          <t>App</t>
        </is>
      </c>
      <c r="G610" t="inlineStr">
        <is>
          <t>1. Visita</t>
        </is>
      </c>
      <c r="H610" t="n">
        <v>4</v>
      </c>
      <c r="I610" s="73" t="n">
        <v>148400</v>
      </c>
      <c r="J610" s="73" t="n">
        <v>593600</v>
      </c>
      <c r="K610" s="73" t="n">
        <v>404971</v>
      </c>
    </row>
    <row r="611">
      <c r="A611" t="n">
        <v>11223</v>
      </c>
      <c r="B611" s="72" t="n">
        <v>45512.92222222222</v>
      </c>
      <c r="C611" t="inlineStr">
        <is>
          <t>Bogotá D.C.</t>
        </is>
      </c>
      <c r="D611" t="inlineStr">
        <is>
          <t>Bogotá</t>
        </is>
      </c>
      <c r="E611" t="inlineStr">
        <is>
          <t>Hogar</t>
        </is>
      </c>
      <c r="F611" t="inlineStr">
        <is>
          <t>Web</t>
        </is>
      </c>
      <c r="G611" t="inlineStr">
        <is>
          <t>1. Visita</t>
        </is>
      </c>
      <c r="H611" t="n">
        <v>1</v>
      </c>
      <c r="I611" s="73" t="n">
        <v>270500</v>
      </c>
      <c r="J611" s="73" t="n">
        <v>270500</v>
      </c>
      <c r="K611" s="73" t="n">
        <v>202863</v>
      </c>
    </row>
    <row r="612">
      <c r="A612" t="n">
        <v>10490</v>
      </c>
      <c r="B612" s="72" t="n">
        <v>45513.14930555555</v>
      </c>
      <c r="C612" t="inlineStr">
        <is>
          <t>Antioquia</t>
        </is>
      </c>
      <c r="D612" t="inlineStr">
        <is>
          <t>Medellín</t>
        </is>
      </c>
      <c r="E612" t="inlineStr">
        <is>
          <t>Juguetes</t>
        </is>
      </c>
      <c r="F612" t="inlineStr">
        <is>
          <t>Web</t>
        </is>
      </c>
      <c r="G612" t="inlineStr">
        <is>
          <t>2. Carrito</t>
        </is>
      </c>
      <c r="H612" t="n">
        <v>5</v>
      </c>
      <c r="I612" s="73" t="n">
        <v>100300</v>
      </c>
      <c r="J612" s="73" t="n">
        <v>576725</v>
      </c>
      <c r="K612" s="73" t="n">
        <v>423992</v>
      </c>
    </row>
    <row r="613">
      <c r="A613" t="n">
        <v>12003</v>
      </c>
      <c r="B613" s="72" t="n">
        <v>45513.36041666667</v>
      </c>
      <c r="C613" t="inlineStr">
        <is>
          <t>Antioquia</t>
        </is>
      </c>
      <c r="D613" t="inlineStr">
        <is>
          <t>Medellín</t>
        </is>
      </c>
      <c r="E613" t="inlineStr">
        <is>
          <t>Tecnología</t>
        </is>
      </c>
      <c r="F613" t="inlineStr">
        <is>
          <t>App</t>
        </is>
      </c>
      <c r="G613" t="inlineStr">
        <is>
          <t>2. Carrito</t>
        </is>
      </c>
      <c r="H613" t="n">
        <v>5</v>
      </c>
      <c r="I613" s="73" t="n">
        <v>947100</v>
      </c>
      <c r="J613" s="73" t="n">
        <v>5445825</v>
      </c>
      <c r="K613" s="73" t="n">
        <v>3231485</v>
      </c>
    </row>
    <row r="614">
      <c r="A614" t="n">
        <v>11336</v>
      </c>
      <c r="B614" s="72" t="n">
        <v>45513.38819444444</v>
      </c>
      <c r="C614" t="inlineStr">
        <is>
          <t>Bogotá D.C.</t>
        </is>
      </c>
      <c r="D614" t="inlineStr">
        <is>
          <t>Bogotá</t>
        </is>
      </c>
      <c r="E614" t="inlineStr">
        <is>
          <t>Belleza</t>
        </is>
      </c>
      <c r="F614" t="inlineStr">
        <is>
          <t>Tienda física</t>
        </is>
      </c>
      <c r="G614" t="inlineStr">
        <is>
          <t>2. Carrito</t>
        </is>
      </c>
      <c r="H614" t="n">
        <v>2</v>
      </c>
      <c r="I614" s="73" t="n">
        <v>83600</v>
      </c>
      <c r="J614" s="73" t="n">
        <v>192280</v>
      </c>
      <c r="K614" s="73" t="n">
        <v>132189</v>
      </c>
    </row>
    <row r="615">
      <c r="A615" t="n">
        <v>10047</v>
      </c>
      <c r="B615" s="72" t="n">
        <v>45513.40833333333</v>
      </c>
      <c r="C615" t="inlineStr">
        <is>
          <t>Huila</t>
        </is>
      </c>
      <c r="D615" t="inlineStr">
        <is>
          <t>Neiva</t>
        </is>
      </c>
      <c r="E615" t="inlineStr">
        <is>
          <t>Deportes</t>
        </is>
      </c>
      <c r="F615" t="inlineStr">
        <is>
          <t>App</t>
        </is>
      </c>
      <c r="G615" t="inlineStr">
        <is>
          <t>1. Visita</t>
        </is>
      </c>
      <c r="H615" t="n">
        <v>2</v>
      </c>
      <c r="I615" s="73" t="n">
        <v>141400</v>
      </c>
      <c r="J615" s="73" t="n">
        <v>325220</v>
      </c>
      <c r="K615" s="73" t="n">
        <v>203542</v>
      </c>
    </row>
    <row r="616">
      <c r="A616" t="n">
        <v>12262</v>
      </c>
      <c r="B616" s="72" t="n">
        <v>45513.48958333334</v>
      </c>
      <c r="C616" t="inlineStr">
        <is>
          <t>Bogotá D.C.</t>
        </is>
      </c>
      <c r="D616" t="inlineStr">
        <is>
          <t>Bogotá</t>
        </is>
      </c>
      <c r="E616" t="inlineStr">
        <is>
          <t>Belleza</t>
        </is>
      </c>
      <c r="F616" t="inlineStr">
        <is>
          <t>Tienda física</t>
        </is>
      </c>
      <c r="G616" t="inlineStr">
        <is>
          <t>3. Pago</t>
        </is>
      </c>
      <c r="H616" t="n">
        <v>5</v>
      </c>
      <c r="I616" s="73" t="n">
        <v>59900</v>
      </c>
      <c r="J616" s="73" t="n">
        <v>344425</v>
      </c>
      <c r="K616" s="73" t="n">
        <v>205288</v>
      </c>
    </row>
    <row r="617">
      <c r="A617" t="n">
        <v>11765</v>
      </c>
      <c r="B617" s="72" t="n">
        <v>45513.56458333333</v>
      </c>
      <c r="C617" t="inlineStr">
        <is>
          <t>Meta</t>
        </is>
      </c>
      <c r="D617" t="inlineStr">
        <is>
          <t>Villavicencio</t>
        </is>
      </c>
      <c r="E617" t="inlineStr">
        <is>
          <t>Hogar</t>
        </is>
      </c>
      <c r="F617" t="inlineStr">
        <is>
          <t>App</t>
        </is>
      </c>
      <c r="G617" t="inlineStr">
        <is>
          <t>1. Visita</t>
        </is>
      </c>
      <c r="H617" t="n">
        <v>2</v>
      </c>
      <c r="I617" s="73" t="n">
        <v>238800</v>
      </c>
      <c r="J617" s="73" t="n">
        <v>549240</v>
      </c>
      <c r="K617" s="73" t="n">
        <v>334749</v>
      </c>
    </row>
    <row r="618">
      <c r="A618" t="n">
        <v>12328</v>
      </c>
      <c r="B618" s="72" t="n">
        <v>45513.61041666667</v>
      </c>
      <c r="C618" t="inlineStr">
        <is>
          <t>Bogotá D.C.</t>
        </is>
      </c>
      <c r="D618" t="inlineStr">
        <is>
          <t>Bogotá</t>
        </is>
      </c>
      <c r="E618" t="inlineStr">
        <is>
          <t>Juguetes</t>
        </is>
      </c>
      <c r="F618" t="inlineStr">
        <is>
          <t>Web</t>
        </is>
      </c>
      <c r="G618" t="inlineStr">
        <is>
          <t>1. Visita</t>
        </is>
      </c>
      <c r="H618" t="n">
        <v>4</v>
      </c>
      <c r="I618" s="73" t="n">
        <v>107700</v>
      </c>
      <c r="J618" s="73" t="n">
        <v>495420</v>
      </c>
      <c r="K618" s="73" t="n">
        <v>347648</v>
      </c>
    </row>
    <row r="619">
      <c r="A619" t="n">
        <v>10492</v>
      </c>
      <c r="B619" s="72" t="n">
        <v>45513.67777777778</v>
      </c>
      <c r="C619" t="inlineStr">
        <is>
          <t>Bolívar</t>
        </is>
      </c>
      <c r="D619" t="inlineStr">
        <is>
          <t>Cartagena</t>
        </is>
      </c>
      <c r="E619" t="inlineStr">
        <is>
          <t>Juguetes</t>
        </is>
      </c>
      <c r="F619" t="inlineStr">
        <is>
          <t>Marketplace</t>
        </is>
      </c>
      <c r="G619" t="inlineStr">
        <is>
          <t>1. Visita</t>
        </is>
      </c>
      <c r="H619" t="n">
        <v>5</v>
      </c>
      <c r="I619" s="73" t="n">
        <v>116900</v>
      </c>
      <c r="J619" s="73" t="n">
        <v>672175</v>
      </c>
      <c r="K619" s="73" t="n">
        <v>430973</v>
      </c>
    </row>
    <row r="620">
      <c r="A620" t="n">
        <v>11081</v>
      </c>
      <c r="B620" s="72" t="n">
        <v>45514.93958333333</v>
      </c>
      <c r="C620" t="inlineStr">
        <is>
          <t>Bogotá D.C.</t>
        </is>
      </c>
      <c r="D620" t="inlineStr">
        <is>
          <t>Bogotá</t>
        </is>
      </c>
      <c r="E620" t="inlineStr">
        <is>
          <t>Hogar</t>
        </is>
      </c>
      <c r="F620" t="inlineStr">
        <is>
          <t>Web</t>
        </is>
      </c>
      <c r="G620" t="inlineStr">
        <is>
          <t>2. Carrito</t>
        </is>
      </c>
      <c r="H620" t="n">
        <v>1</v>
      </c>
      <c r="I620" s="73" t="n">
        <v>200600</v>
      </c>
      <c r="J620" s="73" t="n">
        <v>230690</v>
      </c>
      <c r="K620" s="73" t="n">
        <v>133921</v>
      </c>
    </row>
    <row r="621">
      <c r="A621" t="n">
        <v>11301</v>
      </c>
      <c r="B621" s="72" t="n">
        <v>45515.375</v>
      </c>
      <c r="C621" t="inlineStr">
        <is>
          <t>Risaralda</t>
        </is>
      </c>
      <c r="D621" t="inlineStr">
        <is>
          <t>Pereira</t>
        </is>
      </c>
      <c r="E621" t="inlineStr">
        <is>
          <t>Deportes</t>
        </is>
      </c>
      <c r="F621" t="inlineStr">
        <is>
          <t>Web</t>
        </is>
      </c>
      <c r="G621" t="inlineStr">
        <is>
          <t>2. Carrito</t>
        </is>
      </c>
      <c r="H621" t="n">
        <v>5</v>
      </c>
      <c r="I621" s="73" t="n">
        <v>123600</v>
      </c>
      <c r="J621" s="73" t="n">
        <v>710700</v>
      </c>
      <c r="K621" s="73" t="n">
        <v>466708</v>
      </c>
    </row>
    <row r="622">
      <c r="A622" t="n">
        <v>10559</v>
      </c>
      <c r="B622" s="72" t="n">
        <v>45515.61180555556</v>
      </c>
      <c r="C622" t="inlineStr">
        <is>
          <t>Bolívar</t>
        </is>
      </c>
      <c r="D622" t="inlineStr">
        <is>
          <t>Cartagena</t>
        </is>
      </c>
      <c r="E622" t="inlineStr">
        <is>
          <t>Deportes</t>
        </is>
      </c>
      <c r="F622" t="inlineStr">
        <is>
          <t>Marketplace</t>
        </is>
      </c>
      <c r="G622" t="inlineStr">
        <is>
          <t>1. Visita</t>
        </is>
      </c>
      <c r="H622" t="n">
        <v>1</v>
      </c>
      <c r="I622" s="73" t="n">
        <v>191000</v>
      </c>
      <c r="J622" s="73" t="n">
        <v>219650</v>
      </c>
      <c r="K622" s="73" t="n">
        <v>131243</v>
      </c>
    </row>
    <row r="623">
      <c r="A623" t="n">
        <v>10478</v>
      </c>
      <c r="B623" s="72" t="n">
        <v>45515.74444444444</v>
      </c>
      <c r="C623" t="inlineStr">
        <is>
          <t>Antioquia</t>
        </is>
      </c>
      <c r="D623" t="inlineStr">
        <is>
          <t>Medellín</t>
        </is>
      </c>
      <c r="E623" t="inlineStr">
        <is>
          <t>Deportes</t>
        </is>
      </c>
      <c r="F623" t="inlineStr">
        <is>
          <t>App</t>
        </is>
      </c>
      <c r="G623" t="inlineStr">
        <is>
          <t>2. Carrito</t>
        </is>
      </c>
      <c r="H623" t="n">
        <v>2</v>
      </c>
      <c r="I623" s="73" t="n">
        <v>112400</v>
      </c>
      <c r="J623" s="73" t="n">
        <v>258520</v>
      </c>
      <c r="K623" s="73" t="n">
        <v>178211</v>
      </c>
    </row>
    <row r="624">
      <c r="A624" t="n">
        <v>12319</v>
      </c>
      <c r="B624" s="72" t="n">
        <v>45515.77361111111</v>
      </c>
      <c r="C624" t="inlineStr">
        <is>
          <t>Bolívar</t>
        </is>
      </c>
      <c r="D624" t="inlineStr">
        <is>
          <t>Cartagena</t>
        </is>
      </c>
      <c r="E624" t="inlineStr">
        <is>
          <t>Juguetes</t>
        </is>
      </c>
      <c r="F624" t="inlineStr">
        <is>
          <t>Marketplace</t>
        </is>
      </c>
      <c r="G624" t="inlineStr">
        <is>
          <t>1. Visita</t>
        </is>
      </c>
      <c r="H624" t="n">
        <v>2</v>
      </c>
      <c r="I624" s="73" t="n">
        <v>68400</v>
      </c>
      <c r="J624" s="73" t="n">
        <v>157320</v>
      </c>
      <c r="K624" s="73" t="n">
        <v>91513</v>
      </c>
    </row>
    <row r="625">
      <c r="A625" t="n">
        <v>11613</v>
      </c>
      <c r="B625" s="72" t="n">
        <v>45516.66527777778</v>
      </c>
      <c r="C625" t="inlineStr">
        <is>
          <t>Atlántico</t>
        </is>
      </c>
      <c r="D625" t="inlineStr">
        <is>
          <t>Barranquilla</t>
        </is>
      </c>
      <c r="E625" t="inlineStr">
        <is>
          <t>Moda</t>
        </is>
      </c>
      <c r="F625" t="inlineStr">
        <is>
          <t>Marketplace</t>
        </is>
      </c>
      <c r="G625" t="inlineStr">
        <is>
          <t>1. Visita</t>
        </is>
      </c>
      <c r="H625" t="n">
        <v>5</v>
      </c>
      <c r="I625" s="73" t="n">
        <v>119300</v>
      </c>
      <c r="J625" s="73" t="n">
        <v>596500</v>
      </c>
      <c r="K625" s="73" t="n">
        <v>378740</v>
      </c>
    </row>
    <row r="626">
      <c r="A626" t="n">
        <v>10003</v>
      </c>
      <c r="B626" s="72" t="n">
        <v>45516.69444444445</v>
      </c>
      <c r="C626" t="inlineStr">
        <is>
          <t>Bolívar</t>
        </is>
      </c>
      <c r="D626" t="inlineStr">
        <is>
          <t>Cartagena</t>
        </is>
      </c>
      <c r="E626" t="inlineStr">
        <is>
          <t>Juguetes</t>
        </is>
      </c>
      <c r="F626" t="inlineStr">
        <is>
          <t>Web</t>
        </is>
      </c>
      <c r="G626" t="inlineStr">
        <is>
          <t>2. Carrito</t>
        </is>
      </c>
      <c r="H626" t="n">
        <v>3</v>
      </c>
      <c r="I626" s="73" t="n">
        <v>116000</v>
      </c>
      <c r="J626" s="73" t="n">
        <v>348000</v>
      </c>
      <c r="K626" s="73" t="n">
        <v>225060</v>
      </c>
    </row>
    <row r="627">
      <c r="A627" t="n">
        <v>11353</v>
      </c>
      <c r="B627" s="72" t="n">
        <v>45516.69861111111</v>
      </c>
      <c r="C627" t="inlineStr">
        <is>
          <t>Santander</t>
        </is>
      </c>
      <c r="D627" t="inlineStr">
        <is>
          <t>Bucaramanga</t>
        </is>
      </c>
      <c r="E627" t="inlineStr">
        <is>
          <t>Juguetes</t>
        </is>
      </c>
      <c r="F627" t="inlineStr">
        <is>
          <t>App</t>
        </is>
      </c>
      <c r="G627" t="inlineStr">
        <is>
          <t>4. Compra</t>
        </is>
      </c>
      <c r="H627" t="n">
        <v>1</v>
      </c>
      <c r="I627" s="73" t="n">
        <v>83300</v>
      </c>
      <c r="J627" s="73" t="n">
        <v>83300</v>
      </c>
      <c r="K627" s="73" t="n">
        <v>59153</v>
      </c>
    </row>
    <row r="628">
      <c r="A628" t="n">
        <v>11068</v>
      </c>
      <c r="B628" s="72" t="n">
        <v>45516.85902777778</v>
      </c>
      <c r="C628" t="inlineStr">
        <is>
          <t>Bogotá D.C.</t>
        </is>
      </c>
      <c r="D628" t="inlineStr">
        <is>
          <t>Bogotá</t>
        </is>
      </c>
      <c r="E628" t="inlineStr">
        <is>
          <t>Moda</t>
        </is>
      </c>
      <c r="F628" t="inlineStr">
        <is>
          <t>Tienda física</t>
        </is>
      </c>
      <c r="G628" t="inlineStr">
        <is>
          <t>2. Carrito</t>
        </is>
      </c>
      <c r="H628" t="n">
        <v>1</v>
      </c>
      <c r="I628" s="73" t="n">
        <v>135700</v>
      </c>
      <c r="J628" s="73" t="n">
        <v>135700</v>
      </c>
      <c r="K628" s="73" t="n">
        <v>98642</v>
      </c>
    </row>
    <row r="629">
      <c r="A629" t="n">
        <v>11163</v>
      </c>
      <c r="B629" s="72" t="n">
        <v>45516.94930555556</v>
      </c>
      <c r="C629" t="inlineStr">
        <is>
          <t>Antioquia</t>
        </is>
      </c>
      <c r="D629" t="inlineStr">
        <is>
          <t>Medellín</t>
        </is>
      </c>
      <c r="E629" t="inlineStr">
        <is>
          <t>Tecnología</t>
        </is>
      </c>
      <c r="F629" t="inlineStr">
        <is>
          <t>Web</t>
        </is>
      </c>
      <c r="G629" t="inlineStr">
        <is>
          <t>2. Carrito</t>
        </is>
      </c>
      <c r="H629" t="n">
        <v>5</v>
      </c>
      <c r="I629" s="73" t="n">
        <v>694900</v>
      </c>
      <c r="J629" s="73" t="n">
        <v>3474500</v>
      </c>
      <c r="K629" s="73" t="n">
        <v>2582168</v>
      </c>
    </row>
    <row r="630">
      <c r="A630" t="n">
        <v>11565</v>
      </c>
      <c r="B630" s="72" t="n">
        <v>45517.29930555556</v>
      </c>
      <c r="C630" t="inlineStr">
        <is>
          <t>Antioquia</t>
        </is>
      </c>
      <c r="D630" t="inlineStr">
        <is>
          <t>Medellín</t>
        </is>
      </c>
      <c r="E630" t="inlineStr">
        <is>
          <t>Moda</t>
        </is>
      </c>
      <c r="F630" t="inlineStr">
        <is>
          <t>App</t>
        </is>
      </c>
      <c r="G630" t="inlineStr">
        <is>
          <t>1. Visita</t>
        </is>
      </c>
      <c r="H630" t="n">
        <v>2</v>
      </c>
      <c r="I630" s="73" t="n">
        <v>129100</v>
      </c>
      <c r="J630" s="73" t="n">
        <v>258200</v>
      </c>
      <c r="K630" s="73" t="n">
        <v>154810</v>
      </c>
    </row>
    <row r="631">
      <c r="A631" t="n">
        <v>10533</v>
      </c>
      <c r="B631" s="72" t="n">
        <v>45517.38611111111</v>
      </c>
      <c r="C631" t="inlineStr">
        <is>
          <t>Antioquia</t>
        </is>
      </c>
      <c r="D631" t="inlineStr">
        <is>
          <t>Medellín</t>
        </is>
      </c>
      <c r="E631" t="inlineStr">
        <is>
          <t>Moda</t>
        </is>
      </c>
      <c r="F631" t="inlineStr">
        <is>
          <t>Web</t>
        </is>
      </c>
      <c r="G631" t="inlineStr">
        <is>
          <t>3. Pago</t>
        </is>
      </c>
      <c r="H631" t="n">
        <v>2</v>
      </c>
      <c r="I631" s="73" t="n">
        <v>102600</v>
      </c>
      <c r="J631" s="73" t="n">
        <v>205200</v>
      </c>
      <c r="K631" s="73" t="n">
        <v>124595</v>
      </c>
    </row>
    <row r="632">
      <c r="A632" t="n">
        <v>11762</v>
      </c>
      <c r="B632" s="72" t="n">
        <v>45517.54236111111</v>
      </c>
      <c r="C632" t="inlineStr">
        <is>
          <t>Nariño</t>
        </is>
      </c>
      <c r="D632" t="inlineStr">
        <is>
          <t>Pasto</t>
        </is>
      </c>
      <c r="E632" t="inlineStr">
        <is>
          <t>Deportes</t>
        </is>
      </c>
      <c r="F632" t="inlineStr">
        <is>
          <t>Tienda física</t>
        </is>
      </c>
      <c r="G632" t="inlineStr">
        <is>
          <t>2. Carrito</t>
        </is>
      </c>
      <c r="H632" t="n">
        <v>3</v>
      </c>
      <c r="I632" s="73" t="n">
        <v>147400</v>
      </c>
      <c r="J632" s="73" t="n">
        <v>442200</v>
      </c>
      <c r="K632" s="73" t="n">
        <v>308770</v>
      </c>
    </row>
    <row r="633">
      <c r="A633" t="n">
        <v>10625</v>
      </c>
      <c r="B633" s="72" t="n">
        <v>45517.55347222222</v>
      </c>
      <c r="C633" t="inlineStr">
        <is>
          <t>Antioquia</t>
        </is>
      </c>
      <c r="D633" t="inlineStr">
        <is>
          <t>Medellín</t>
        </is>
      </c>
      <c r="E633" t="inlineStr">
        <is>
          <t>Tecnología</t>
        </is>
      </c>
      <c r="F633" t="inlineStr">
        <is>
          <t>Web</t>
        </is>
      </c>
      <c r="G633" t="inlineStr">
        <is>
          <t>4. Compra</t>
        </is>
      </c>
      <c r="H633" t="n">
        <v>2</v>
      </c>
      <c r="I633" s="73" t="n">
        <v>823300</v>
      </c>
      <c r="J633" s="73" t="n">
        <v>1646600</v>
      </c>
      <c r="K633" s="73" t="n">
        <v>930979</v>
      </c>
    </row>
    <row r="634">
      <c r="A634" t="n">
        <v>11236</v>
      </c>
      <c r="B634" s="72" t="n">
        <v>45517.55555555555</v>
      </c>
      <c r="C634" t="inlineStr">
        <is>
          <t>Valle del Cauca</t>
        </is>
      </c>
      <c r="D634" t="inlineStr">
        <is>
          <t>Cali</t>
        </is>
      </c>
      <c r="E634" t="inlineStr">
        <is>
          <t>Belleza</t>
        </is>
      </c>
      <c r="F634" t="inlineStr">
        <is>
          <t>Web</t>
        </is>
      </c>
      <c r="G634" t="inlineStr">
        <is>
          <t>1. Visita</t>
        </is>
      </c>
      <c r="H634" t="n">
        <v>2</v>
      </c>
      <c r="I634" s="73" t="n">
        <v>84600</v>
      </c>
      <c r="J634" s="73" t="n">
        <v>169200</v>
      </c>
      <c r="K634" s="73" t="n">
        <v>122707</v>
      </c>
    </row>
    <row r="635">
      <c r="A635" t="n">
        <v>10558</v>
      </c>
      <c r="B635" s="72" t="n">
        <v>45517.65972222222</v>
      </c>
      <c r="C635" t="inlineStr">
        <is>
          <t>Antioquia</t>
        </is>
      </c>
      <c r="D635" t="inlineStr">
        <is>
          <t>Medellín</t>
        </is>
      </c>
      <c r="E635" t="inlineStr">
        <is>
          <t>Deportes</t>
        </is>
      </c>
      <c r="F635" t="inlineStr">
        <is>
          <t>Web</t>
        </is>
      </c>
      <c r="G635" t="inlineStr">
        <is>
          <t>2. Carrito</t>
        </is>
      </c>
      <c r="H635" t="n">
        <v>5</v>
      </c>
      <c r="I635" s="73" t="n">
        <v>122100</v>
      </c>
      <c r="J635" s="73" t="n">
        <v>610500</v>
      </c>
      <c r="K635" s="73" t="n">
        <v>368672</v>
      </c>
    </row>
    <row r="636">
      <c r="A636" t="n">
        <v>10222</v>
      </c>
      <c r="B636" s="72" t="n">
        <v>45518.37013888889</v>
      </c>
      <c r="C636" t="inlineStr">
        <is>
          <t>Risaralda</t>
        </is>
      </c>
      <c r="D636" t="inlineStr">
        <is>
          <t>Pereira</t>
        </is>
      </c>
      <c r="E636" t="inlineStr">
        <is>
          <t>Deportes</t>
        </is>
      </c>
      <c r="F636" t="inlineStr">
        <is>
          <t>App</t>
        </is>
      </c>
      <c r="G636" t="inlineStr">
        <is>
          <t>1. Visita</t>
        </is>
      </c>
      <c r="H636" t="n">
        <v>3</v>
      </c>
      <c r="I636" s="73" t="n">
        <v>182300</v>
      </c>
      <c r="J636" s="73" t="n">
        <v>546900</v>
      </c>
      <c r="K636" s="73" t="n">
        <v>337514</v>
      </c>
    </row>
    <row r="637">
      <c r="A637" t="n">
        <v>11386</v>
      </c>
      <c r="B637" s="72" t="n">
        <v>45518.43611111111</v>
      </c>
      <c r="C637" t="inlineStr">
        <is>
          <t>Bogotá D.C.</t>
        </is>
      </c>
      <c r="D637" t="inlineStr">
        <is>
          <t>Bogotá</t>
        </is>
      </c>
      <c r="E637" t="inlineStr">
        <is>
          <t>Tecnología</t>
        </is>
      </c>
      <c r="F637" t="inlineStr">
        <is>
          <t>Tienda física</t>
        </is>
      </c>
      <c r="G637" t="inlineStr">
        <is>
          <t>4. Compra</t>
        </is>
      </c>
      <c r="H637" t="n">
        <v>2</v>
      </c>
      <c r="I637" s="73" t="n">
        <v>738400</v>
      </c>
      <c r="J637" s="73" t="n">
        <v>1476800</v>
      </c>
      <c r="K637" s="73" t="n">
        <v>1093591</v>
      </c>
    </row>
    <row r="638">
      <c r="A638" t="n">
        <v>10703</v>
      </c>
      <c r="B638" s="72" t="n">
        <v>45519.40416666667</v>
      </c>
      <c r="C638" t="inlineStr">
        <is>
          <t>Valle del Cauca</t>
        </is>
      </c>
      <c r="D638" t="inlineStr">
        <is>
          <t>Cali</t>
        </is>
      </c>
      <c r="E638" t="inlineStr">
        <is>
          <t>Moda</t>
        </is>
      </c>
      <c r="F638" t="inlineStr">
        <is>
          <t>Marketplace</t>
        </is>
      </c>
      <c r="G638" t="inlineStr">
        <is>
          <t>1. Visita</t>
        </is>
      </c>
      <c r="H638" t="n">
        <v>3</v>
      </c>
      <c r="I638" s="73" t="n">
        <v>120800</v>
      </c>
      <c r="J638" s="73" t="n">
        <v>362400</v>
      </c>
      <c r="K638" s="73" t="n">
        <v>212695</v>
      </c>
    </row>
    <row r="639">
      <c r="A639" t="n">
        <v>11676</v>
      </c>
      <c r="B639" s="72" t="n">
        <v>45519.55625</v>
      </c>
      <c r="C639" t="inlineStr">
        <is>
          <t>Antioquia</t>
        </is>
      </c>
      <c r="D639" t="inlineStr">
        <is>
          <t>Medellín</t>
        </is>
      </c>
      <c r="E639" t="inlineStr">
        <is>
          <t>Deportes</t>
        </is>
      </c>
      <c r="F639" t="inlineStr">
        <is>
          <t>Tienda física</t>
        </is>
      </c>
      <c r="G639" t="inlineStr">
        <is>
          <t>2. Carrito</t>
        </is>
      </c>
      <c r="H639" t="n">
        <v>2</v>
      </c>
      <c r="I639" s="73" t="n">
        <v>159600</v>
      </c>
      <c r="J639" s="73" t="n">
        <v>319200</v>
      </c>
      <c r="K639" s="73" t="n">
        <v>196128</v>
      </c>
    </row>
    <row r="640">
      <c r="A640" t="n">
        <v>10223</v>
      </c>
      <c r="B640" s="72" t="n">
        <v>45519.59444444445</v>
      </c>
      <c r="C640" t="inlineStr">
        <is>
          <t>Valle del Cauca</t>
        </is>
      </c>
      <c r="D640" t="inlineStr">
        <is>
          <t>Cali</t>
        </is>
      </c>
      <c r="E640" t="inlineStr">
        <is>
          <t>Tecnología</t>
        </is>
      </c>
      <c r="F640" t="inlineStr">
        <is>
          <t>App</t>
        </is>
      </c>
      <c r="G640" t="inlineStr">
        <is>
          <t>2. Carrito</t>
        </is>
      </c>
      <c r="H640" t="n">
        <v>5</v>
      </c>
      <c r="I640" s="73" t="n">
        <v>684000</v>
      </c>
      <c r="J640" s="73" t="n">
        <v>3420000</v>
      </c>
      <c r="K640" s="73" t="n">
        <v>2440632</v>
      </c>
    </row>
    <row r="641">
      <c r="A641" t="n">
        <v>11186</v>
      </c>
      <c r="B641" s="72" t="n">
        <v>45519.74236111111</v>
      </c>
      <c r="C641" t="inlineStr">
        <is>
          <t>Antioquia</t>
        </is>
      </c>
      <c r="D641" t="inlineStr">
        <is>
          <t>Medellín</t>
        </is>
      </c>
      <c r="E641" t="inlineStr">
        <is>
          <t>Deportes</t>
        </is>
      </c>
      <c r="F641" t="inlineStr">
        <is>
          <t>Tienda física</t>
        </is>
      </c>
      <c r="G641" t="inlineStr">
        <is>
          <t>1. Visita</t>
        </is>
      </c>
      <c r="H641" t="n">
        <v>4</v>
      </c>
      <c r="I641" s="73" t="n">
        <v>124100</v>
      </c>
      <c r="J641" s="73" t="n">
        <v>496400</v>
      </c>
      <c r="K641" s="73" t="n">
        <v>322917</v>
      </c>
    </row>
    <row r="642">
      <c r="A642" t="n">
        <v>11695</v>
      </c>
      <c r="B642" s="72" t="n">
        <v>45519.8375</v>
      </c>
      <c r="C642" t="inlineStr">
        <is>
          <t>Bolívar</t>
        </is>
      </c>
      <c r="D642" t="inlineStr">
        <is>
          <t>Cartagena</t>
        </is>
      </c>
      <c r="E642" t="inlineStr">
        <is>
          <t>Deportes</t>
        </is>
      </c>
      <c r="F642" t="inlineStr">
        <is>
          <t>Tienda física</t>
        </is>
      </c>
      <c r="G642" t="inlineStr">
        <is>
          <t>1. Visita</t>
        </is>
      </c>
      <c r="H642" t="n">
        <v>5</v>
      </c>
      <c r="I642" s="73" t="n">
        <v>190300</v>
      </c>
      <c r="J642" s="73" t="n">
        <v>951500</v>
      </c>
      <c r="K642" s="73" t="n">
        <v>535090</v>
      </c>
    </row>
    <row r="643">
      <c r="A643" t="n">
        <v>11058</v>
      </c>
      <c r="B643" s="72" t="n">
        <v>45519.87708333333</v>
      </c>
      <c r="C643" t="inlineStr">
        <is>
          <t>Bogotá D.C.</t>
        </is>
      </c>
      <c r="D643" t="inlineStr">
        <is>
          <t>Bogotá</t>
        </is>
      </c>
      <c r="E643" t="inlineStr">
        <is>
          <t>Tecnología</t>
        </is>
      </c>
      <c r="F643" t="inlineStr">
        <is>
          <t>Web</t>
        </is>
      </c>
      <c r="G643" t="inlineStr">
        <is>
          <t>1. Visita</t>
        </is>
      </c>
      <c r="H643" t="n">
        <v>2</v>
      </c>
      <c r="I643" s="73" t="n">
        <v>689500</v>
      </c>
      <c r="J643" s="73" t="n">
        <v>1379000</v>
      </c>
      <c r="K643" s="73" t="n">
        <v>1019861</v>
      </c>
    </row>
    <row r="644">
      <c r="A644" t="n">
        <v>11715</v>
      </c>
      <c r="B644" s="72" t="n">
        <v>45519.90416666667</v>
      </c>
      <c r="C644" t="inlineStr">
        <is>
          <t>Bogotá D.C.</t>
        </is>
      </c>
      <c r="D644" t="inlineStr">
        <is>
          <t>Bogotá</t>
        </is>
      </c>
      <c r="E644" t="inlineStr">
        <is>
          <t>Belleza</t>
        </is>
      </c>
      <c r="F644" t="inlineStr">
        <is>
          <t>App</t>
        </is>
      </c>
      <c r="G644" t="inlineStr">
        <is>
          <t>1. Visita</t>
        </is>
      </c>
      <c r="H644" t="n">
        <v>2</v>
      </c>
      <c r="I644" s="73" t="n">
        <v>85800</v>
      </c>
      <c r="J644" s="73" t="n">
        <v>171600</v>
      </c>
      <c r="K644" s="73" t="n">
        <v>120110</v>
      </c>
    </row>
    <row r="645">
      <c r="A645" t="n">
        <v>12024</v>
      </c>
      <c r="B645" s="72" t="n">
        <v>45519.92569444444</v>
      </c>
      <c r="C645" t="inlineStr">
        <is>
          <t>Bogotá D.C.</t>
        </is>
      </c>
      <c r="D645" t="inlineStr">
        <is>
          <t>Bogotá</t>
        </is>
      </c>
      <c r="E645" t="inlineStr">
        <is>
          <t>Belleza</t>
        </is>
      </c>
      <c r="F645" t="inlineStr">
        <is>
          <t>Marketplace</t>
        </is>
      </c>
      <c r="G645" t="inlineStr">
        <is>
          <t>1. Visita</t>
        </is>
      </c>
      <c r="H645" t="n">
        <v>2</v>
      </c>
      <c r="I645" s="73" t="n">
        <v>80500</v>
      </c>
      <c r="J645" s="73" t="n">
        <v>161000</v>
      </c>
      <c r="K645" s="73" t="n">
        <v>92204</v>
      </c>
    </row>
    <row r="646">
      <c r="A646" t="n">
        <v>12255</v>
      </c>
      <c r="B646" s="72" t="n">
        <v>45520.75</v>
      </c>
      <c r="C646" t="inlineStr">
        <is>
          <t>Bogotá D.C.</t>
        </is>
      </c>
      <c r="D646" t="inlineStr">
        <is>
          <t>Bogotá</t>
        </is>
      </c>
      <c r="E646" t="inlineStr">
        <is>
          <t>Juguetes</t>
        </is>
      </c>
      <c r="F646" t="inlineStr">
        <is>
          <t>Web</t>
        </is>
      </c>
      <c r="G646" t="inlineStr">
        <is>
          <t>1. Visita</t>
        </is>
      </c>
      <c r="H646" t="n">
        <v>3</v>
      </c>
      <c r="I646" s="73" t="n">
        <v>99500</v>
      </c>
      <c r="J646" s="73" t="n">
        <v>343275</v>
      </c>
      <c r="K646" s="73" t="n">
        <v>236757</v>
      </c>
    </row>
    <row r="647">
      <c r="A647" t="n">
        <v>11761</v>
      </c>
      <c r="B647" s="72" t="n">
        <v>45521.44097222222</v>
      </c>
      <c r="C647" t="inlineStr">
        <is>
          <t>Nariño</t>
        </is>
      </c>
      <c r="D647" t="inlineStr">
        <is>
          <t>Pasto</t>
        </is>
      </c>
      <c r="E647" t="inlineStr">
        <is>
          <t>Tecnología</t>
        </is>
      </c>
      <c r="F647" t="inlineStr">
        <is>
          <t>App</t>
        </is>
      </c>
      <c r="G647" t="inlineStr">
        <is>
          <t>1. Visita</t>
        </is>
      </c>
      <c r="H647" t="n">
        <v>2</v>
      </c>
      <c r="I647" s="73" t="n">
        <v>937800</v>
      </c>
      <c r="J647" s="73" t="n">
        <v>2156940</v>
      </c>
      <c r="K647" s="73" t="n">
        <v>1270823</v>
      </c>
    </row>
    <row r="648">
      <c r="A648" t="n">
        <v>10840</v>
      </c>
      <c r="B648" s="72" t="n">
        <v>45521.55138888889</v>
      </c>
      <c r="C648" t="inlineStr">
        <is>
          <t>Bogotá D.C.</t>
        </is>
      </c>
      <c r="D648" t="inlineStr">
        <is>
          <t>Bogotá</t>
        </is>
      </c>
      <c r="E648" t="inlineStr">
        <is>
          <t>Belleza</t>
        </is>
      </c>
      <c r="F648" t="inlineStr">
        <is>
          <t>Web</t>
        </is>
      </c>
      <c r="G648" t="inlineStr">
        <is>
          <t>1. Visita</t>
        </is>
      </c>
      <c r="H648" t="n">
        <v>3</v>
      </c>
      <c r="I648" s="73" t="n">
        <v>50900</v>
      </c>
      <c r="J648" s="73" t="n">
        <v>175605</v>
      </c>
      <c r="K648" s="73" t="n">
        <v>101401</v>
      </c>
    </row>
    <row r="649">
      <c r="A649" t="n">
        <v>11576</v>
      </c>
      <c r="B649" s="72" t="n">
        <v>45521.64444444444</v>
      </c>
      <c r="C649" t="inlineStr">
        <is>
          <t>Atlántico</t>
        </is>
      </c>
      <c r="D649" t="inlineStr">
        <is>
          <t>Barranquilla</t>
        </is>
      </c>
      <c r="E649" t="inlineStr">
        <is>
          <t>Belleza</t>
        </is>
      </c>
      <c r="F649" t="inlineStr">
        <is>
          <t>Marketplace</t>
        </is>
      </c>
      <c r="G649" t="inlineStr">
        <is>
          <t>1. Visita</t>
        </is>
      </c>
      <c r="H649" t="n">
        <v>5</v>
      </c>
      <c r="I649" s="73" t="n">
        <v>67700</v>
      </c>
      <c r="J649" s="73" t="n">
        <v>389275</v>
      </c>
      <c r="K649" s="73" t="n">
        <v>267559</v>
      </c>
    </row>
    <row r="650">
      <c r="A650" t="n">
        <v>11043</v>
      </c>
      <c r="B650" s="72" t="n">
        <v>45521.70277777778</v>
      </c>
      <c r="C650" t="inlineStr">
        <is>
          <t>Valle del Cauca</t>
        </is>
      </c>
      <c r="D650" t="inlineStr">
        <is>
          <t>Cali</t>
        </is>
      </c>
      <c r="E650" t="inlineStr">
        <is>
          <t>Hogar</t>
        </is>
      </c>
      <c r="F650" t="inlineStr">
        <is>
          <t>Web</t>
        </is>
      </c>
      <c r="G650" t="inlineStr">
        <is>
          <t>2. Carrito</t>
        </is>
      </c>
      <c r="H650" t="n">
        <v>5</v>
      </c>
      <c r="I650" s="73" t="n">
        <v>245000</v>
      </c>
      <c r="J650" s="73" t="n">
        <v>1408750</v>
      </c>
      <c r="K650" s="73" t="n">
        <v>1038324</v>
      </c>
    </row>
    <row r="651">
      <c r="A651" t="n">
        <v>12016</v>
      </c>
      <c r="B651" s="72" t="n">
        <v>45521.70347222222</v>
      </c>
      <c r="C651" t="inlineStr">
        <is>
          <t>Antioquia</t>
        </is>
      </c>
      <c r="D651" t="inlineStr">
        <is>
          <t>Medellín</t>
        </is>
      </c>
      <c r="E651" t="inlineStr">
        <is>
          <t>Deportes</t>
        </is>
      </c>
      <c r="F651" t="inlineStr">
        <is>
          <t>Web</t>
        </is>
      </c>
      <c r="G651" t="inlineStr">
        <is>
          <t>2. Carrito</t>
        </is>
      </c>
      <c r="H651" t="n">
        <v>1</v>
      </c>
      <c r="I651" s="73" t="n">
        <v>151400</v>
      </c>
      <c r="J651" s="73" t="n">
        <v>174110</v>
      </c>
      <c r="K651" s="73" t="n">
        <v>110754</v>
      </c>
    </row>
    <row r="652">
      <c r="A652" t="n">
        <v>10025</v>
      </c>
      <c r="B652" s="72" t="n">
        <v>45521.85625</v>
      </c>
      <c r="C652" t="inlineStr">
        <is>
          <t>Santander</t>
        </is>
      </c>
      <c r="D652" t="inlineStr">
        <is>
          <t>Bucaramanga</t>
        </is>
      </c>
      <c r="E652" t="inlineStr">
        <is>
          <t>Deportes</t>
        </is>
      </c>
      <c r="F652" t="inlineStr">
        <is>
          <t>Tienda física</t>
        </is>
      </c>
      <c r="G652" t="inlineStr">
        <is>
          <t>1. Visita</t>
        </is>
      </c>
      <c r="H652" t="n">
        <v>5</v>
      </c>
      <c r="I652" s="73" t="n">
        <v>159600</v>
      </c>
      <c r="J652" s="73" t="n">
        <v>917700</v>
      </c>
      <c r="K652" s="73" t="n">
        <v>665461</v>
      </c>
    </row>
    <row r="653">
      <c r="A653" t="n">
        <v>10036</v>
      </c>
      <c r="B653" s="72" t="n">
        <v>45521.88125</v>
      </c>
      <c r="C653" t="inlineStr">
        <is>
          <t>Valle del Cauca</t>
        </is>
      </c>
      <c r="D653" t="inlineStr">
        <is>
          <t>Cali</t>
        </is>
      </c>
      <c r="E653" t="inlineStr">
        <is>
          <t>Deportes</t>
        </is>
      </c>
      <c r="F653" t="inlineStr">
        <is>
          <t>App</t>
        </is>
      </c>
      <c r="G653" t="inlineStr">
        <is>
          <t>1. Visita</t>
        </is>
      </c>
      <c r="H653" t="n">
        <v>2</v>
      </c>
      <c r="I653" s="73" t="n">
        <v>128200</v>
      </c>
      <c r="J653" s="73" t="n">
        <v>294860</v>
      </c>
      <c r="K653" s="73" t="n">
        <v>169673</v>
      </c>
    </row>
    <row r="654">
      <c r="A654" t="n">
        <v>10455</v>
      </c>
      <c r="B654" s="72" t="n">
        <v>45522.41805555556</v>
      </c>
      <c r="C654" t="inlineStr">
        <is>
          <t>Antioquia</t>
        </is>
      </c>
      <c r="D654" t="inlineStr">
        <is>
          <t>Medellín</t>
        </is>
      </c>
      <c r="E654" t="inlineStr">
        <is>
          <t>Tecnología</t>
        </is>
      </c>
      <c r="F654" t="inlineStr">
        <is>
          <t>Tienda física</t>
        </is>
      </c>
      <c r="G654" t="inlineStr">
        <is>
          <t>1. Visita</t>
        </is>
      </c>
      <c r="H654" t="n">
        <v>3</v>
      </c>
      <c r="I654" s="73" t="n">
        <v>929500</v>
      </c>
      <c r="J654" s="73" t="n">
        <v>3206775</v>
      </c>
      <c r="K654" s="73" t="n">
        <v>2082827</v>
      </c>
    </row>
    <row r="655">
      <c r="A655" t="n">
        <v>10795</v>
      </c>
      <c r="B655" s="72" t="n">
        <v>45522.65555555555</v>
      </c>
      <c r="C655" t="inlineStr">
        <is>
          <t>Antioquia</t>
        </is>
      </c>
      <c r="D655" t="inlineStr">
        <is>
          <t>Medellín</t>
        </is>
      </c>
      <c r="E655" t="inlineStr">
        <is>
          <t>Deportes</t>
        </is>
      </c>
      <c r="F655" t="inlineStr">
        <is>
          <t>Web</t>
        </is>
      </c>
      <c r="G655" t="inlineStr">
        <is>
          <t>1. Visita</t>
        </is>
      </c>
      <c r="H655" t="n">
        <v>5</v>
      </c>
      <c r="I655" s="73" t="n">
        <v>171600</v>
      </c>
      <c r="J655" s="73" t="n">
        <v>986700</v>
      </c>
      <c r="K655" s="73" t="n">
        <v>693325</v>
      </c>
    </row>
    <row r="656">
      <c r="A656" t="n">
        <v>10547</v>
      </c>
      <c r="B656" s="72" t="n">
        <v>45522.72361111111</v>
      </c>
      <c r="C656" t="inlineStr">
        <is>
          <t>Atlántico</t>
        </is>
      </c>
      <c r="D656" t="inlineStr">
        <is>
          <t>Barranquilla</t>
        </is>
      </c>
      <c r="E656" t="inlineStr">
        <is>
          <t>Hogar</t>
        </is>
      </c>
      <c r="F656" t="inlineStr">
        <is>
          <t>Tienda física</t>
        </is>
      </c>
      <c r="G656" t="inlineStr">
        <is>
          <t>2. Carrito</t>
        </is>
      </c>
      <c r="H656" t="n">
        <v>4</v>
      </c>
      <c r="I656" s="73" t="n">
        <v>241300</v>
      </c>
      <c r="J656" s="73" t="n">
        <v>1109980</v>
      </c>
      <c r="K656" s="73" t="n">
        <v>613838</v>
      </c>
    </row>
    <row r="657">
      <c r="A657" t="n">
        <v>11763</v>
      </c>
      <c r="B657" s="72" t="n">
        <v>45522.85833333333</v>
      </c>
      <c r="C657" t="inlineStr">
        <is>
          <t>Bogotá D.C.</t>
        </is>
      </c>
      <c r="D657" t="inlineStr">
        <is>
          <t>Bogotá</t>
        </is>
      </c>
      <c r="E657" t="inlineStr">
        <is>
          <t>Tecnología</t>
        </is>
      </c>
      <c r="F657" t="inlineStr">
        <is>
          <t>Marketplace</t>
        </is>
      </c>
      <c r="G657" t="inlineStr">
        <is>
          <t>2. Carrito</t>
        </is>
      </c>
      <c r="H657" t="n">
        <v>2</v>
      </c>
      <c r="I657" s="73" t="n">
        <v>823800</v>
      </c>
      <c r="J657" s="73" t="n">
        <v>1894740</v>
      </c>
      <c r="K657" s="73" t="n">
        <v>1283714</v>
      </c>
    </row>
    <row r="658">
      <c r="A658" t="n">
        <v>11064</v>
      </c>
      <c r="B658" s="72" t="n">
        <v>45522.86180555556</v>
      </c>
      <c r="C658" t="inlineStr">
        <is>
          <t>Bogotá D.C.</t>
        </is>
      </c>
      <c r="D658" t="inlineStr">
        <is>
          <t>Bogotá</t>
        </is>
      </c>
      <c r="E658" t="inlineStr">
        <is>
          <t>Moda</t>
        </is>
      </c>
      <c r="F658" t="inlineStr">
        <is>
          <t>App</t>
        </is>
      </c>
      <c r="G658" t="inlineStr">
        <is>
          <t>1. Visita</t>
        </is>
      </c>
      <c r="H658" t="n">
        <v>5</v>
      </c>
      <c r="I658" s="73" t="n">
        <v>100900</v>
      </c>
      <c r="J658" s="73" t="n">
        <v>580175</v>
      </c>
      <c r="K658" s="73" t="n">
        <v>369710</v>
      </c>
    </row>
    <row r="659">
      <c r="A659" t="n">
        <v>11789</v>
      </c>
      <c r="B659" s="72" t="n">
        <v>45523.36319444444</v>
      </c>
      <c r="C659" t="inlineStr">
        <is>
          <t>Huila</t>
        </is>
      </c>
      <c r="D659" t="inlineStr">
        <is>
          <t>Neiva</t>
        </is>
      </c>
      <c r="E659" t="inlineStr">
        <is>
          <t>Juguetes</t>
        </is>
      </c>
      <c r="F659" t="inlineStr">
        <is>
          <t>App</t>
        </is>
      </c>
      <c r="G659" t="inlineStr">
        <is>
          <t>3. Pago</t>
        </is>
      </c>
      <c r="H659" t="n">
        <v>2</v>
      </c>
      <c r="I659" s="73" t="n">
        <v>82400</v>
      </c>
      <c r="J659" s="73" t="n">
        <v>164800</v>
      </c>
      <c r="K659" s="73" t="n">
        <v>98735</v>
      </c>
    </row>
    <row r="660">
      <c r="A660" t="n">
        <v>10545</v>
      </c>
      <c r="B660" s="72" t="n">
        <v>45523.50347222222</v>
      </c>
      <c r="C660" t="inlineStr">
        <is>
          <t>Valle del Cauca</t>
        </is>
      </c>
      <c r="D660" t="inlineStr">
        <is>
          <t>Cali</t>
        </is>
      </c>
      <c r="E660" t="inlineStr">
        <is>
          <t>Hogar</t>
        </is>
      </c>
      <c r="F660" t="inlineStr">
        <is>
          <t>Tienda física</t>
        </is>
      </c>
      <c r="G660" t="inlineStr">
        <is>
          <t>1. Visita</t>
        </is>
      </c>
      <c r="H660" t="n">
        <v>2</v>
      </c>
      <c r="I660" s="73" t="n">
        <v>203000</v>
      </c>
      <c r="J660" s="73" t="n">
        <v>406000</v>
      </c>
      <c r="K660" s="73" t="n">
        <v>276537</v>
      </c>
    </row>
    <row r="661">
      <c r="A661" t="n">
        <v>10473</v>
      </c>
      <c r="B661" s="72" t="n">
        <v>45523.74236111111</v>
      </c>
      <c r="C661" t="inlineStr">
        <is>
          <t>Bogotá D.C.</t>
        </is>
      </c>
      <c r="D661" t="inlineStr">
        <is>
          <t>Bogotá</t>
        </is>
      </c>
      <c r="E661" t="inlineStr">
        <is>
          <t>Hogar</t>
        </is>
      </c>
      <c r="F661" t="inlineStr">
        <is>
          <t>Tienda física</t>
        </is>
      </c>
      <c r="G661" t="inlineStr">
        <is>
          <t>1. Visita</t>
        </is>
      </c>
      <c r="H661" t="n">
        <v>4</v>
      </c>
      <c r="I661" s="73" t="n">
        <v>162100</v>
      </c>
      <c r="J661" s="73" t="n">
        <v>648400</v>
      </c>
      <c r="K661" s="73" t="n">
        <v>396273</v>
      </c>
    </row>
    <row r="662">
      <c r="A662" t="n">
        <v>11195</v>
      </c>
      <c r="B662" s="72" t="n">
        <v>45523.75208333333</v>
      </c>
      <c r="C662" t="inlineStr">
        <is>
          <t>Bogotá D.C.</t>
        </is>
      </c>
      <c r="D662" t="inlineStr">
        <is>
          <t>Bogotá</t>
        </is>
      </c>
      <c r="E662" t="inlineStr">
        <is>
          <t>Deportes</t>
        </is>
      </c>
      <c r="F662" t="inlineStr">
        <is>
          <t>Web</t>
        </is>
      </c>
      <c r="G662" t="inlineStr">
        <is>
          <t>1. Visita</t>
        </is>
      </c>
      <c r="H662" t="n">
        <v>2</v>
      </c>
      <c r="I662" s="73" t="n">
        <v>197800</v>
      </c>
      <c r="J662" s="73" t="n">
        <v>395600</v>
      </c>
      <c r="K662" s="73" t="n">
        <v>258077</v>
      </c>
    </row>
    <row r="663">
      <c r="A663" t="n">
        <v>12303</v>
      </c>
      <c r="B663" s="72" t="n">
        <v>45524.48888888889</v>
      </c>
      <c r="C663" t="inlineStr">
        <is>
          <t>Antioquia</t>
        </is>
      </c>
      <c r="D663" t="inlineStr">
        <is>
          <t>Medellín</t>
        </is>
      </c>
      <c r="E663" t="inlineStr">
        <is>
          <t>Hogar</t>
        </is>
      </c>
      <c r="F663" t="inlineStr">
        <is>
          <t>App</t>
        </is>
      </c>
      <c r="G663" t="inlineStr">
        <is>
          <t>1. Visita</t>
        </is>
      </c>
      <c r="H663" t="n">
        <v>4</v>
      </c>
      <c r="I663" s="73" t="n">
        <v>230000</v>
      </c>
      <c r="J663" s="73" t="n">
        <v>920000</v>
      </c>
      <c r="K663" s="73" t="n">
        <v>596938</v>
      </c>
    </row>
    <row r="664">
      <c r="A664" t="n">
        <v>10192</v>
      </c>
      <c r="B664" s="72" t="n">
        <v>45524.56666666667</v>
      </c>
      <c r="C664" t="inlineStr">
        <is>
          <t>Bolívar</t>
        </is>
      </c>
      <c r="D664" t="inlineStr">
        <is>
          <t>Cartagena</t>
        </is>
      </c>
      <c r="E664" t="inlineStr">
        <is>
          <t>Belleza</t>
        </is>
      </c>
      <c r="F664" t="inlineStr">
        <is>
          <t>Tienda física</t>
        </is>
      </c>
      <c r="G664" t="inlineStr">
        <is>
          <t>2. Carrito</t>
        </is>
      </c>
      <c r="H664" t="n">
        <v>4</v>
      </c>
      <c r="I664" s="73" t="n">
        <v>76800</v>
      </c>
      <c r="J664" s="73" t="n">
        <v>307200</v>
      </c>
      <c r="K664" s="73" t="n">
        <v>204044</v>
      </c>
    </row>
    <row r="665">
      <c r="A665" t="n">
        <v>10954</v>
      </c>
      <c r="B665" s="72" t="n">
        <v>45524.65069444444</v>
      </c>
      <c r="C665" t="inlineStr">
        <is>
          <t>Bogotá D.C.</t>
        </is>
      </c>
      <c r="D665" t="inlineStr">
        <is>
          <t>Bogotá</t>
        </is>
      </c>
      <c r="E665" t="inlineStr">
        <is>
          <t>Tecnología</t>
        </is>
      </c>
      <c r="F665" t="inlineStr">
        <is>
          <t>Tienda física</t>
        </is>
      </c>
      <c r="G665" t="inlineStr">
        <is>
          <t>1. Visita</t>
        </is>
      </c>
      <c r="H665" t="n">
        <v>3</v>
      </c>
      <c r="I665" s="73" t="n">
        <v>1104900</v>
      </c>
      <c r="J665" s="73" t="n">
        <v>3314700</v>
      </c>
      <c r="K665" s="73" t="n">
        <v>2138569</v>
      </c>
    </row>
    <row r="666">
      <c r="A666" t="n">
        <v>11122</v>
      </c>
      <c r="B666" s="72" t="n">
        <v>45524.95208333333</v>
      </c>
      <c r="C666" t="inlineStr">
        <is>
          <t>Meta</t>
        </is>
      </c>
      <c r="D666" t="inlineStr">
        <is>
          <t>Villavicencio</t>
        </is>
      </c>
      <c r="E666" t="inlineStr">
        <is>
          <t>Hogar</t>
        </is>
      </c>
      <c r="F666" t="inlineStr">
        <is>
          <t>Marketplace</t>
        </is>
      </c>
      <c r="G666" t="inlineStr">
        <is>
          <t>2. Carrito</t>
        </is>
      </c>
      <c r="H666" t="n">
        <v>2</v>
      </c>
      <c r="I666" s="73" t="n">
        <v>213400</v>
      </c>
      <c r="J666" s="73" t="n">
        <v>426800</v>
      </c>
      <c r="K666" s="73" t="n">
        <v>253952</v>
      </c>
    </row>
    <row r="667">
      <c r="A667" t="n">
        <v>10410</v>
      </c>
      <c r="B667" s="72" t="n">
        <v>45525.30416666667</v>
      </c>
      <c r="C667" t="inlineStr">
        <is>
          <t>Meta</t>
        </is>
      </c>
      <c r="D667" t="inlineStr">
        <is>
          <t>Villavicencio</t>
        </is>
      </c>
      <c r="E667" t="inlineStr">
        <is>
          <t>Deportes</t>
        </is>
      </c>
      <c r="F667" t="inlineStr">
        <is>
          <t>App</t>
        </is>
      </c>
      <c r="G667" t="inlineStr">
        <is>
          <t>1. Visita</t>
        </is>
      </c>
      <c r="H667" t="n">
        <v>1</v>
      </c>
      <c r="I667" s="73" t="n">
        <v>189800</v>
      </c>
      <c r="J667" s="73" t="n">
        <v>189800</v>
      </c>
      <c r="K667" s="73" t="n">
        <v>119960</v>
      </c>
    </row>
    <row r="668">
      <c r="A668" t="n">
        <v>11044</v>
      </c>
      <c r="B668" s="72" t="n">
        <v>45525.38680555556</v>
      </c>
      <c r="C668" t="inlineStr">
        <is>
          <t>Nariño</t>
        </is>
      </c>
      <c r="D668" t="inlineStr">
        <is>
          <t>Pasto</t>
        </is>
      </c>
      <c r="E668" t="inlineStr">
        <is>
          <t>Tecnología</t>
        </is>
      </c>
      <c r="F668" t="inlineStr">
        <is>
          <t>App</t>
        </is>
      </c>
      <c r="G668" t="inlineStr">
        <is>
          <t>1. Visita</t>
        </is>
      </c>
      <c r="H668" t="n">
        <v>4</v>
      </c>
      <c r="I668" s="73" t="n">
        <v>994400</v>
      </c>
      <c r="J668" s="73" t="n">
        <v>3977600</v>
      </c>
      <c r="K668" s="73" t="n">
        <v>2908717</v>
      </c>
    </row>
    <row r="669">
      <c r="A669" t="n">
        <v>10260</v>
      </c>
      <c r="B669" s="72" t="n">
        <v>45525.39097222222</v>
      </c>
      <c r="C669" t="inlineStr">
        <is>
          <t>Santander</t>
        </is>
      </c>
      <c r="D669" t="inlineStr">
        <is>
          <t>Bucaramanga</t>
        </is>
      </c>
      <c r="E669" t="inlineStr">
        <is>
          <t>Tecnología</t>
        </is>
      </c>
      <c r="F669" t="inlineStr">
        <is>
          <t>Web</t>
        </is>
      </c>
      <c r="G669" t="inlineStr">
        <is>
          <t>2. Carrito</t>
        </is>
      </c>
      <c r="H669" t="n">
        <v>3</v>
      </c>
      <c r="I669" s="73" t="n">
        <v>1099400</v>
      </c>
      <c r="J669" s="73" t="n">
        <v>3298200</v>
      </c>
      <c r="K669" s="73" t="n">
        <v>2094851</v>
      </c>
    </row>
    <row r="670">
      <c r="A670" t="n">
        <v>10880</v>
      </c>
      <c r="B670" s="72" t="n">
        <v>45525.54583333333</v>
      </c>
      <c r="C670" t="inlineStr">
        <is>
          <t>Santander</t>
        </is>
      </c>
      <c r="D670" t="inlineStr">
        <is>
          <t>Bucaramanga</t>
        </is>
      </c>
      <c r="E670" t="inlineStr">
        <is>
          <t>Juguetes</t>
        </is>
      </c>
      <c r="F670" t="inlineStr">
        <is>
          <t>App</t>
        </is>
      </c>
      <c r="G670" t="inlineStr">
        <is>
          <t>2. Carrito</t>
        </is>
      </c>
      <c r="H670" t="n">
        <v>3</v>
      </c>
      <c r="I670" s="73" t="n">
        <v>92900</v>
      </c>
      <c r="J670" s="73" t="n">
        <v>278700</v>
      </c>
      <c r="K670" s="73" t="n">
        <v>161339</v>
      </c>
    </row>
    <row r="671">
      <c r="A671" t="n">
        <v>11975</v>
      </c>
      <c r="B671" s="72" t="n">
        <v>45525.78333333333</v>
      </c>
      <c r="C671" t="inlineStr">
        <is>
          <t>Bogotá D.C.</t>
        </is>
      </c>
      <c r="D671" t="inlineStr">
        <is>
          <t>Bogotá</t>
        </is>
      </c>
      <c r="E671" t="inlineStr">
        <is>
          <t>Deportes</t>
        </is>
      </c>
      <c r="F671" t="inlineStr">
        <is>
          <t>Web</t>
        </is>
      </c>
      <c r="G671" t="inlineStr">
        <is>
          <t>2. Carrito</t>
        </is>
      </c>
      <c r="H671" t="n">
        <v>5</v>
      </c>
      <c r="I671" s="73" t="n">
        <v>198600</v>
      </c>
      <c r="J671" s="73" t="n">
        <v>993000</v>
      </c>
      <c r="K671" s="73" t="n">
        <v>564678</v>
      </c>
    </row>
    <row r="672">
      <c r="A672" t="n">
        <v>11503</v>
      </c>
      <c r="B672" s="72" t="n">
        <v>45526.39652777778</v>
      </c>
      <c r="C672" t="inlineStr">
        <is>
          <t>Valle del Cauca</t>
        </is>
      </c>
      <c r="D672" t="inlineStr">
        <is>
          <t>Cali</t>
        </is>
      </c>
      <c r="E672" t="inlineStr">
        <is>
          <t>Tecnología</t>
        </is>
      </c>
      <c r="F672" t="inlineStr">
        <is>
          <t>Tienda física</t>
        </is>
      </c>
      <c r="G672" t="inlineStr">
        <is>
          <t>1. Visita</t>
        </is>
      </c>
      <c r="H672" t="n">
        <v>1</v>
      </c>
      <c r="I672" s="73" t="n">
        <v>786200</v>
      </c>
      <c r="J672" s="73" t="n">
        <v>786200</v>
      </c>
      <c r="K672" s="73" t="n">
        <v>432447</v>
      </c>
    </row>
    <row r="673">
      <c r="A673" t="n">
        <v>10240</v>
      </c>
      <c r="B673" s="72" t="n">
        <v>45526.55069444444</v>
      </c>
      <c r="C673" t="inlineStr">
        <is>
          <t>Atlántico</t>
        </is>
      </c>
      <c r="D673" t="inlineStr">
        <is>
          <t>Barranquilla</t>
        </is>
      </c>
      <c r="E673" t="inlineStr">
        <is>
          <t>Juguetes</t>
        </is>
      </c>
      <c r="F673" t="inlineStr">
        <is>
          <t>Web</t>
        </is>
      </c>
      <c r="G673" t="inlineStr">
        <is>
          <t>1. Visita</t>
        </is>
      </c>
      <c r="H673" t="n">
        <v>1</v>
      </c>
      <c r="I673" s="73" t="n">
        <v>97300</v>
      </c>
      <c r="J673" s="73" t="n">
        <v>97300</v>
      </c>
      <c r="K673" s="73" t="n">
        <v>66549</v>
      </c>
    </row>
    <row r="674">
      <c r="A674" t="n">
        <v>11748</v>
      </c>
      <c r="B674" s="72" t="n">
        <v>45526.71319444444</v>
      </c>
      <c r="C674" t="inlineStr">
        <is>
          <t>Valle del Cauca</t>
        </is>
      </c>
      <c r="D674" t="inlineStr">
        <is>
          <t>Cali</t>
        </is>
      </c>
      <c r="E674" t="inlineStr">
        <is>
          <t>Moda</t>
        </is>
      </c>
      <c r="F674" t="inlineStr">
        <is>
          <t>Web</t>
        </is>
      </c>
      <c r="G674" t="inlineStr">
        <is>
          <t>1. Visita</t>
        </is>
      </c>
      <c r="H674" t="n">
        <v>4</v>
      </c>
      <c r="I674" s="73" t="n">
        <v>149000</v>
      </c>
      <c r="J674" s="73" t="n">
        <v>596000</v>
      </c>
      <c r="K674" s="73" t="n">
        <v>416584</v>
      </c>
    </row>
    <row r="675">
      <c r="A675" t="n">
        <v>10289</v>
      </c>
      <c r="B675" s="72" t="n">
        <v>45526.78055555555</v>
      </c>
      <c r="C675" t="inlineStr">
        <is>
          <t>Bolívar</t>
        </is>
      </c>
      <c r="D675" t="inlineStr">
        <is>
          <t>Cartagena</t>
        </is>
      </c>
      <c r="E675" t="inlineStr">
        <is>
          <t>Tecnología</t>
        </is>
      </c>
      <c r="F675" t="inlineStr">
        <is>
          <t>Web</t>
        </is>
      </c>
      <c r="G675" t="inlineStr">
        <is>
          <t>2. Carrito</t>
        </is>
      </c>
      <c r="H675" t="n">
        <v>5</v>
      </c>
      <c r="I675" s="73" t="n">
        <v>667200</v>
      </c>
      <c r="J675" s="73" t="n">
        <v>3336000</v>
      </c>
      <c r="K675" s="73" t="n">
        <v>1906617</v>
      </c>
    </row>
    <row r="676">
      <c r="A676" t="n">
        <v>12342</v>
      </c>
      <c r="B676" s="72" t="n">
        <v>45526.79791666667</v>
      </c>
      <c r="C676" t="inlineStr">
        <is>
          <t>Valle del Cauca</t>
        </is>
      </c>
      <c r="D676" t="inlineStr">
        <is>
          <t>Cali</t>
        </is>
      </c>
      <c r="E676" t="inlineStr">
        <is>
          <t>Hogar</t>
        </is>
      </c>
      <c r="F676" t="inlineStr">
        <is>
          <t>Tienda física</t>
        </is>
      </c>
      <c r="G676" t="inlineStr">
        <is>
          <t>2. Carrito</t>
        </is>
      </c>
      <c r="H676" t="n">
        <v>4</v>
      </c>
      <c r="I676" s="73" t="n">
        <v>162600</v>
      </c>
      <c r="J676" s="73" t="n">
        <v>650400</v>
      </c>
      <c r="K676" s="73" t="n">
        <v>440018</v>
      </c>
    </row>
    <row r="677">
      <c r="A677" t="n">
        <v>11673</v>
      </c>
      <c r="B677" s="72" t="n">
        <v>45528.35069444445</v>
      </c>
      <c r="C677" t="inlineStr">
        <is>
          <t>Bolívar</t>
        </is>
      </c>
      <c r="D677" t="inlineStr">
        <is>
          <t>Cartagena</t>
        </is>
      </c>
      <c r="E677" t="inlineStr">
        <is>
          <t>Deportes</t>
        </is>
      </c>
      <c r="F677" t="inlineStr">
        <is>
          <t>Tienda física</t>
        </is>
      </c>
      <c r="G677" t="inlineStr">
        <is>
          <t>1. Visita</t>
        </is>
      </c>
      <c r="H677" t="n">
        <v>5</v>
      </c>
      <c r="I677" s="73" t="n">
        <v>175100</v>
      </c>
      <c r="J677" s="73" t="n">
        <v>1006825</v>
      </c>
      <c r="K677" s="73" t="n">
        <v>722964</v>
      </c>
    </row>
    <row r="678">
      <c r="A678" t="n">
        <v>11429</v>
      </c>
      <c r="B678" s="72" t="n">
        <v>45528.42569444444</v>
      </c>
      <c r="C678" t="inlineStr">
        <is>
          <t>Santander</t>
        </is>
      </c>
      <c r="D678" t="inlineStr">
        <is>
          <t>Bucaramanga</t>
        </is>
      </c>
      <c r="E678" t="inlineStr">
        <is>
          <t>Hogar</t>
        </is>
      </c>
      <c r="F678" t="inlineStr">
        <is>
          <t>Web</t>
        </is>
      </c>
      <c r="G678" t="inlineStr">
        <is>
          <t>2. Carrito</t>
        </is>
      </c>
      <c r="H678" t="n">
        <v>1</v>
      </c>
      <c r="I678" s="73" t="n">
        <v>160900</v>
      </c>
      <c r="J678" s="73" t="n">
        <v>185035</v>
      </c>
      <c r="K678" s="73" t="n">
        <v>109472</v>
      </c>
    </row>
    <row r="679">
      <c r="A679" t="n">
        <v>11562</v>
      </c>
      <c r="B679" s="72" t="n">
        <v>45528.46597222222</v>
      </c>
      <c r="C679" t="inlineStr">
        <is>
          <t>Atlántico</t>
        </is>
      </c>
      <c r="D679" t="inlineStr">
        <is>
          <t>Barranquilla</t>
        </is>
      </c>
      <c r="E679" t="inlineStr">
        <is>
          <t>Belleza</t>
        </is>
      </c>
      <c r="F679" t="inlineStr">
        <is>
          <t>App</t>
        </is>
      </c>
      <c r="G679" t="inlineStr">
        <is>
          <t>3. Pago</t>
        </is>
      </c>
      <c r="H679" t="n">
        <v>5</v>
      </c>
      <c r="I679" s="73" t="n">
        <v>74900</v>
      </c>
      <c r="J679" s="73" t="n">
        <v>430675</v>
      </c>
      <c r="K679" s="73" t="n">
        <v>304347</v>
      </c>
    </row>
    <row r="680">
      <c r="A680" t="n">
        <v>10158</v>
      </c>
      <c r="B680" s="72" t="n">
        <v>45528.48055555556</v>
      </c>
      <c r="C680" t="inlineStr">
        <is>
          <t>Antioquia</t>
        </is>
      </c>
      <c r="D680" t="inlineStr">
        <is>
          <t>Medellín</t>
        </is>
      </c>
      <c r="E680" t="inlineStr">
        <is>
          <t>Tecnología</t>
        </is>
      </c>
      <c r="F680" t="inlineStr">
        <is>
          <t>App</t>
        </is>
      </c>
      <c r="G680" t="inlineStr">
        <is>
          <t>3. Pago</t>
        </is>
      </c>
      <c r="H680" t="n">
        <v>5</v>
      </c>
      <c r="I680" s="73" t="n">
        <v>1019500</v>
      </c>
      <c r="J680" s="73" t="n">
        <v>5862125</v>
      </c>
      <c r="K680" s="73" t="n">
        <v>4011388</v>
      </c>
    </row>
    <row r="681">
      <c r="A681" t="n">
        <v>10914</v>
      </c>
      <c r="B681" s="72" t="n">
        <v>45528.56736111111</v>
      </c>
      <c r="C681" t="inlineStr">
        <is>
          <t>Santander</t>
        </is>
      </c>
      <c r="D681" t="inlineStr">
        <is>
          <t>Bucaramanga</t>
        </is>
      </c>
      <c r="E681" t="inlineStr">
        <is>
          <t>Hogar</t>
        </is>
      </c>
      <c r="F681" t="inlineStr">
        <is>
          <t>Tienda física</t>
        </is>
      </c>
      <c r="G681" t="inlineStr">
        <is>
          <t>1. Visita</t>
        </is>
      </c>
      <c r="H681" t="n">
        <v>3</v>
      </c>
      <c r="I681" s="73" t="n">
        <v>229800</v>
      </c>
      <c r="J681" s="73" t="n">
        <v>792810</v>
      </c>
      <c r="K681" s="73" t="n">
        <v>555327</v>
      </c>
    </row>
    <row r="682">
      <c r="A682" t="n">
        <v>12098</v>
      </c>
      <c r="B682" s="72" t="n">
        <v>45528.71180555555</v>
      </c>
      <c r="C682" t="inlineStr">
        <is>
          <t>Antioquia</t>
        </is>
      </c>
      <c r="D682" t="inlineStr">
        <is>
          <t>Medellín</t>
        </is>
      </c>
      <c r="E682" t="inlineStr">
        <is>
          <t>Deportes</t>
        </is>
      </c>
      <c r="F682" t="inlineStr">
        <is>
          <t>App</t>
        </is>
      </c>
      <c r="G682" t="inlineStr">
        <is>
          <t>4. Compra</t>
        </is>
      </c>
      <c r="H682" t="n">
        <v>1</v>
      </c>
      <c r="I682" s="73" t="n">
        <v>145300</v>
      </c>
      <c r="J682" s="73" t="n">
        <v>167095</v>
      </c>
      <c r="K682" s="73" t="n">
        <v>116157</v>
      </c>
    </row>
    <row r="683">
      <c r="A683" t="n">
        <v>10691</v>
      </c>
      <c r="B683" s="72" t="n">
        <v>45528.78194444445</v>
      </c>
      <c r="C683" t="inlineStr">
        <is>
          <t>Meta</t>
        </is>
      </c>
      <c r="D683" t="inlineStr">
        <is>
          <t>Villavicencio</t>
        </is>
      </c>
      <c r="E683" t="inlineStr">
        <is>
          <t>Juguetes</t>
        </is>
      </c>
      <c r="F683" t="inlineStr">
        <is>
          <t>Web</t>
        </is>
      </c>
      <c r="G683" t="inlineStr">
        <is>
          <t>2. Carrito</t>
        </is>
      </c>
      <c r="H683" t="n">
        <v>3</v>
      </c>
      <c r="I683" s="73" t="n">
        <v>112700</v>
      </c>
      <c r="J683" s="73" t="n">
        <v>388815</v>
      </c>
      <c r="K683" s="73" t="n">
        <v>223090</v>
      </c>
    </row>
    <row r="684">
      <c r="A684" t="n">
        <v>12201</v>
      </c>
      <c r="B684" s="72" t="n">
        <v>45528.83055555556</v>
      </c>
      <c r="C684" t="inlineStr">
        <is>
          <t>Santander</t>
        </is>
      </c>
      <c r="D684" t="inlineStr">
        <is>
          <t>Bucaramanga</t>
        </is>
      </c>
      <c r="E684" t="inlineStr">
        <is>
          <t>Moda</t>
        </is>
      </c>
      <c r="F684" t="inlineStr">
        <is>
          <t>App</t>
        </is>
      </c>
      <c r="G684" t="inlineStr">
        <is>
          <t>1. Visita</t>
        </is>
      </c>
      <c r="H684" t="n">
        <v>2</v>
      </c>
      <c r="I684" s="73" t="n">
        <v>129400</v>
      </c>
      <c r="J684" s="73" t="n">
        <v>297620</v>
      </c>
      <c r="K684" s="73" t="n">
        <v>207103</v>
      </c>
    </row>
    <row r="685">
      <c r="A685" t="n">
        <v>11910</v>
      </c>
      <c r="B685" s="72" t="n">
        <v>45528.83194444444</v>
      </c>
      <c r="C685" t="inlineStr">
        <is>
          <t>Bogotá D.C.</t>
        </is>
      </c>
      <c r="D685" t="inlineStr">
        <is>
          <t>Bogotá</t>
        </is>
      </c>
      <c r="E685" t="inlineStr">
        <is>
          <t>Deportes</t>
        </is>
      </c>
      <c r="F685" t="inlineStr">
        <is>
          <t>Web</t>
        </is>
      </c>
      <c r="G685" t="inlineStr">
        <is>
          <t>1. Visita</t>
        </is>
      </c>
      <c r="H685" t="n">
        <v>2</v>
      </c>
      <c r="I685" s="73" t="n">
        <v>138000</v>
      </c>
      <c r="J685" s="73" t="n">
        <v>317400</v>
      </c>
      <c r="K685" s="73" t="n">
        <v>175885</v>
      </c>
    </row>
    <row r="686">
      <c r="A686" t="n">
        <v>11307</v>
      </c>
      <c r="B686" s="72" t="n">
        <v>45528.88958333333</v>
      </c>
      <c r="C686" t="inlineStr">
        <is>
          <t>Bolívar</t>
        </is>
      </c>
      <c r="D686" t="inlineStr">
        <is>
          <t>Cartagena</t>
        </is>
      </c>
      <c r="E686" t="inlineStr">
        <is>
          <t>Deportes</t>
        </is>
      </c>
      <c r="F686" t="inlineStr">
        <is>
          <t>App</t>
        </is>
      </c>
      <c r="G686" t="inlineStr">
        <is>
          <t>3. Pago</t>
        </is>
      </c>
      <c r="H686" t="n">
        <v>1</v>
      </c>
      <c r="I686" s="73" t="n">
        <v>115900</v>
      </c>
      <c r="J686" s="73" t="n">
        <v>133285</v>
      </c>
      <c r="K686" s="73" t="n">
        <v>76184</v>
      </c>
    </row>
    <row r="687">
      <c r="A687" t="n">
        <v>11420</v>
      </c>
      <c r="B687" s="72" t="n">
        <v>45529.43958333333</v>
      </c>
      <c r="C687" t="inlineStr">
        <is>
          <t>Bogotá D.C.</t>
        </is>
      </c>
      <c r="D687" t="inlineStr">
        <is>
          <t>Bogotá</t>
        </is>
      </c>
      <c r="E687" t="inlineStr">
        <is>
          <t>Deportes</t>
        </is>
      </c>
      <c r="F687" t="inlineStr">
        <is>
          <t>Web</t>
        </is>
      </c>
      <c r="G687" t="inlineStr">
        <is>
          <t>1. Visita</t>
        </is>
      </c>
      <c r="H687" t="n">
        <v>4</v>
      </c>
      <c r="I687" s="73" t="n">
        <v>195700</v>
      </c>
      <c r="J687" s="73" t="n">
        <v>900220</v>
      </c>
      <c r="K687" s="73" t="n">
        <v>614896</v>
      </c>
    </row>
    <row r="688">
      <c r="A688" t="n">
        <v>11396</v>
      </c>
      <c r="B688" s="72" t="n">
        <v>45529.52152777778</v>
      </c>
      <c r="C688" t="inlineStr">
        <is>
          <t>Valle del Cauca</t>
        </is>
      </c>
      <c r="D688" t="inlineStr">
        <is>
          <t>Cali</t>
        </is>
      </c>
      <c r="E688" t="inlineStr">
        <is>
          <t>Deportes</t>
        </is>
      </c>
      <c r="F688" t="inlineStr">
        <is>
          <t>App</t>
        </is>
      </c>
      <c r="G688" t="inlineStr">
        <is>
          <t>1. Visita</t>
        </is>
      </c>
      <c r="H688" t="n">
        <v>4</v>
      </c>
      <c r="I688" s="73" t="n">
        <v>154600</v>
      </c>
      <c r="J688" s="73" t="n">
        <v>711160</v>
      </c>
      <c r="K688" s="73" t="n">
        <v>422011</v>
      </c>
    </row>
    <row r="689">
      <c r="A689" t="n">
        <v>11139</v>
      </c>
      <c r="B689" s="72" t="n">
        <v>45530.50277777778</v>
      </c>
      <c r="C689" t="inlineStr">
        <is>
          <t>Risaralda</t>
        </is>
      </c>
      <c r="D689" t="inlineStr">
        <is>
          <t>Pereira</t>
        </is>
      </c>
      <c r="E689" t="inlineStr">
        <is>
          <t>Tecnología</t>
        </is>
      </c>
      <c r="F689" t="inlineStr">
        <is>
          <t>Web</t>
        </is>
      </c>
      <c r="G689" t="inlineStr">
        <is>
          <t>4. Compra</t>
        </is>
      </c>
      <c r="H689" t="n">
        <v>1</v>
      </c>
      <c r="I689" s="73" t="n">
        <v>1000600</v>
      </c>
      <c r="J689" s="73" t="n">
        <v>1000600</v>
      </c>
      <c r="K689" s="73" t="n">
        <v>642127</v>
      </c>
    </row>
    <row r="690">
      <c r="A690" t="n">
        <v>10408</v>
      </c>
      <c r="B690" s="72" t="n">
        <v>45530.55138888889</v>
      </c>
      <c r="C690" t="inlineStr">
        <is>
          <t>Bogotá D.C.</t>
        </is>
      </c>
      <c r="D690" t="inlineStr">
        <is>
          <t>Bogotá</t>
        </is>
      </c>
      <c r="E690" t="inlineStr">
        <is>
          <t>Moda</t>
        </is>
      </c>
      <c r="F690" t="inlineStr">
        <is>
          <t>Tienda física</t>
        </is>
      </c>
      <c r="G690" t="inlineStr">
        <is>
          <t>1. Visita</t>
        </is>
      </c>
      <c r="H690" t="n">
        <v>5</v>
      </c>
      <c r="I690" s="73" t="n">
        <v>142500</v>
      </c>
      <c r="J690" s="73" t="n">
        <v>712500</v>
      </c>
      <c r="K690" s="73" t="n">
        <v>504659</v>
      </c>
    </row>
    <row r="691">
      <c r="A691" t="n">
        <v>10927</v>
      </c>
      <c r="B691" s="72" t="n">
        <v>45531.44791666666</v>
      </c>
      <c r="C691" t="inlineStr">
        <is>
          <t>Valle del Cauca</t>
        </is>
      </c>
      <c r="D691" t="inlineStr">
        <is>
          <t>Cali</t>
        </is>
      </c>
      <c r="E691" t="inlineStr">
        <is>
          <t>Deportes</t>
        </is>
      </c>
      <c r="F691" t="inlineStr">
        <is>
          <t>Web</t>
        </is>
      </c>
      <c r="G691" t="inlineStr">
        <is>
          <t>1. Visita</t>
        </is>
      </c>
      <c r="H691" t="n">
        <v>1</v>
      </c>
      <c r="I691" s="73" t="n">
        <v>134900</v>
      </c>
      <c r="J691" s="73" t="n">
        <v>134900</v>
      </c>
      <c r="K691" s="73" t="n">
        <v>98572</v>
      </c>
    </row>
    <row r="692">
      <c r="A692" t="n">
        <v>10512</v>
      </c>
      <c r="B692" s="72" t="n">
        <v>45531.68125</v>
      </c>
      <c r="C692" t="inlineStr">
        <is>
          <t>Bolívar</t>
        </is>
      </c>
      <c r="D692" t="inlineStr">
        <is>
          <t>Cartagena</t>
        </is>
      </c>
      <c r="E692" t="inlineStr">
        <is>
          <t>Belleza</t>
        </is>
      </c>
      <c r="F692" t="inlineStr">
        <is>
          <t>Web</t>
        </is>
      </c>
      <c r="G692" t="inlineStr">
        <is>
          <t>2. Carrito</t>
        </is>
      </c>
      <c r="H692" t="n">
        <v>1</v>
      </c>
      <c r="I692" s="73" t="n">
        <v>88600</v>
      </c>
      <c r="J692" s="73" t="n">
        <v>88600</v>
      </c>
      <c r="K692" s="73" t="n">
        <v>63390</v>
      </c>
    </row>
    <row r="693">
      <c r="A693" t="n">
        <v>10618</v>
      </c>
      <c r="B693" s="72" t="n">
        <v>45531.71736111111</v>
      </c>
      <c r="C693" t="inlineStr">
        <is>
          <t>Antioquia</t>
        </is>
      </c>
      <c r="D693" t="inlineStr">
        <is>
          <t>Medellín</t>
        </is>
      </c>
      <c r="E693" t="inlineStr">
        <is>
          <t>Moda</t>
        </is>
      </c>
      <c r="F693" t="inlineStr">
        <is>
          <t>Tienda física</t>
        </is>
      </c>
      <c r="G693" t="inlineStr">
        <is>
          <t>4. Compra</t>
        </is>
      </c>
      <c r="H693" t="n">
        <v>5</v>
      </c>
      <c r="I693" s="73" t="n">
        <v>144600</v>
      </c>
      <c r="J693" s="73" t="n">
        <v>723000</v>
      </c>
      <c r="K693" s="73" t="n">
        <v>462746</v>
      </c>
    </row>
    <row r="694">
      <c r="A694" t="n">
        <v>11931</v>
      </c>
      <c r="B694" s="72" t="n">
        <v>45531.8625</v>
      </c>
      <c r="C694" t="inlineStr">
        <is>
          <t>Valle del Cauca</t>
        </is>
      </c>
      <c r="D694" t="inlineStr">
        <is>
          <t>Cali</t>
        </is>
      </c>
      <c r="E694" t="inlineStr">
        <is>
          <t>Tecnología</t>
        </is>
      </c>
      <c r="F694" t="inlineStr">
        <is>
          <t>App</t>
        </is>
      </c>
      <c r="G694" t="inlineStr">
        <is>
          <t>4. Compra</t>
        </is>
      </c>
      <c r="H694" t="n">
        <v>2</v>
      </c>
      <c r="I694" s="73" t="n">
        <v>732000</v>
      </c>
      <c r="J694" s="73" t="n">
        <v>1464000</v>
      </c>
      <c r="K694" s="73" t="n">
        <v>1018762</v>
      </c>
    </row>
    <row r="695">
      <c r="A695" t="n">
        <v>11648</v>
      </c>
      <c r="B695" s="72" t="n">
        <v>45532.27916666667</v>
      </c>
      <c r="C695" t="inlineStr">
        <is>
          <t>Bolívar</t>
        </is>
      </c>
      <c r="D695" t="inlineStr">
        <is>
          <t>Cartagena</t>
        </is>
      </c>
      <c r="E695" t="inlineStr">
        <is>
          <t>Hogar</t>
        </is>
      </c>
      <c r="F695" t="inlineStr">
        <is>
          <t>Web</t>
        </is>
      </c>
      <c r="G695" t="inlineStr">
        <is>
          <t>1. Visita</t>
        </is>
      </c>
      <c r="H695" t="n">
        <v>2</v>
      </c>
      <c r="I695" s="73" t="n">
        <v>187600</v>
      </c>
      <c r="J695" s="73" t="n">
        <v>375200</v>
      </c>
      <c r="K695" s="73" t="n">
        <v>223387</v>
      </c>
    </row>
    <row r="696">
      <c r="A696" t="n">
        <v>10570</v>
      </c>
      <c r="B696" s="72" t="n">
        <v>45532.68680555555</v>
      </c>
      <c r="C696" t="inlineStr">
        <is>
          <t>Valle del Cauca</t>
        </is>
      </c>
      <c r="D696" t="inlineStr">
        <is>
          <t>Cali</t>
        </is>
      </c>
      <c r="E696" t="inlineStr">
        <is>
          <t>Tecnología</t>
        </is>
      </c>
      <c r="F696" t="inlineStr">
        <is>
          <t>App</t>
        </is>
      </c>
      <c r="G696" t="inlineStr">
        <is>
          <t>2. Carrito</t>
        </is>
      </c>
      <c r="H696" t="n">
        <v>2</v>
      </c>
      <c r="I696" s="73" t="n">
        <v>773500</v>
      </c>
      <c r="J696" s="73" t="n">
        <v>1547000</v>
      </c>
      <c r="K696" s="73" t="n">
        <v>1121841</v>
      </c>
    </row>
    <row r="697">
      <c r="A697" t="n">
        <v>10224</v>
      </c>
      <c r="B697" s="72" t="n">
        <v>45532.7375</v>
      </c>
      <c r="C697" t="inlineStr">
        <is>
          <t>Atlántico</t>
        </is>
      </c>
      <c r="D697" t="inlineStr">
        <is>
          <t>Barranquilla</t>
        </is>
      </c>
      <c r="E697" t="inlineStr">
        <is>
          <t>Belleza</t>
        </is>
      </c>
      <c r="F697" t="inlineStr">
        <is>
          <t>Tienda física</t>
        </is>
      </c>
      <c r="G697" t="inlineStr">
        <is>
          <t>2. Carrito</t>
        </is>
      </c>
      <c r="H697" t="n">
        <v>3</v>
      </c>
      <c r="I697" s="73" t="n">
        <v>82900</v>
      </c>
      <c r="J697" s="73" t="n">
        <v>248700</v>
      </c>
      <c r="K697" s="73" t="n">
        <v>142605</v>
      </c>
    </row>
    <row r="698">
      <c r="A698" t="n">
        <v>10044</v>
      </c>
      <c r="B698" s="72" t="n">
        <v>45532.87222222222</v>
      </c>
      <c r="C698" t="inlineStr">
        <is>
          <t>Nariño</t>
        </is>
      </c>
      <c r="D698" t="inlineStr">
        <is>
          <t>Pasto</t>
        </is>
      </c>
      <c r="E698" t="inlineStr">
        <is>
          <t>Belleza</t>
        </is>
      </c>
      <c r="F698" t="inlineStr">
        <is>
          <t>Web</t>
        </is>
      </c>
      <c r="G698" t="inlineStr">
        <is>
          <t>1. Visita</t>
        </is>
      </c>
      <c r="H698" t="n">
        <v>1</v>
      </c>
      <c r="I698" s="73" t="n">
        <v>49700</v>
      </c>
      <c r="J698" s="73" t="n">
        <v>49700</v>
      </c>
      <c r="K698" s="73" t="n">
        <v>34170</v>
      </c>
    </row>
    <row r="699">
      <c r="A699" t="n">
        <v>11391</v>
      </c>
      <c r="B699" s="72" t="n">
        <v>45532.89722222222</v>
      </c>
      <c r="C699" t="inlineStr">
        <is>
          <t>Meta</t>
        </is>
      </c>
      <c r="D699" t="inlineStr">
        <is>
          <t>Villavicencio</t>
        </is>
      </c>
      <c r="E699" t="inlineStr">
        <is>
          <t>Moda</t>
        </is>
      </c>
      <c r="F699" t="inlineStr">
        <is>
          <t>App</t>
        </is>
      </c>
      <c r="G699" t="inlineStr">
        <is>
          <t>1. Visita</t>
        </is>
      </c>
      <c r="H699" t="n">
        <v>3</v>
      </c>
      <c r="I699" s="73" t="n">
        <v>120000</v>
      </c>
      <c r="J699" s="73" t="n">
        <v>360000</v>
      </c>
      <c r="K699" s="73" t="n">
        <v>223903</v>
      </c>
    </row>
    <row r="700">
      <c r="A700" t="n">
        <v>12112</v>
      </c>
      <c r="B700" s="72" t="n">
        <v>45533.2125</v>
      </c>
      <c r="C700" t="inlineStr">
        <is>
          <t>Antioquia</t>
        </is>
      </c>
      <c r="D700" t="inlineStr">
        <is>
          <t>Medellín</t>
        </is>
      </c>
      <c r="E700" t="inlineStr">
        <is>
          <t>Moda</t>
        </is>
      </c>
      <c r="F700" t="inlineStr">
        <is>
          <t>Web</t>
        </is>
      </c>
      <c r="G700" t="inlineStr">
        <is>
          <t>1. Visita</t>
        </is>
      </c>
      <c r="H700" t="n">
        <v>3</v>
      </c>
      <c r="I700" s="73" t="n">
        <v>102500</v>
      </c>
      <c r="J700" s="73" t="n">
        <v>307500</v>
      </c>
      <c r="K700" s="73" t="n">
        <v>206798</v>
      </c>
    </row>
    <row r="701">
      <c r="A701" t="n">
        <v>11622</v>
      </c>
      <c r="B701" s="72" t="n">
        <v>45533.34583333333</v>
      </c>
      <c r="C701" t="inlineStr">
        <is>
          <t>Bogotá D.C.</t>
        </is>
      </c>
      <c r="D701" t="inlineStr">
        <is>
          <t>Bogotá</t>
        </is>
      </c>
      <c r="E701" t="inlineStr">
        <is>
          <t>Tecnología</t>
        </is>
      </c>
      <c r="F701" t="inlineStr">
        <is>
          <t>Web</t>
        </is>
      </c>
      <c r="G701" t="inlineStr">
        <is>
          <t>3. Pago</t>
        </is>
      </c>
      <c r="H701" t="n">
        <v>2</v>
      </c>
      <c r="I701" s="73" t="n">
        <v>1013300</v>
      </c>
      <c r="J701" s="73" t="n">
        <v>2026600</v>
      </c>
      <c r="K701" s="73" t="n">
        <v>1283713</v>
      </c>
    </row>
    <row r="702">
      <c r="A702" t="n">
        <v>10333</v>
      </c>
      <c r="B702" s="72" t="n">
        <v>45533.41041666667</v>
      </c>
      <c r="C702" t="inlineStr">
        <is>
          <t>Santander</t>
        </is>
      </c>
      <c r="D702" t="inlineStr">
        <is>
          <t>Bucaramanga</t>
        </is>
      </c>
      <c r="E702" t="inlineStr">
        <is>
          <t>Juguetes</t>
        </is>
      </c>
      <c r="F702" t="inlineStr">
        <is>
          <t>App</t>
        </is>
      </c>
      <c r="G702" t="inlineStr">
        <is>
          <t>4. Compra</t>
        </is>
      </c>
      <c r="H702" t="n">
        <v>4</v>
      </c>
      <c r="I702" s="73" t="n">
        <v>112100</v>
      </c>
      <c r="J702" s="73" t="n">
        <v>448400</v>
      </c>
      <c r="K702" s="73" t="n">
        <v>296553</v>
      </c>
    </row>
    <row r="703">
      <c r="A703" t="n">
        <v>11810</v>
      </c>
      <c r="B703" s="72" t="n">
        <v>45533.55069444444</v>
      </c>
      <c r="C703" t="inlineStr">
        <is>
          <t>Santander</t>
        </is>
      </c>
      <c r="D703" t="inlineStr">
        <is>
          <t>Bucaramanga</t>
        </is>
      </c>
      <c r="E703" t="inlineStr">
        <is>
          <t>Deportes</t>
        </is>
      </c>
      <c r="F703" t="inlineStr">
        <is>
          <t>App</t>
        </is>
      </c>
      <c r="G703" t="inlineStr">
        <is>
          <t>1. Visita</t>
        </is>
      </c>
      <c r="H703" t="n">
        <v>4</v>
      </c>
      <c r="I703" s="73" t="n">
        <v>180300</v>
      </c>
      <c r="J703" s="73" t="n">
        <v>721200</v>
      </c>
      <c r="K703" s="73" t="n">
        <v>438517</v>
      </c>
    </row>
    <row r="704">
      <c r="A704" t="n">
        <v>10080</v>
      </c>
      <c r="B704" s="72" t="n">
        <v>45533.67430555556</v>
      </c>
      <c r="C704" t="inlineStr">
        <is>
          <t>Valle del Cauca</t>
        </is>
      </c>
      <c r="D704" t="inlineStr">
        <is>
          <t>Cali</t>
        </is>
      </c>
      <c r="E704" t="inlineStr">
        <is>
          <t>Tecnología</t>
        </is>
      </c>
      <c r="F704" t="inlineStr">
        <is>
          <t>App</t>
        </is>
      </c>
      <c r="G704" t="inlineStr">
        <is>
          <t>3. Pago</t>
        </is>
      </c>
      <c r="H704" t="n">
        <v>5</v>
      </c>
      <c r="I704" s="73" t="n">
        <v>1093500</v>
      </c>
      <c r="J704" s="73" t="n">
        <v>5467500</v>
      </c>
      <c r="K704" s="73" t="n">
        <v>3769749</v>
      </c>
    </row>
    <row r="705">
      <c r="A705" t="n">
        <v>10627</v>
      </c>
      <c r="B705" s="72" t="n">
        <v>45533.72916666666</v>
      </c>
      <c r="C705" t="inlineStr">
        <is>
          <t>Bogotá D.C.</t>
        </is>
      </c>
      <c r="D705" t="inlineStr">
        <is>
          <t>Bogotá</t>
        </is>
      </c>
      <c r="E705" t="inlineStr">
        <is>
          <t>Hogar</t>
        </is>
      </c>
      <c r="F705" t="inlineStr">
        <is>
          <t>Web</t>
        </is>
      </c>
      <c r="G705" t="inlineStr">
        <is>
          <t>3. Pago</t>
        </is>
      </c>
      <c r="H705" t="n">
        <v>2</v>
      </c>
      <c r="I705" s="73" t="n">
        <v>244800</v>
      </c>
      <c r="J705" s="73" t="n">
        <v>489600</v>
      </c>
      <c r="K705" s="73" t="n">
        <v>357177</v>
      </c>
    </row>
    <row r="706">
      <c r="A706" t="n">
        <v>12026</v>
      </c>
      <c r="B706" s="72" t="n">
        <v>45533.73958333334</v>
      </c>
      <c r="C706" t="inlineStr">
        <is>
          <t>Bogotá D.C.</t>
        </is>
      </c>
      <c r="D706" t="inlineStr">
        <is>
          <t>Bogotá</t>
        </is>
      </c>
      <c r="E706" t="inlineStr">
        <is>
          <t>Belleza</t>
        </is>
      </c>
      <c r="F706" t="inlineStr">
        <is>
          <t>App</t>
        </is>
      </c>
      <c r="G706" t="inlineStr">
        <is>
          <t>2. Carrito</t>
        </is>
      </c>
      <c r="H706" t="n">
        <v>5</v>
      </c>
      <c r="I706" s="73" t="n">
        <v>57600</v>
      </c>
      <c r="J706" s="73" t="n">
        <v>288000</v>
      </c>
      <c r="K706" s="73" t="n">
        <v>170928</v>
      </c>
    </row>
    <row r="707">
      <c r="A707" t="n">
        <v>11516</v>
      </c>
      <c r="B707" s="72" t="n">
        <v>45534.81388888889</v>
      </c>
      <c r="C707" t="inlineStr">
        <is>
          <t>Valle del Cauca</t>
        </is>
      </c>
      <c r="D707" t="inlineStr">
        <is>
          <t>Cali</t>
        </is>
      </c>
      <c r="E707" t="inlineStr">
        <is>
          <t>Belleza</t>
        </is>
      </c>
      <c r="F707" t="inlineStr">
        <is>
          <t>Tienda física</t>
        </is>
      </c>
      <c r="G707" t="inlineStr">
        <is>
          <t>1. Visita</t>
        </is>
      </c>
      <c r="H707" t="n">
        <v>1</v>
      </c>
      <c r="I707" s="73" t="n">
        <v>64900</v>
      </c>
      <c r="J707" s="73" t="n">
        <v>74635</v>
      </c>
      <c r="K707" s="73" t="n">
        <v>51292</v>
      </c>
    </row>
    <row r="708">
      <c r="A708" t="n">
        <v>10441</v>
      </c>
      <c r="B708" s="72" t="n">
        <v>45535.29583333333</v>
      </c>
      <c r="C708" t="inlineStr">
        <is>
          <t>Atlántico</t>
        </is>
      </c>
      <c r="D708" t="inlineStr">
        <is>
          <t>Barranquilla</t>
        </is>
      </c>
      <c r="E708" t="inlineStr">
        <is>
          <t>Deportes</t>
        </is>
      </c>
      <c r="F708" t="inlineStr">
        <is>
          <t>Web</t>
        </is>
      </c>
      <c r="G708" t="inlineStr">
        <is>
          <t>2. Carrito</t>
        </is>
      </c>
      <c r="H708" t="n">
        <v>5</v>
      </c>
      <c r="I708" s="73" t="n">
        <v>120800</v>
      </c>
      <c r="J708" s="73" t="n">
        <v>694600</v>
      </c>
      <c r="K708" s="73" t="n">
        <v>471083</v>
      </c>
    </row>
    <row r="709">
      <c r="A709" t="n">
        <v>11486</v>
      </c>
      <c r="B709" s="72" t="n">
        <v>45535.35416666666</v>
      </c>
      <c r="C709" t="inlineStr">
        <is>
          <t>Huila</t>
        </is>
      </c>
      <c r="D709" t="inlineStr">
        <is>
          <t>Neiva</t>
        </is>
      </c>
      <c r="E709" t="inlineStr">
        <is>
          <t>Hogar</t>
        </is>
      </c>
      <c r="F709" t="inlineStr">
        <is>
          <t>App</t>
        </is>
      </c>
      <c r="G709" t="inlineStr">
        <is>
          <t>3. Pago</t>
        </is>
      </c>
      <c r="H709" t="n">
        <v>5</v>
      </c>
      <c r="I709" s="73" t="n">
        <v>160400</v>
      </c>
      <c r="J709" s="73" t="n">
        <v>922300</v>
      </c>
      <c r="K709" s="73" t="n">
        <v>626156</v>
      </c>
    </row>
    <row r="710">
      <c r="A710" t="n">
        <v>10597</v>
      </c>
      <c r="B710" s="72" t="n">
        <v>45535.40208333333</v>
      </c>
      <c r="C710" t="inlineStr">
        <is>
          <t>Antioquia</t>
        </is>
      </c>
      <c r="D710" t="inlineStr">
        <is>
          <t>Medellín</t>
        </is>
      </c>
      <c r="E710" t="inlineStr">
        <is>
          <t>Belleza</t>
        </is>
      </c>
      <c r="F710" t="inlineStr">
        <is>
          <t>Web</t>
        </is>
      </c>
      <c r="G710" t="inlineStr">
        <is>
          <t>2. Carrito</t>
        </is>
      </c>
      <c r="H710" t="n">
        <v>1</v>
      </c>
      <c r="I710" s="73" t="n">
        <v>75800</v>
      </c>
      <c r="J710" s="73" t="n">
        <v>87170</v>
      </c>
      <c r="K710" s="73" t="n">
        <v>60912</v>
      </c>
    </row>
    <row r="711">
      <c r="A711" t="n">
        <v>11711</v>
      </c>
      <c r="B711" s="72" t="n">
        <v>45535.81388888889</v>
      </c>
      <c r="C711" t="inlineStr">
        <is>
          <t>Valle del Cauca</t>
        </is>
      </c>
      <c r="D711" t="inlineStr">
        <is>
          <t>Cali</t>
        </is>
      </c>
      <c r="E711" t="inlineStr">
        <is>
          <t>Tecnología</t>
        </is>
      </c>
      <c r="F711" t="inlineStr">
        <is>
          <t>App</t>
        </is>
      </c>
      <c r="G711" t="inlineStr">
        <is>
          <t>3. Pago</t>
        </is>
      </c>
      <c r="H711" t="n">
        <v>3</v>
      </c>
      <c r="I711" s="73" t="n">
        <v>1093100</v>
      </c>
      <c r="J711" s="73" t="n">
        <v>3771195</v>
      </c>
      <c r="K711" s="73" t="n">
        <v>2160100</v>
      </c>
    </row>
    <row r="712">
      <c r="A712" t="n">
        <v>10769</v>
      </c>
      <c r="B712" s="72" t="n">
        <v>45535.86875</v>
      </c>
      <c r="C712" t="inlineStr">
        <is>
          <t>Atlántico</t>
        </is>
      </c>
      <c r="D712" t="inlineStr">
        <is>
          <t>Barranquilla</t>
        </is>
      </c>
      <c r="E712" t="inlineStr">
        <is>
          <t>Deportes</t>
        </is>
      </c>
      <c r="F712" t="inlineStr">
        <is>
          <t>Tienda física</t>
        </is>
      </c>
      <c r="G712" t="inlineStr">
        <is>
          <t>1. Visita</t>
        </is>
      </c>
      <c r="H712" t="n">
        <v>5</v>
      </c>
      <c r="I712" s="73" t="n">
        <v>130600</v>
      </c>
      <c r="J712" s="73" t="n">
        <v>750950</v>
      </c>
      <c r="K712" s="73" t="n">
        <v>536403</v>
      </c>
    </row>
    <row r="713">
      <c r="A713" t="n">
        <v>11369</v>
      </c>
      <c r="B713" s="72" t="n">
        <v>45535.95694444444</v>
      </c>
      <c r="C713" t="inlineStr">
        <is>
          <t>Valle del Cauca</t>
        </is>
      </c>
      <c r="D713" t="inlineStr">
        <is>
          <t>Cali</t>
        </is>
      </c>
      <c r="E713" t="inlineStr">
        <is>
          <t>Belleza</t>
        </is>
      </c>
      <c r="F713" t="inlineStr">
        <is>
          <t>App</t>
        </is>
      </c>
      <c r="G713" t="inlineStr">
        <is>
          <t>3. Pago</t>
        </is>
      </c>
      <c r="H713" t="n">
        <v>3</v>
      </c>
      <c r="I713" s="73" t="n">
        <v>85600</v>
      </c>
      <c r="J713" s="73" t="n">
        <v>295320</v>
      </c>
      <c r="K713" s="73" t="n">
        <v>214968</v>
      </c>
    </row>
    <row r="714">
      <c r="A714" t="n">
        <v>11430</v>
      </c>
      <c r="B714" s="72" t="n">
        <v>45536.57638888889</v>
      </c>
      <c r="C714" t="inlineStr">
        <is>
          <t>Santander</t>
        </is>
      </c>
      <c r="D714" t="inlineStr">
        <is>
          <t>Bucaramanga</t>
        </is>
      </c>
      <c r="E714" t="inlineStr">
        <is>
          <t>Moda</t>
        </is>
      </c>
      <c r="F714" t="inlineStr">
        <is>
          <t>Web</t>
        </is>
      </c>
      <c r="G714" t="inlineStr">
        <is>
          <t>1. Visita</t>
        </is>
      </c>
      <c r="H714" t="n">
        <v>2</v>
      </c>
      <c r="I714" s="73" t="n">
        <v>93300</v>
      </c>
      <c r="J714" s="73" t="n">
        <v>214590</v>
      </c>
      <c r="K714" s="73" t="n">
        <v>149482</v>
      </c>
    </row>
    <row r="715">
      <c r="A715" t="n">
        <v>12348</v>
      </c>
      <c r="B715" s="72" t="n">
        <v>45536.675</v>
      </c>
      <c r="C715" t="inlineStr">
        <is>
          <t>Risaralda</t>
        </is>
      </c>
      <c r="D715" t="inlineStr">
        <is>
          <t>Pereira</t>
        </is>
      </c>
      <c r="E715" t="inlineStr">
        <is>
          <t>Deportes</t>
        </is>
      </c>
      <c r="F715" t="inlineStr">
        <is>
          <t>Web</t>
        </is>
      </c>
      <c r="G715" t="inlineStr">
        <is>
          <t>2. Carrito</t>
        </is>
      </c>
      <c r="H715" t="n">
        <v>5</v>
      </c>
      <c r="I715" s="73" t="n">
        <v>200100</v>
      </c>
      <c r="J715" s="73" t="n">
        <v>1150575</v>
      </c>
      <c r="K715" s="73" t="n">
        <v>673642</v>
      </c>
    </row>
    <row r="716">
      <c r="A716" t="n">
        <v>10706</v>
      </c>
      <c r="B716" s="72" t="n">
        <v>45536.725</v>
      </c>
      <c r="C716" t="inlineStr">
        <is>
          <t>Atlántico</t>
        </is>
      </c>
      <c r="D716" t="inlineStr">
        <is>
          <t>Barranquilla</t>
        </is>
      </c>
      <c r="E716" t="inlineStr">
        <is>
          <t>Belleza</t>
        </is>
      </c>
      <c r="F716" t="inlineStr">
        <is>
          <t>Web</t>
        </is>
      </c>
      <c r="G716" t="inlineStr">
        <is>
          <t>3. Pago</t>
        </is>
      </c>
      <c r="H716" t="n">
        <v>5</v>
      </c>
      <c r="I716" s="73" t="n">
        <v>64900</v>
      </c>
      <c r="J716" s="73" t="n">
        <v>373175</v>
      </c>
      <c r="K716" s="73" t="n">
        <v>218290</v>
      </c>
    </row>
    <row r="717">
      <c r="A717" t="n">
        <v>12019</v>
      </c>
      <c r="B717" s="72" t="n">
        <v>45537.39097222222</v>
      </c>
      <c r="C717" t="inlineStr">
        <is>
          <t>Nariño</t>
        </is>
      </c>
      <c r="D717" t="inlineStr">
        <is>
          <t>Pasto</t>
        </is>
      </c>
      <c r="E717" t="inlineStr">
        <is>
          <t>Belleza</t>
        </is>
      </c>
      <c r="F717" t="inlineStr">
        <is>
          <t>Web</t>
        </is>
      </c>
      <c r="G717" t="inlineStr">
        <is>
          <t>2. Carrito</t>
        </is>
      </c>
      <c r="H717" t="n">
        <v>4</v>
      </c>
      <c r="I717" s="73" t="n">
        <v>82800</v>
      </c>
      <c r="J717" s="73" t="n">
        <v>331200</v>
      </c>
      <c r="K717" s="73" t="n">
        <v>233681</v>
      </c>
    </row>
    <row r="718">
      <c r="A718" t="n">
        <v>11141</v>
      </c>
      <c r="B718" s="72" t="n">
        <v>45537.39861111111</v>
      </c>
      <c r="C718" t="inlineStr">
        <is>
          <t>Nariño</t>
        </is>
      </c>
      <c r="D718" t="inlineStr">
        <is>
          <t>Pasto</t>
        </is>
      </c>
      <c r="E718" t="inlineStr">
        <is>
          <t>Moda</t>
        </is>
      </c>
      <c r="F718" t="inlineStr">
        <is>
          <t>Web</t>
        </is>
      </c>
      <c r="G718" t="inlineStr">
        <is>
          <t>2. Carrito</t>
        </is>
      </c>
      <c r="H718" t="n">
        <v>4</v>
      </c>
      <c r="I718" s="73" t="n">
        <v>103600</v>
      </c>
      <c r="J718" s="73" t="n">
        <v>414400</v>
      </c>
      <c r="K718" s="73" t="n">
        <v>267148</v>
      </c>
    </row>
    <row r="719">
      <c r="A719" t="n">
        <v>11039</v>
      </c>
      <c r="B719" s="72" t="n">
        <v>45537.44305555556</v>
      </c>
      <c r="C719" t="inlineStr">
        <is>
          <t>Atlántico</t>
        </is>
      </c>
      <c r="D719" t="inlineStr">
        <is>
          <t>Barranquilla</t>
        </is>
      </c>
      <c r="E719" t="inlineStr">
        <is>
          <t>Tecnología</t>
        </is>
      </c>
      <c r="F719" t="inlineStr">
        <is>
          <t>App</t>
        </is>
      </c>
      <c r="G719" t="inlineStr">
        <is>
          <t>2. Carrito</t>
        </is>
      </c>
      <c r="H719" t="n">
        <v>3</v>
      </c>
      <c r="I719" s="73" t="n">
        <v>724100</v>
      </c>
      <c r="J719" s="73" t="n">
        <v>2172300</v>
      </c>
      <c r="K719" s="73" t="n">
        <v>1467320</v>
      </c>
    </row>
    <row r="720">
      <c r="A720" t="n">
        <v>11289</v>
      </c>
      <c r="B720" s="72" t="n">
        <v>45537.575</v>
      </c>
      <c r="C720" t="inlineStr">
        <is>
          <t>Bogotá D.C.</t>
        </is>
      </c>
      <c r="D720" t="inlineStr">
        <is>
          <t>Bogotá</t>
        </is>
      </c>
      <c r="E720" t="inlineStr">
        <is>
          <t>Juguetes</t>
        </is>
      </c>
      <c r="F720" t="inlineStr">
        <is>
          <t>Marketplace</t>
        </is>
      </c>
      <c r="G720" t="inlineStr">
        <is>
          <t>2. Carrito</t>
        </is>
      </c>
      <c r="H720" t="n">
        <v>1</v>
      </c>
      <c r="I720" s="73" t="n">
        <v>110100</v>
      </c>
      <c r="J720" s="73" t="n">
        <v>110100</v>
      </c>
      <c r="K720" s="73" t="n">
        <v>61486</v>
      </c>
    </row>
    <row r="721">
      <c r="A721" t="n">
        <v>11400</v>
      </c>
      <c r="B721" s="72" t="n">
        <v>45537.62847222222</v>
      </c>
      <c r="C721" t="inlineStr">
        <is>
          <t>Santander</t>
        </is>
      </c>
      <c r="D721" t="inlineStr">
        <is>
          <t>Bucaramanga</t>
        </is>
      </c>
      <c r="E721" t="inlineStr">
        <is>
          <t>Belleza</t>
        </is>
      </c>
      <c r="F721" t="inlineStr">
        <is>
          <t>Web</t>
        </is>
      </c>
      <c r="G721" t="inlineStr">
        <is>
          <t>2. Carrito</t>
        </is>
      </c>
      <c r="H721" t="n">
        <v>4</v>
      </c>
      <c r="I721" s="73" t="n">
        <v>54500</v>
      </c>
      <c r="J721" s="73" t="n">
        <v>218000</v>
      </c>
      <c r="K721" s="73" t="n">
        <v>151924</v>
      </c>
    </row>
    <row r="722">
      <c r="A722" t="n">
        <v>12369</v>
      </c>
      <c r="B722" s="72" t="n">
        <v>45538.32569444444</v>
      </c>
      <c r="C722" t="inlineStr">
        <is>
          <t>Antioquia</t>
        </is>
      </c>
      <c r="D722" t="inlineStr">
        <is>
          <t>Medellín</t>
        </is>
      </c>
      <c r="E722" t="inlineStr">
        <is>
          <t>Deportes</t>
        </is>
      </c>
      <c r="F722" t="inlineStr">
        <is>
          <t>Marketplace</t>
        </is>
      </c>
      <c r="G722" t="inlineStr">
        <is>
          <t>2. Carrito</t>
        </is>
      </c>
      <c r="H722" t="n">
        <v>5</v>
      </c>
      <c r="I722" s="73" t="n">
        <v>126200</v>
      </c>
      <c r="J722" s="73" t="n">
        <v>631000</v>
      </c>
      <c r="K722" s="73" t="n">
        <v>385015</v>
      </c>
    </row>
    <row r="723">
      <c r="A723" t="n">
        <v>11595</v>
      </c>
      <c r="B723" s="72" t="n">
        <v>45538.60555555556</v>
      </c>
      <c r="C723" t="inlineStr">
        <is>
          <t>Bogotá D.C.</t>
        </is>
      </c>
      <c r="D723" t="inlineStr">
        <is>
          <t>Bogotá</t>
        </is>
      </c>
      <c r="E723" t="inlineStr">
        <is>
          <t>Deportes</t>
        </is>
      </c>
      <c r="F723" t="inlineStr">
        <is>
          <t>Tienda física</t>
        </is>
      </c>
      <c r="G723" t="inlineStr">
        <is>
          <t>1. Visita</t>
        </is>
      </c>
      <c r="H723" t="n">
        <v>1</v>
      </c>
      <c r="I723" s="73" t="n">
        <v>144600</v>
      </c>
      <c r="J723" s="73" t="n">
        <v>144600</v>
      </c>
      <c r="K723" s="73" t="n">
        <v>91982</v>
      </c>
    </row>
    <row r="724">
      <c r="A724" t="n">
        <v>10890</v>
      </c>
      <c r="B724" s="72" t="n">
        <v>45538.80069444444</v>
      </c>
      <c r="C724" t="inlineStr">
        <is>
          <t>Valle del Cauca</t>
        </is>
      </c>
      <c r="D724" t="inlineStr">
        <is>
          <t>Cali</t>
        </is>
      </c>
      <c r="E724" t="inlineStr">
        <is>
          <t>Juguetes</t>
        </is>
      </c>
      <c r="F724" t="inlineStr">
        <is>
          <t>Web</t>
        </is>
      </c>
      <c r="G724" t="inlineStr">
        <is>
          <t>2. Carrito</t>
        </is>
      </c>
      <c r="H724" t="n">
        <v>1</v>
      </c>
      <c r="I724" s="73" t="n">
        <v>113500</v>
      </c>
      <c r="J724" s="73" t="n">
        <v>113500</v>
      </c>
      <c r="K724" s="73" t="n">
        <v>66998</v>
      </c>
    </row>
    <row r="725">
      <c r="A725" t="n">
        <v>11498</v>
      </c>
      <c r="B725" s="72" t="n">
        <v>45539.37222222222</v>
      </c>
      <c r="C725" t="inlineStr">
        <is>
          <t>Bogotá D.C.</t>
        </is>
      </c>
      <c r="D725" t="inlineStr">
        <is>
          <t>Bogotá</t>
        </is>
      </c>
      <c r="E725" t="inlineStr">
        <is>
          <t>Tecnología</t>
        </is>
      </c>
      <c r="F725" t="inlineStr">
        <is>
          <t>Web</t>
        </is>
      </c>
      <c r="G725" t="inlineStr">
        <is>
          <t>4. Compra</t>
        </is>
      </c>
      <c r="H725" t="n">
        <v>2</v>
      </c>
      <c r="I725" s="73" t="n">
        <v>729300</v>
      </c>
      <c r="J725" s="73" t="n">
        <v>1458600</v>
      </c>
      <c r="K725" s="73" t="n">
        <v>1082365</v>
      </c>
    </row>
    <row r="726">
      <c r="A726" t="n">
        <v>10460</v>
      </c>
      <c r="B726" s="72" t="n">
        <v>45539.87291666667</v>
      </c>
      <c r="C726" t="inlineStr">
        <is>
          <t>Bogotá D.C.</t>
        </is>
      </c>
      <c r="D726" t="inlineStr">
        <is>
          <t>Bogotá</t>
        </is>
      </c>
      <c r="E726" t="inlineStr">
        <is>
          <t>Hogar</t>
        </is>
      </c>
      <c r="F726" t="inlineStr">
        <is>
          <t>App</t>
        </is>
      </c>
      <c r="G726" t="inlineStr">
        <is>
          <t>1. Visita</t>
        </is>
      </c>
      <c r="H726" t="n">
        <v>5</v>
      </c>
      <c r="I726" s="73" t="n">
        <v>228500</v>
      </c>
      <c r="J726" s="73" t="n">
        <v>1142500</v>
      </c>
      <c r="K726" s="73" t="n">
        <v>665465</v>
      </c>
    </row>
    <row r="727">
      <c r="A727" t="n">
        <v>11538</v>
      </c>
      <c r="B727" s="72" t="n">
        <v>45540.50694444445</v>
      </c>
      <c r="C727" t="inlineStr">
        <is>
          <t>Antioquia</t>
        </is>
      </c>
      <c r="D727" t="inlineStr">
        <is>
          <t>Medellín</t>
        </is>
      </c>
      <c r="E727" t="inlineStr">
        <is>
          <t>Tecnología</t>
        </is>
      </c>
      <c r="F727" t="inlineStr">
        <is>
          <t>Tienda física</t>
        </is>
      </c>
      <c r="G727" t="inlineStr">
        <is>
          <t>4. Compra</t>
        </is>
      </c>
      <c r="H727" t="n">
        <v>2</v>
      </c>
      <c r="I727" s="73" t="n">
        <v>607900</v>
      </c>
      <c r="J727" s="73" t="n">
        <v>1215800</v>
      </c>
      <c r="K727" s="73" t="n">
        <v>894081</v>
      </c>
    </row>
    <row r="728">
      <c r="A728" t="n">
        <v>10688</v>
      </c>
      <c r="B728" s="72" t="n">
        <v>45540.61666666667</v>
      </c>
      <c r="C728" t="inlineStr">
        <is>
          <t>Meta</t>
        </is>
      </c>
      <c r="D728" t="inlineStr">
        <is>
          <t>Villavicencio</t>
        </is>
      </c>
      <c r="E728" t="inlineStr">
        <is>
          <t>Belleza</t>
        </is>
      </c>
      <c r="F728" t="inlineStr">
        <is>
          <t>App</t>
        </is>
      </c>
      <c r="G728" t="inlineStr">
        <is>
          <t>2. Carrito</t>
        </is>
      </c>
      <c r="H728" t="n">
        <v>2</v>
      </c>
      <c r="I728" s="73" t="n">
        <v>69300</v>
      </c>
      <c r="J728" s="73" t="n">
        <v>138600</v>
      </c>
      <c r="K728" s="73" t="n">
        <v>103036</v>
      </c>
    </row>
    <row r="729">
      <c r="A729" t="n">
        <v>12357</v>
      </c>
      <c r="B729" s="72" t="n">
        <v>45541.01736111111</v>
      </c>
      <c r="C729" t="inlineStr">
        <is>
          <t>Antioquia</t>
        </is>
      </c>
      <c r="D729" t="inlineStr">
        <is>
          <t>Medellín</t>
        </is>
      </c>
      <c r="E729" t="inlineStr">
        <is>
          <t>Tecnología</t>
        </is>
      </c>
      <c r="F729" t="inlineStr">
        <is>
          <t>Marketplace</t>
        </is>
      </c>
      <c r="G729" t="inlineStr">
        <is>
          <t>1. Visita</t>
        </is>
      </c>
      <c r="H729" t="n">
        <v>5</v>
      </c>
      <c r="I729" s="73" t="n">
        <v>957800</v>
      </c>
      <c r="J729" s="73" t="n">
        <v>5507350</v>
      </c>
      <c r="K729" s="73" t="n">
        <v>3500042</v>
      </c>
    </row>
    <row r="730">
      <c r="A730" t="n">
        <v>10480</v>
      </c>
      <c r="B730" s="72" t="n">
        <v>45541.025</v>
      </c>
      <c r="C730" t="inlineStr">
        <is>
          <t>Valle del Cauca</t>
        </is>
      </c>
      <c r="D730" t="inlineStr">
        <is>
          <t>Cali</t>
        </is>
      </c>
      <c r="E730" t="inlineStr">
        <is>
          <t>Deportes</t>
        </is>
      </c>
      <c r="F730" t="inlineStr">
        <is>
          <t>Web</t>
        </is>
      </c>
      <c r="G730" t="inlineStr">
        <is>
          <t>2. Carrito</t>
        </is>
      </c>
      <c r="H730" t="n">
        <v>4</v>
      </c>
      <c r="I730" s="73" t="n">
        <v>175900</v>
      </c>
      <c r="J730" s="73" t="n">
        <v>809140</v>
      </c>
      <c r="K730" s="73" t="n">
        <v>562140</v>
      </c>
    </row>
    <row r="731">
      <c r="A731" t="n">
        <v>10720</v>
      </c>
      <c r="B731" s="72" t="n">
        <v>45541.40763888889</v>
      </c>
      <c r="C731" t="inlineStr">
        <is>
          <t>Antioquia</t>
        </is>
      </c>
      <c r="D731" t="inlineStr">
        <is>
          <t>Medellín</t>
        </is>
      </c>
      <c r="E731" t="inlineStr">
        <is>
          <t>Hogar</t>
        </is>
      </c>
      <c r="F731" t="inlineStr">
        <is>
          <t>Tienda física</t>
        </is>
      </c>
      <c r="G731" t="inlineStr">
        <is>
          <t>1. Visita</t>
        </is>
      </c>
      <c r="H731" t="n">
        <v>4</v>
      </c>
      <c r="I731" s="73" t="n">
        <v>235100</v>
      </c>
      <c r="J731" s="73" t="n">
        <v>1081460</v>
      </c>
      <c r="K731" s="73" t="n">
        <v>600579</v>
      </c>
    </row>
    <row r="732">
      <c r="A732" t="n">
        <v>10204</v>
      </c>
      <c r="B732" s="72" t="n">
        <v>45541.47222222222</v>
      </c>
      <c r="C732" t="inlineStr">
        <is>
          <t>Antioquia</t>
        </is>
      </c>
      <c r="D732" t="inlineStr">
        <is>
          <t>Medellín</t>
        </is>
      </c>
      <c r="E732" t="inlineStr">
        <is>
          <t>Deportes</t>
        </is>
      </c>
      <c r="F732" t="inlineStr">
        <is>
          <t>Web</t>
        </is>
      </c>
      <c r="G732" t="inlineStr">
        <is>
          <t>4. Compra</t>
        </is>
      </c>
      <c r="H732" t="n">
        <v>2</v>
      </c>
      <c r="I732" s="73" t="n">
        <v>139700</v>
      </c>
      <c r="J732" s="73" t="n">
        <v>321310</v>
      </c>
      <c r="K732" s="73" t="n">
        <v>214792</v>
      </c>
    </row>
    <row r="733">
      <c r="A733" t="n">
        <v>10961</v>
      </c>
      <c r="B733" s="72" t="n">
        <v>45541.55208333334</v>
      </c>
      <c r="C733" t="inlineStr">
        <is>
          <t>Antioquia</t>
        </is>
      </c>
      <c r="D733" t="inlineStr">
        <is>
          <t>Medellín</t>
        </is>
      </c>
      <c r="E733" t="inlineStr">
        <is>
          <t>Deportes</t>
        </is>
      </c>
      <c r="F733" t="inlineStr">
        <is>
          <t>Marketplace</t>
        </is>
      </c>
      <c r="G733" t="inlineStr">
        <is>
          <t>1. Visita</t>
        </is>
      </c>
      <c r="H733" t="n">
        <v>1</v>
      </c>
      <c r="I733" s="73" t="n">
        <v>200200</v>
      </c>
      <c r="J733" s="73" t="n">
        <v>230230</v>
      </c>
      <c r="K733" s="73" t="n">
        <v>168810</v>
      </c>
    </row>
    <row r="734">
      <c r="A734" t="n">
        <v>12260</v>
      </c>
      <c r="B734" s="72" t="n">
        <v>45541.62361111111</v>
      </c>
      <c r="C734" t="inlineStr">
        <is>
          <t>Risaralda</t>
        </is>
      </c>
      <c r="D734" t="inlineStr">
        <is>
          <t>Pereira</t>
        </is>
      </c>
      <c r="E734" t="inlineStr">
        <is>
          <t>Juguetes</t>
        </is>
      </c>
      <c r="F734" t="inlineStr">
        <is>
          <t>Tienda física</t>
        </is>
      </c>
      <c r="G734" t="inlineStr">
        <is>
          <t>2. Carrito</t>
        </is>
      </c>
      <c r="H734" t="n">
        <v>2</v>
      </c>
      <c r="I734" s="73" t="n">
        <v>85800</v>
      </c>
      <c r="J734" s="73" t="n">
        <v>197340</v>
      </c>
      <c r="K734" s="73" t="n">
        <v>114296</v>
      </c>
    </row>
    <row r="735">
      <c r="A735" t="n">
        <v>10714</v>
      </c>
      <c r="B735" s="72" t="n">
        <v>45541.63611111111</v>
      </c>
      <c r="C735" t="inlineStr">
        <is>
          <t>Bogotá D.C.</t>
        </is>
      </c>
      <c r="D735" t="inlineStr">
        <is>
          <t>Bogotá</t>
        </is>
      </c>
      <c r="E735" t="inlineStr">
        <is>
          <t>Hogar</t>
        </is>
      </c>
      <c r="F735" t="inlineStr">
        <is>
          <t>Web</t>
        </is>
      </c>
      <c r="G735" t="inlineStr">
        <is>
          <t>1. Visita</t>
        </is>
      </c>
      <c r="H735" t="n">
        <v>5</v>
      </c>
      <c r="I735" s="73" t="n">
        <v>224700</v>
      </c>
      <c r="J735" s="73" t="n">
        <v>1292025</v>
      </c>
      <c r="K735" s="73" t="n">
        <v>742981</v>
      </c>
    </row>
    <row r="736">
      <c r="A736" t="n">
        <v>10329</v>
      </c>
      <c r="B736" s="72" t="n">
        <v>45541.78819444445</v>
      </c>
      <c r="C736" t="inlineStr">
        <is>
          <t>Bolívar</t>
        </is>
      </c>
      <c r="D736" t="inlineStr">
        <is>
          <t>Cartagena</t>
        </is>
      </c>
      <c r="E736" t="inlineStr">
        <is>
          <t>Hogar</t>
        </is>
      </c>
      <c r="F736" t="inlineStr">
        <is>
          <t>Web</t>
        </is>
      </c>
      <c r="G736" t="inlineStr">
        <is>
          <t>2. Carrito</t>
        </is>
      </c>
      <c r="H736" t="n">
        <v>4</v>
      </c>
      <c r="I736" s="73" t="n">
        <v>161700</v>
      </c>
      <c r="J736" s="73" t="n">
        <v>743820</v>
      </c>
      <c r="K736" s="73" t="n">
        <v>456923</v>
      </c>
    </row>
    <row r="737">
      <c r="A737" t="n">
        <v>10323</v>
      </c>
      <c r="B737" s="72" t="n">
        <v>45541.81111111111</v>
      </c>
      <c r="C737" t="inlineStr">
        <is>
          <t>Antioquia</t>
        </is>
      </c>
      <c r="D737" t="inlineStr">
        <is>
          <t>Medellín</t>
        </is>
      </c>
      <c r="E737" t="inlineStr">
        <is>
          <t>Moda</t>
        </is>
      </c>
      <c r="F737" t="inlineStr">
        <is>
          <t>App</t>
        </is>
      </c>
      <c r="G737" t="inlineStr">
        <is>
          <t>3. Pago</t>
        </is>
      </c>
      <c r="H737" t="n">
        <v>3</v>
      </c>
      <c r="I737" s="73" t="n">
        <v>120300</v>
      </c>
      <c r="J737" s="73" t="n">
        <v>415035</v>
      </c>
      <c r="K737" s="73" t="n">
        <v>257344</v>
      </c>
    </row>
    <row r="738">
      <c r="A738" t="n">
        <v>11589</v>
      </c>
      <c r="B738" s="72" t="n">
        <v>45541.93125</v>
      </c>
      <c r="C738" t="inlineStr">
        <is>
          <t>Meta</t>
        </is>
      </c>
      <c r="D738" t="inlineStr">
        <is>
          <t>Villavicencio</t>
        </is>
      </c>
      <c r="E738" t="inlineStr">
        <is>
          <t>Deportes</t>
        </is>
      </c>
      <c r="F738" t="inlineStr">
        <is>
          <t>Web</t>
        </is>
      </c>
      <c r="G738" t="inlineStr">
        <is>
          <t>2. Carrito</t>
        </is>
      </c>
      <c r="H738" t="n">
        <v>1</v>
      </c>
      <c r="I738" s="73" t="n">
        <v>139300</v>
      </c>
      <c r="J738" s="73" t="n">
        <v>160195</v>
      </c>
      <c r="K738" s="73" t="n">
        <v>118585</v>
      </c>
    </row>
    <row r="739">
      <c r="A739" t="n">
        <v>10982</v>
      </c>
      <c r="B739" s="72" t="n">
        <v>45542.35763888889</v>
      </c>
      <c r="C739" t="inlineStr">
        <is>
          <t>Antioquia</t>
        </is>
      </c>
      <c r="D739" t="inlineStr">
        <is>
          <t>Medellín</t>
        </is>
      </c>
      <c r="E739" t="inlineStr">
        <is>
          <t>Juguetes</t>
        </is>
      </c>
      <c r="F739" t="inlineStr">
        <is>
          <t>App</t>
        </is>
      </c>
      <c r="G739" t="inlineStr">
        <is>
          <t>1. Visita</t>
        </is>
      </c>
      <c r="H739" t="n">
        <v>5</v>
      </c>
      <c r="I739" s="73" t="n">
        <v>92600</v>
      </c>
      <c r="J739" s="73" t="n">
        <v>532450</v>
      </c>
      <c r="K739" s="73" t="n">
        <v>294604</v>
      </c>
    </row>
    <row r="740">
      <c r="A740" t="n">
        <v>11668</v>
      </c>
      <c r="B740" s="72" t="n">
        <v>45542.46041666667</v>
      </c>
      <c r="C740" t="inlineStr">
        <is>
          <t>Antioquia</t>
        </is>
      </c>
      <c r="D740" t="inlineStr">
        <is>
          <t>Medellín</t>
        </is>
      </c>
      <c r="E740" t="inlineStr">
        <is>
          <t>Hogar</t>
        </is>
      </c>
      <c r="F740" t="inlineStr">
        <is>
          <t>App</t>
        </is>
      </c>
      <c r="G740" t="inlineStr">
        <is>
          <t>1. Visita</t>
        </is>
      </c>
      <c r="H740" t="n">
        <v>4</v>
      </c>
      <c r="I740" s="73" t="n">
        <v>169100</v>
      </c>
      <c r="J740" s="73" t="n">
        <v>777860</v>
      </c>
      <c r="K740" s="73" t="n">
        <v>495745</v>
      </c>
    </row>
    <row r="741">
      <c r="A741" t="n">
        <v>10275</v>
      </c>
      <c r="B741" s="72" t="n">
        <v>45542.51180555556</v>
      </c>
      <c r="C741" t="inlineStr">
        <is>
          <t>Valle del Cauca</t>
        </is>
      </c>
      <c r="D741" t="inlineStr">
        <is>
          <t>Cali</t>
        </is>
      </c>
      <c r="E741" t="inlineStr">
        <is>
          <t>Tecnología</t>
        </is>
      </c>
      <c r="F741" t="inlineStr">
        <is>
          <t>App</t>
        </is>
      </c>
      <c r="G741" t="inlineStr">
        <is>
          <t>3. Pago</t>
        </is>
      </c>
      <c r="H741" t="n">
        <v>5</v>
      </c>
      <c r="I741" s="73" t="n">
        <v>599100</v>
      </c>
      <c r="J741" s="73" t="n">
        <v>3444825</v>
      </c>
      <c r="K741" s="73" t="n">
        <v>2281477</v>
      </c>
    </row>
    <row r="742">
      <c r="A742" t="n">
        <v>10020</v>
      </c>
      <c r="B742" s="72" t="n">
        <v>45542.52013888889</v>
      </c>
      <c r="C742" t="inlineStr">
        <is>
          <t>Atlántico</t>
        </is>
      </c>
      <c r="D742" t="inlineStr">
        <is>
          <t>Barranquilla</t>
        </is>
      </c>
      <c r="E742" t="inlineStr">
        <is>
          <t>Belleza</t>
        </is>
      </c>
      <c r="F742" t="inlineStr">
        <is>
          <t>App</t>
        </is>
      </c>
      <c r="G742" t="inlineStr">
        <is>
          <t>1. Visita</t>
        </is>
      </c>
      <c r="H742" t="n">
        <v>4</v>
      </c>
      <c r="I742" s="73" t="n">
        <v>59100</v>
      </c>
      <c r="J742" s="73" t="n">
        <v>271860</v>
      </c>
      <c r="K742" s="73" t="n">
        <v>189470</v>
      </c>
    </row>
    <row r="743">
      <c r="A743" t="n">
        <v>11393</v>
      </c>
      <c r="B743" s="72" t="n">
        <v>45542.89583333334</v>
      </c>
      <c r="C743" t="inlineStr">
        <is>
          <t>Atlántico</t>
        </is>
      </c>
      <c r="D743" t="inlineStr">
        <is>
          <t>Barranquilla</t>
        </is>
      </c>
      <c r="E743" t="inlineStr">
        <is>
          <t>Moda</t>
        </is>
      </c>
      <c r="F743" t="inlineStr">
        <is>
          <t>Web</t>
        </is>
      </c>
      <c r="G743" t="inlineStr">
        <is>
          <t>2. Carrito</t>
        </is>
      </c>
      <c r="H743" t="n">
        <v>2</v>
      </c>
      <c r="I743" s="73" t="n">
        <v>104000</v>
      </c>
      <c r="J743" s="73" t="n">
        <v>239200</v>
      </c>
      <c r="K743" s="73" t="n">
        <v>174726</v>
      </c>
    </row>
    <row r="744">
      <c r="A744" t="n">
        <v>10082</v>
      </c>
      <c r="B744" s="72" t="n">
        <v>45543.53125</v>
      </c>
      <c r="C744" t="inlineStr">
        <is>
          <t>Bogotá D.C.</t>
        </is>
      </c>
      <c r="D744" t="inlineStr">
        <is>
          <t>Bogotá</t>
        </is>
      </c>
      <c r="E744" t="inlineStr">
        <is>
          <t>Juguetes</t>
        </is>
      </c>
      <c r="F744" t="inlineStr">
        <is>
          <t>Tienda física</t>
        </is>
      </c>
      <c r="G744" t="inlineStr">
        <is>
          <t>3. Pago</t>
        </is>
      </c>
      <c r="H744" t="n">
        <v>1</v>
      </c>
      <c r="I744" s="73" t="n">
        <v>95500</v>
      </c>
      <c r="J744" s="73" t="n">
        <v>109825</v>
      </c>
      <c r="K744" s="73" t="n">
        <v>80915</v>
      </c>
    </row>
    <row r="745">
      <c r="A745" t="n">
        <v>12049</v>
      </c>
      <c r="B745" s="72" t="n">
        <v>45543.70277777778</v>
      </c>
      <c r="C745" t="inlineStr">
        <is>
          <t>Bogotá D.C.</t>
        </is>
      </c>
      <c r="D745" t="inlineStr">
        <is>
          <t>Bogotá</t>
        </is>
      </c>
      <c r="E745" t="inlineStr">
        <is>
          <t>Moda</t>
        </is>
      </c>
      <c r="F745" t="inlineStr">
        <is>
          <t>App</t>
        </is>
      </c>
      <c r="G745" t="inlineStr">
        <is>
          <t>2. Carrito</t>
        </is>
      </c>
      <c r="H745" t="n">
        <v>4</v>
      </c>
      <c r="I745" s="73" t="n">
        <v>148200</v>
      </c>
      <c r="J745" s="73" t="n">
        <v>681720</v>
      </c>
      <c r="K745" s="73" t="n">
        <v>434977</v>
      </c>
    </row>
    <row r="746">
      <c r="A746" t="n">
        <v>12375</v>
      </c>
      <c r="B746" s="72" t="n">
        <v>45543.88194444445</v>
      </c>
      <c r="C746" t="inlineStr">
        <is>
          <t>Atlántico</t>
        </is>
      </c>
      <c r="D746" t="inlineStr">
        <is>
          <t>Barranquilla</t>
        </is>
      </c>
      <c r="E746" t="inlineStr">
        <is>
          <t>Tecnología</t>
        </is>
      </c>
      <c r="F746" t="inlineStr">
        <is>
          <t>Web</t>
        </is>
      </c>
      <c r="G746" t="inlineStr">
        <is>
          <t>1. Visita</t>
        </is>
      </c>
      <c r="H746" t="n">
        <v>4</v>
      </c>
      <c r="I746" s="73" t="n">
        <v>982300</v>
      </c>
      <c r="J746" s="73" t="n">
        <v>4518580</v>
      </c>
      <c r="K746" s="73" t="n">
        <v>2903134</v>
      </c>
    </row>
    <row r="747">
      <c r="A747" t="n">
        <v>10475</v>
      </c>
      <c r="B747" s="72" t="n">
        <v>45543.90694444445</v>
      </c>
      <c r="C747" t="inlineStr">
        <is>
          <t>Nariño</t>
        </is>
      </c>
      <c r="D747" t="inlineStr">
        <is>
          <t>Pasto</t>
        </is>
      </c>
      <c r="E747" t="inlineStr">
        <is>
          <t>Deportes</t>
        </is>
      </c>
      <c r="F747" t="inlineStr">
        <is>
          <t>App</t>
        </is>
      </c>
      <c r="G747" t="inlineStr">
        <is>
          <t>2. Carrito</t>
        </is>
      </c>
      <c r="H747" t="n">
        <v>1</v>
      </c>
      <c r="I747" s="73" t="n">
        <v>124300</v>
      </c>
      <c r="J747" s="73" t="n">
        <v>142945</v>
      </c>
      <c r="K747" s="73" t="n">
        <v>80056</v>
      </c>
    </row>
    <row r="748">
      <c r="A748" t="n">
        <v>10737</v>
      </c>
      <c r="B748" s="72" t="n">
        <v>45544.30694444444</v>
      </c>
      <c r="C748" t="inlineStr">
        <is>
          <t>Bogotá D.C.</t>
        </is>
      </c>
      <c r="D748" t="inlineStr">
        <is>
          <t>Bogotá</t>
        </is>
      </c>
      <c r="E748" t="inlineStr">
        <is>
          <t>Belleza</t>
        </is>
      </c>
      <c r="F748" t="inlineStr">
        <is>
          <t>App</t>
        </is>
      </c>
      <c r="G748" t="inlineStr">
        <is>
          <t>1. Visita</t>
        </is>
      </c>
      <c r="H748" t="n">
        <v>5</v>
      </c>
      <c r="I748" s="73" t="n">
        <v>90300</v>
      </c>
      <c r="J748" s="73" t="n">
        <v>451500</v>
      </c>
      <c r="K748" s="73" t="n">
        <v>277534</v>
      </c>
    </row>
    <row r="749">
      <c r="A749" t="n">
        <v>11408</v>
      </c>
      <c r="B749" s="72" t="n">
        <v>45544.3375</v>
      </c>
      <c r="C749" t="inlineStr">
        <is>
          <t>Risaralda</t>
        </is>
      </c>
      <c r="D749" t="inlineStr">
        <is>
          <t>Pereira</t>
        </is>
      </c>
      <c r="E749" t="inlineStr">
        <is>
          <t>Juguetes</t>
        </is>
      </c>
      <c r="F749" t="inlineStr">
        <is>
          <t>Web</t>
        </is>
      </c>
      <c r="G749" t="inlineStr">
        <is>
          <t>1. Visita</t>
        </is>
      </c>
      <c r="H749" t="n">
        <v>5</v>
      </c>
      <c r="I749" s="73" t="n">
        <v>86800</v>
      </c>
      <c r="J749" s="73" t="n">
        <v>434000</v>
      </c>
      <c r="K749" s="73" t="n">
        <v>254496</v>
      </c>
    </row>
    <row r="750">
      <c r="A750" t="n">
        <v>11421</v>
      </c>
      <c r="B750" s="72" t="n">
        <v>45544.40972222222</v>
      </c>
      <c r="C750" t="inlineStr">
        <is>
          <t>Atlántico</t>
        </is>
      </c>
      <c r="D750" t="inlineStr">
        <is>
          <t>Barranquilla</t>
        </is>
      </c>
      <c r="E750" t="inlineStr">
        <is>
          <t>Juguetes</t>
        </is>
      </c>
      <c r="F750" t="inlineStr">
        <is>
          <t>Marketplace</t>
        </is>
      </c>
      <c r="G750" t="inlineStr">
        <is>
          <t>1. Visita</t>
        </is>
      </c>
      <c r="H750" t="n">
        <v>1</v>
      </c>
      <c r="I750" s="73" t="n">
        <v>70700</v>
      </c>
      <c r="J750" s="73" t="n">
        <v>70700</v>
      </c>
      <c r="K750" s="73" t="n">
        <v>44755</v>
      </c>
    </row>
    <row r="751">
      <c r="A751" t="n">
        <v>10314</v>
      </c>
      <c r="B751" s="72" t="n">
        <v>45544.49930555555</v>
      </c>
      <c r="C751" t="inlineStr">
        <is>
          <t>Antioquia</t>
        </is>
      </c>
      <c r="D751" t="inlineStr">
        <is>
          <t>Medellín</t>
        </is>
      </c>
      <c r="E751" t="inlineStr">
        <is>
          <t>Hogar</t>
        </is>
      </c>
      <c r="F751" t="inlineStr">
        <is>
          <t>Web</t>
        </is>
      </c>
      <c r="G751" t="inlineStr">
        <is>
          <t>1. Visita</t>
        </is>
      </c>
      <c r="H751" t="n">
        <v>4</v>
      </c>
      <c r="I751" s="73" t="n">
        <v>257100</v>
      </c>
      <c r="J751" s="73" t="n">
        <v>1028400</v>
      </c>
      <c r="K751" s="73" t="n">
        <v>704889</v>
      </c>
    </row>
    <row r="752">
      <c r="A752" t="n">
        <v>10601</v>
      </c>
      <c r="B752" s="72" t="n">
        <v>45544.52361111111</v>
      </c>
      <c r="C752" t="inlineStr">
        <is>
          <t>Antioquia</t>
        </is>
      </c>
      <c r="D752" t="inlineStr">
        <is>
          <t>Medellín</t>
        </is>
      </c>
      <c r="E752" t="inlineStr">
        <is>
          <t>Hogar</t>
        </is>
      </c>
      <c r="F752" t="inlineStr">
        <is>
          <t>Web</t>
        </is>
      </c>
      <c r="G752" t="inlineStr">
        <is>
          <t>1. Visita</t>
        </is>
      </c>
      <c r="H752" t="n">
        <v>2</v>
      </c>
      <c r="I752" s="73" t="n">
        <v>266700</v>
      </c>
      <c r="J752" s="73" t="n">
        <v>533400</v>
      </c>
      <c r="K752" s="73" t="n">
        <v>386894</v>
      </c>
    </row>
    <row r="753">
      <c r="A753" t="n">
        <v>11969</v>
      </c>
      <c r="B753" s="72" t="n">
        <v>45545.425</v>
      </c>
      <c r="C753" t="inlineStr">
        <is>
          <t>Antioquia</t>
        </is>
      </c>
      <c r="D753" t="inlineStr">
        <is>
          <t>Medellín</t>
        </is>
      </c>
      <c r="E753" t="inlineStr">
        <is>
          <t>Deportes</t>
        </is>
      </c>
      <c r="F753" t="inlineStr">
        <is>
          <t>Web</t>
        </is>
      </c>
      <c r="G753" t="inlineStr">
        <is>
          <t>1. Visita</t>
        </is>
      </c>
      <c r="H753" t="n">
        <v>3</v>
      </c>
      <c r="I753" s="73" t="n">
        <v>126200</v>
      </c>
      <c r="J753" s="73" t="n">
        <v>378600</v>
      </c>
      <c r="K753" s="73" t="n">
        <v>249461</v>
      </c>
    </row>
    <row r="754">
      <c r="A754" t="n">
        <v>11332</v>
      </c>
      <c r="B754" s="72" t="n">
        <v>45545.46944444445</v>
      </c>
      <c r="C754" t="inlineStr">
        <is>
          <t>Huila</t>
        </is>
      </c>
      <c r="D754" t="inlineStr">
        <is>
          <t>Neiva</t>
        </is>
      </c>
      <c r="E754" t="inlineStr">
        <is>
          <t>Moda</t>
        </is>
      </c>
      <c r="F754" t="inlineStr">
        <is>
          <t>Web</t>
        </is>
      </c>
      <c r="G754" t="inlineStr">
        <is>
          <t>1. Visita</t>
        </is>
      </c>
      <c r="H754" t="n">
        <v>2</v>
      </c>
      <c r="I754" s="73" t="n">
        <v>144800</v>
      </c>
      <c r="J754" s="73" t="n">
        <v>289600</v>
      </c>
      <c r="K754" s="73" t="n">
        <v>209978</v>
      </c>
    </row>
    <row r="755">
      <c r="A755" t="n">
        <v>11844</v>
      </c>
      <c r="B755" s="72" t="n">
        <v>45545.71458333333</v>
      </c>
      <c r="C755" t="inlineStr">
        <is>
          <t>Antioquia</t>
        </is>
      </c>
      <c r="D755" t="inlineStr">
        <is>
          <t>Medellín</t>
        </is>
      </c>
      <c r="E755" t="inlineStr">
        <is>
          <t>Belleza</t>
        </is>
      </c>
      <c r="F755" t="inlineStr">
        <is>
          <t>Web</t>
        </is>
      </c>
      <c r="G755" t="inlineStr">
        <is>
          <t>1. Visita</t>
        </is>
      </c>
      <c r="H755" t="n">
        <v>3</v>
      </c>
      <c r="I755" s="73" t="n">
        <v>89500</v>
      </c>
      <c r="J755" s="73" t="n">
        <v>268500</v>
      </c>
      <c r="K755" s="73" t="n">
        <v>187231</v>
      </c>
    </row>
    <row r="756">
      <c r="A756" t="n">
        <v>11627</v>
      </c>
      <c r="B756" s="72" t="n">
        <v>45545.74861111111</v>
      </c>
      <c r="C756" t="inlineStr">
        <is>
          <t>Antioquia</t>
        </is>
      </c>
      <c r="D756" t="inlineStr">
        <is>
          <t>Medellín</t>
        </is>
      </c>
      <c r="E756" t="inlineStr">
        <is>
          <t>Hogar</t>
        </is>
      </c>
      <c r="F756" t="inlineStr">
        <is>
          <t>Tienda física</t>
        </is>
      </c>
      <c r="G756" t="inlineStr">
        <is>
          <t>2. Carrito</t>
        </is>
      </c>
      <c r="H756" t="n">
        <v>4</v>
      </c>
      <c r="I756" s="73" t="n">
        <v>158600</v>
      </c>
      <c r="J756" s="73" t="n">
        <v>634400</v>
      </c>
      <c r="K756" s="73" t="n">
        <v>446988</v>
      </c>
    </row>
    <row r="757">
      <c r="A757" t="n">
        <v>12198</v>
      </c>
      <c r="B757" s="72" t="n">
        <v>45545.95555555556</v>
      </c>
      <c r="C757" t="inlineStr">
        <is>
          <t>Huila</t>
        </is>
      </c>
      <c r="D757" t="inlineStr">
        <is>
          <t>Neiva</t>
        </is>
      </c>
      <c r="E757" t="inlineStr">
        <is>
          <t>Tecnología</t>
        </is>
      </c>
      <c r="F757" t="inlineStr">
        <is>
          <t>Web</t>
        </is>
      </c>
      <c r="G757" t="inlineStr">
        <is>
          <t>1. Visita</t>
        </is>
      </c>
      <c r="H757" t="n">
        <v>5</v>
      </c>
      <c r="I757" s="73" t="n">
        <v>872700</v>
      </c>
      <c r="J757" s="73" t="n">
        <v>4363500</v>
      </c>
      <c r="K757" s="73" t="n">
        <v>2971132</v>
      </c>
    </row>
    <row r="758">
      <c r="A758" t="n">
        <v>11188</v>
      </c>
      <c r="B758" s="72" t="n">
        <v>45546.52291666667</v>
      </c>
      <c r="C758" t="inlineStr">
        <is>
          <t>Bogotá D.C.</t>
        </is>
      </c>
      <c r="D758" t="inlineStr">
        <is>
          <t>Bogotá</t>
        </is>
      </c>
      <c r="E758" t="inlineStr">
        <is>
          <t>Hogar</t>
        </is>
      </c>
      <c r="F758" t="inlineStr">
        <is>
          <t>Web</t>
        </is>
      </c>
      <c r="G758" t="inlineStr">
        <is>
          <t>1. Visita</t>
        </is>
      </c>
      <c r="H758" t="n">
        <v>1</v>
      </c>
      <c r="I758" s="73" t="n">
        <v>240300</v>
      </c>
      <c r="J758" s="73" t="n">
        <v>240300</v>
      </c>
      <c r="K758" s="73" t="n">
        <v>133296</v>
      </c>
    </row>
    <row r="759">
      <c r="A759" t="n">
        <v>10205</v>
      </c>
      <c r="B759" s="72" t="n">
        <v>45546.54930555556</v>
      </c>
      <c r="C759" t="inlineStr">
        <is>
          <t>Bogotá D.C.</t>
        </is>
      </c>
      <c r="D759" t="inlineStr">
        <is>
          <t>Bogotá</t>
        </is>
      </c>
      <c r="E759" t="inlineStr">
        <is>
          <t>Tecnología</t>
        </is>
      </c>
      <c r="F759" t="inlineStr">
        <is>
          <t>App</t>
        </is>
      </c>
      <c r="G759" t="inlineStr">
        <is>
          <t>4. Compra</t>
        </is>
      </c>
      <c r="H759" t="n">
        <v>1</v>
      </c>
      <c r="I759" s="73" t="n">
        <v>833900</v>
      </c>
      <c r="J759" s="73" t="n">
        <v>833900</v>
      </c>
      <c r="K759" s="73" t="n">
        <v>530899</v>
      </c>
    </row>
    <row r="760">
      <c r="A760" t="n">
        <v>11154</v>
      </c>
      <c r="B760" s="72" t="n">
        <v>45546.70486111111</v>
      </c>
      <c r="C760" t="inlineStr">
        <is>
          <t>Valle del Cauca</t>
        </is>
      </c>
      <c r="D760" t="inlineStr">
        <is>
          <t>Cali</t>
        </is>
      </c>
      <c r="E760" t="inlineStr">
        <is>
          <t>Moda</t>
        </is>
      </c>
      <c r="F760" t="inlineStr">
        <is>
          <t>Web</t>
        </is>
      </c>
      <c r="G760" t="inlineStr">
        <is>
          <t>2. Carrito</t>
        </is>
      </c>
      <c r="H760" t="n">
        <v>1</v>
      </c>
      <c r="I760" s="73" t="n">
        <v>142400</v>
      </c>
      <c r="J760" s="73" t="n">
        <v>142400</v>
      </c>
      <c r="K760" s="73" t="n">
        <v>87861</v>
      </c>
    </row>
    <row r="761">
      <c r="A761" t="n">
        <v>10763</v>
      </c>
      <c r="B761" s="72" t="n">
        <v>45546.74027777778</v>
      </c>
      <c r="C761" t="inlineStr">
        <is>
          <t>Bogotá D.C.</t>
        </is>
      </c>
      <c r="D761" t="inlineStr">
        <is>
          <t>Bogotá</t>
        </is>
      </c>
      <c r="E761" t="inlineStr">
        <is>
          <t>Belleza</t>
        </is>
      </c>
      <c r="F761" t="inlineStr">
        <is>
          <t>Web</t>
        </is>
      </c>
      <c r="G761" t="inlineStr">
        <is>
          <t>1. Visita</t>
        </is>
      </c>
      <c r="H761" t="n">
        <v>1</v>
      </c>
      <c r="I761" s="73" t="n">
        <v>64700</v>
      </c>
      <c r="J761" s="73" t="n">
        <v>64700</v>
      </c>
      <c r="K761" s="73" t="n">
        <v>40895</v>
      </c>
    </row>
    <row r="762">
      <c r="A762" t="n">
        <v>10896</v>
      </c>
      <c r="B762" s="72" t="n">
        <v>45546.76319444444</v>
      </c>
      <c r="C762" t="inlineStr">
        <is>
          <t>Santander</t>
        </is>
      </c>
      <c r="D762" t="inlineStr">
        <is>
          <t>Bucaramanga</t>
        </is>
      </c>
      <c r="E762" t="inlineStr">
        <is>
          <t>Hogar</t>
        </is>
      </c>
      <c r="F762" t="inlineStr">
        <is>
          <t>Web</t>
        </is>
      </c>
      <c r="G762" t="inlineStr">
        <is>
          <t>3. Pago</t>
        </is>
      </c>
      <c r="H762" t="n">
        <v>1</v>
      </c>
      <c r="I762" s="73" t="n">
        <v>263000</v>
      </c>
      <c r="J762" s="73" t="n">
        <v>263000</v>
      </c>
      <c r="K762" s="73" t="n">
        <v>173750</v>
      </c>
    </row>
    <row r="763">
      <c r="A763" t="n">
        <v>12196</v>
      </c>
      <c r="B763" s="72" t="n">
        <v>45546.77291666667</v>
      </c>
      <c r="C763" t="inlineStr">
        <is>
          <t>Bogotá D.C.</t>
        </is>
      </c>
      <c r="D763" t="inlineStr">
        <is>
          <t>Bogotá</t>
        </is>
      </c>
      <c r="E763" t="inlineStr">
        <is>
          <t>Juguetes</t>
        </is>
      </c>
      <c r="F763" t="inlineStr">
        <is>
          <t>Web</t>
        </is>
      </c>
      <c r="G763" t="inlineStr">
        <is>
          <t>2. Carrito</t>
        </is>
      </c>
      <c r="H763" t="n">
        <v>4</v>
      </c>
      <c r="I763" s="73" t="n">
        <v>81900</v>
      </c>
      <c r="J763" s="73" t="n">
        <v>327600</v>
      </c>
      <c r="K763" s="73" t="n">
        <v>189019</v>
      </c>
    </row>
    <row r="764">
      <c r="A764" t="n">
        <v>11534</v>
      </c>
      <c r="B764" s="72" t="n">
        <v>45547.38402777778</v>
      </c>
      <c r="C764" t="inlineStr">
        <is>
          <t>Atlántico</t>
        </is>
      </c>
      <c r="D764" t="inlineStr">
        <is>
          <t>Barranquilla</t>
        </is>
      </c>
      <c r="E764" t="inlineStr">
        <is>
          <t>Deportes</t>
        </is>
      </c>
      <c r="F764" t="inlineStr">
        <is>
          <t>Tienda física</t>
        </is>
      </c>
      <c r="G764" t="inlineStr">
        <is>
          <t>4. Compra</t>
        </is>
      </c>
      <c r="H764" t="n">
        <v>2</v>
      </c>
      <c r="I764" s="73" t="n">
        <v>157900</v>
      </c>
      <c r="J764" s="73" t="n">
        <v>315800</v>
      </c>
      <c r="K764" s="73" t="n">
        <v>217553</v>
      </c>
    </row>
    <row r="765">
      <c r="A765" t="n">
        <v>11182</v>
      </c>
      <c r="B765" s="72" t="n">
        <v>45547.3875</v>
      </c>
      <c r="C765" t="inlineStr">
        <is>
          <t>Antioquia</t>
        </is>
      </c>
      <c r="D765" t="inlineStr">
        <is>
          <t>Medellín</t>
        </is>
      </c>
      <c r="E765" t="inlineStr">
        <is>
          <t>Tecnología</t>
        </is>
      </c>
      <c r="F765" t="inlineStr">
        <is>
          <t>Tienda física</t>
        </is>
      </c>
      <c r="G765" t="inlineStr">
        <is>
          <t>2. Carrito</t>
        </is>
      </c>
      <c r="H765" t="n">
        <v>2</v>
      </c>
      <c r="I765" s="73" t="n">
        <v>740400</v>
      </c>
      <c r="J765" s="73" t="n">
        <v>1480800</v>
      </c>
      <c r="K765" s="73" t="n">
        <v>923779</v>
      </c>
    </row>
    <row r="766">
      <c r="A766" t="n">
        <v>10352</v>
      </c>
      <c r="B766" s="72" t="n">
        <v>45547.40972222222</v>
      </c>
      <c r="C766" t="inlineStr">
        <is>
          <t>Bolívar</t>
        </is>
      </c>
      <c r="D766" t="inlineStr">
        <is>
          <t>Cartagena</t>
        </is>
      </c>
      <c r="E766" t="inlineStr">
        <is>
          <t>Hogar</t>
        </is>
      </c>
      <c r="F766" t="inlineStr">
        <is>
          <t>App</t>
        </is>
      </c>
      <c r="G766" t="inlineStr">
        <is>
          <t>2. Carrito</t>
        </is>
      </c>
      <c r="H766" t="n">
        <v>1</v>
      </c>
      <c r="I766" s="73" t="n">
        <v>234700</v>
      </c>
      <c r="J766" s="73" t="n">
        <v>234700</v>
      </c>
      <c r="K766" s="73" t="n">
        <v>135525</v>
      </c>
    </row>
    <row r="767">
      <c r="A767" t="n">
        <v>11284</v>
      </c>
      <c r="B767" s="72" t="n">
        <v>45547.49097222222</v>
      </c>
      <c r="C767" t="inlineStr">
        <is>
          <t>Valle del Cauca</t>
        </is>
      </c>
      <c r="D767" t="inlineStr">
        <is>
          <t>Cali</t>
        </is>
      </c>
      <c r="E767" t="inlineStr">
        <is>
          <t>Deportes</t>
        </is>
      </c>
      <c r="F767" t="inlineStr">
        <is>
          <t>Web</t>
        </is>
      </c>
      <c r="G767" t="inlineStr">
        <is>
          <t>2. Carrito</t>
        </is>
      </c>
      <c r="H767" t="n">
        <v>4</v>
      </c>
      <c r="I767" s="73" t="n">
        <v>206100</v>
      </c>
      <c r="J767" s="73" t="n">
        <v>824400</v>
      </c>
      <c r="K767" s="73" t="n">
        <v>583503</v>
      </c>
    </row>
    <row r="768">
      <c r="A768" t="n">
        <v>11949</v>
      </c>
      <c r="B768" s="72" t="n">
        <v>45547.62847222222</v>
      </c>
      <c r="C768" t="inlineStr">
        <is>
          <t>Bogotá D.C.</t>
        </is>
      </c>
      <c r="D768" t="inlineStr">
        <is>
          <t>Bogotá</t>
        </is>
      </c>
      <c r="E768" t="inlineStr">
        <is>
          <t>Juguetes</t>
        </is>
      </c>
      <c r="F768" t="inlineStr">
        <is>
          <t>Tienda física</t>
        </is>
      </c>
      <c r="G768" t="inlineStr">
        <is>
          <t>1. Visita</t>
        </is>
      </c>
      <c r="H768" t="n">
        <v>2</v>
      </c>
      <c r="I768" s="73" t="n">
        <v>102700</v>
      </c>
      <c r="J768" s="73" t="n">
        <v>205400</v>
      </c>
      <c r="K768" s="73" t="n">
        <v>152356</v>
      </c>
    </row>
    <row r="769">
      <c r="A769" t="n">
        <v>12137</v>
      </c>
      <c r="B769" s="72" t="n">
        <v>45547.84513888889</v>
      </c>
      <c r="C769" t="inlineStr">
        <is>
          <t>Antioquia</t>
        </is>
      </c>
      <c r="D769" t="inlineStr">
        <is>
          <t>Medellín</t>
        </is>
      </c>
      <c r="E769" t="inlineStr">
        <is>
          <t>Tecnología</t>
        </is>
      </c>
      <c r="F769" t="inlineStr">
        <is>
          <t>App</t>
        </is>
      </c>
      <c r="G769" t="inlineStr">
        <is>
          <t>4. Compra</t>
        </is>
      </c>
      <c r="H769" t="n">
        <v>5</v>
      </c>
      <c r="I769" s="73" t="n">
        <v>844000</v>
      </c>
      <c r="J769" s="73" t="n">
        <v>4220000</v>
      </c>
      <c r="K769" s="73" t="n">
        <v>2970277</v>
      </c>
    </row>
    <row r="770">
      <c r="A770" t="n">
        <v>12370</v>
      </c>
      <c r="B770" s="72" t="n">
        <v>45547.97083333333</v>
      </c>
      <c r="C770" t="inlineStr">
        <is>
          <t>Bogotá D.C.</t>
        </is>
      </c>
      <c r="D770" t="inlineStr">
        <is>
          <t>Bogotá</t>
        </is>
      </c>
      <c r="E770" t="inlineStr">
        <is>
          <t>Juguetes</t>
        </is>
      </c>
      <c r="F770" t="inlineStr">
        <is>
          <t>Tienda física</t>
        </is>
      </c>
      <c r="G770" t="inlineStr">
        <is>
          <t>1. Visita</t>
        </is>
      </c>
      <c r="H770" t="n">
        <v>4</v>
      </c>
      <c r="I770" s="73" t="n">
        <v>70200</v>
      </c>
      <c r="J770" s="73" t="n">
        <v>280800</v>
      </c>
      <c r="K770" s="73" t="n">
        <v>206342</v>
      </c>
    </row>
    <row r="771">
      <c r="A771" t="n">
        <v>11357</v>
      </c>
      <c r="B771" s="72" t="n">
        <v>45547.99305555555</v>
      </c>
      <c r="C771" t="inlineStr">
        <is>
          <t>Bogotá D.C.</t>
        </is>
      </c>
      <c r="D771" t="inlineStr">
        <is>
          <t>Bogotá</t>
        </is>
      </c>
      <c r="E771" t="inlineStr">
        <is>
          <t>Juguetes</t>
        </is>
      </c>
      <c r="F771" t="inlineStr">
        <is>
          <t>Tienda física</t>
        </is>
      </c>
      <c r="G771" t="inlineStr">
        <is>
          <t>4. Compra</t>
        </is>
      </c>
      <c r="H771" t="n">
        <v>5</v>
      </c>
      <c r="I771" s="73" t="n">
        <v>102600</v>
      </c>
      <c r="J771" s="73" t="n">
        <v>513000</v>
      </c>
      <c r="K771" s="73" t="n">
        <v>345461</v>
      </c>
    </row>
    <row r="772">
      <c r="A772" t="n">
        <v>10042</v>
      </c>
      <c r="B772" s="72" t="n">
        <v>45548.02361111111</v>
      </c>
      <c r="C772" t="inlineStr">
        <is>
          <t>Bogotá D.C.</t>
        </is>
      </c>
      <c r="D772" t="inlineStr">
        <is>
          <t>Bogotá</t>
        </is>
      </c>
      <c r="E772" t="inlineStr">
        <is>
          <t>Hogar</t>
        </is>
      </c>
      <c r="F772" t="inlineStr">
        <is>
          <t>Web</t>
        </is>
      </c>
      <c r="G772" t="inlineStr">
        <is>
          <t>2. Carrito</t>
        </is>
      </c>
      <c r="H772" t="n">
        <v>2</v>
      </c>
      <c r="I772" s="73" t="n">
        <v>195800</v>
      </c>
      <c r="J772" s="73" t="n">
        <v>450340</v>
      </c>
      <c r="K772" s="73" t="n">
        <v>303905</v>
      </c>
    </row>
    <row r="773">
      <c r="A773" t="n">
        <v>11604</v>
      </c>
      <c r="B773" s="72" t="n">
        <v>45548.69305555556</v>
      </c>
      <c r="C773" t="inlineStr">
        <is>
          <t>Bogotá D.C.</t>
        </is>
      </c>
      <c r="D773" t="inlineStr">
        <is>
          <t>Bogotá</t>
        </is>
      </c>
      <c r="E773" t="inlineStr">
        <is>
          <t>Hogar</t>
        </is>
      </c>
      <c r="F773" t="inlineStr">
        <is>
          <t>Marketplace</t>
        </is>
      </c>
      <c r="G773" t="inlineStr">
        <is>
          <t>2. Carrito</t>
        </is>
      </c>
      <c r="H773" t="n">
        <v>2</v>
      </c>
      <c r="I773" s="73" t="n">
        <v>184400</v>
      </c>
      <c r="J773" s="73" t="n">
        <v>424120</v>
      </c>
      <c r="K773" s="73" t="n">
        <v>309262</v>
      </c>
    </row>
    <row r="774">
      <c r="A774" t="n">
        <v>10596</v>
      </c>
      <c r="B774" s="72" t="n">
        <v>45548.94930555556</v>
      </c>
      <c r="C774" t="inlineStr">
        <is>
          <t>Valle del Cauca</t>
        </is>
      </c>
      <c r="D774" t="inlineStr">
        <is>
          <t>Cali</t>
        </is>
      </c>
      <c r="E774" t="inlineStr">
        <is>
          <t>Moda</t>
        </is>
      </c>
      <c r="F774" t="inlineStr">
        <is>
          <t>Web</t>
        </is>
      </c>
      <c r="G774" t="inlineStr">
        <is>
          <t>4. Compra</t>
        </is>
      </c>
      <c r="H774" t="n">
        <v>4</v>
      </c>
      <c r="I774" s="73" t="n">
        <v>149900</v>
      </c>
      <c r="J774" s="73" t="n">
        <v>689540</v>
      </c>
      <c r="K774" s="73" t="n">
        <v>425859</v>
      </c>
    </row>
    <row r="775">
      <c r="A775" t="n">
        <v>10007</v>
      </c>
      <c r="B775" s="72" t="n">
        <v>45548.96458333333</v>
      </c>
      <c r="C775" t="inlineStr">
        <is>
          <t>Bogotá D.C.</t>
        </is>
      </c>
      <c r="D775" t="inlineStr">
        <is>
          <t>Bogotá</t>
        </is>
      </c>
      <c r="E775" t="inlineStr">
        <is>
          <t>Belleza</t>
        </is>
      </c>
      <c r="F775" t="inlineStr">
        <is>
          <t>Web</t>
        </is>
      </c>
      <c r="G775" t="inlineStr">
        <is>
          <t>3. Pago</t>
        </is>
      </c>
      <c r="H775" t="n">
        <v>4</v>
      </c>
      <c r="I775" s="73" t="n">
        <v>51300</v>
      </c>
      <c r="J775" s="73" t="n">
        <v>235980</v>
      </c>
      <c r="K775" s="73" t="n">
        <v>157535</v>
      </c>
    </row>
    <row r="776">
      <c r="A776" t="n">
        <v>12340</v>
      </c>
      <c r="B776" s="72" t="n">
        <v>45549.52222222222</v>
      </c>
      <c r="C776" t="inlineStr">
        <is>
          <t>Valle del Cauca</t>
        </is>
      </c>
      <c r="D776" t="inlineStr">
        <is>
          <t>Cali</t>
        </is>
      </c>
      <c r="E776" t="inlineStr">
        <is>
          <t>Moda</t>
        </is>
      </c>
      <c r="F776" t="inlineStr">
        <is>
          <t>Web</t>
        </is>
      </c>
      <c r="G776" t="inlineStr">
        <is>
          <t>1. Visita</t>
        </is>
      </c>
      <c r="H776" t="n">
        <v>2</v>
      </c>
      <c r="I776" s="73" t="n">
        <v>107600</v>
      </c>
      <c r="J776" s="73" t="n">
        <v>247480</v>
      </c>
      <c r="K776" s="73" t="n">
        <v>171544</v>
      </c>
    </row>
    <row r="777">
      <c r="A777" t="n">
        <v>10418</v>
      </c>
      <c r="B777" s="72" t="n">
        <v>45549.89305555556</v>
      </c>
      <c r="C777" t="inlineStr">
        <is>
          <t>Bogotá D.C.</t>
        </is>
      </c>
      <c r="D777" t="inlineStr">
        <is>
          <t>Bogotá</t>
        </is>
      </c>
      <c r="E777" t="inlineStr">
        <is>
          <t>Moda</t>
        </is>
      </c>
      <c r="F777" t="inlineStr">
        <is>
          <t>App</t>
        </is>
      </c>
      <c r="G777" t="inlineStr">
        <is>
          <t>1. Visita</t>
        </is>
      </c>
      <c r="H777" t="n">
        <v>1</v>
      </c>
      <c r="I777" s="73" t="n">
        <v>124500</v>
      </c>
      <c r="J777" s="73" t="n">
        <v>143175</v>
      </c>
      <c r="K777" s="73" t="n">
        <v>100509</v>
      </c>
    </row>
    <row r="778">
      <c r="A778" t="n">
        <v>11399</v>
      </c>
      <c r="B778" s="72" t="n">
        <v>45549.95138888889</v>
      </c>
      <c r="C778" t="inlineStr">
        <is>
          <t>Atlántico</t>
        </is>
      </c>
      <c r="D778" t="inlineStr">
        <is>
          <t>Barranquilla</t>
        </is>
      </c>
      <c r="E778" t="inlineStr">
        <is>
          <t>Tecnología</t>
        </is>
      </c>
      <c r="F778" t="inlineStr">
        <is>
          <t>Tienda física</t>
        </is>
      </c>
      <c r="G778" t="inlineStr">
        <is>
          <t>2. Carrito</t>
        </is>
      </c>
      <c r="H778" t="n">
        <v>3</v>
      </c>
      <c r="I778" s="73" t="n">
        <v>715800</v>
      </c>
      <c r="J778" s="73" t="n">
        <v>2469510</v>
      </c>
      <c r="K778" s="73" t="n">
        <v>1659915</v>
      </c>
    </row>
    <row r="779">
      <c r="A779" t="n">
        <v>10554</v>
      </c>
      <c r="B779" s="72" t="n">
        <v>45550.73819444444</v>
      </c>
      <c r="C779" t="inlineStr">
        <is>
          <t>Antioquia</t>
        </is>
      </c>
      <c r="D779" t="inlineStr">
        <is>
          <t>Medellín</t>
        </is>
      </c>
      <c r="E779" t="inlineStr">
        <is>
          <t>Belleza</t>
        </is>
      </c>
      <c r="F779" t="inlineStr">
        <is>
          <t>Tienda física</t>
        </is>
      </c>
      <c r="G779" t="inlineStr">
        <is>
          <t>4. Compra</t>
        </is>
      </c>
      <c r="H779" t="n">
        <v>3</v>
      </c>
      <c r="I779" s="73" t="n">
        <v>78700</v>
      </c>
      <c r="J779" s="73" t="n">
        <v>271515</v>
      </c>
      <c r="K779" s="73" t="n">
        <v>162354</v>
      </c>
    </row>
    <row r="780">
      <c r="A780" t="n">
        <v>11919</v>
      </c>
      <c r="B780" s="72" t="n">
        <v>45551.56944444445</v>
      </c>
      <c r="C780" t="inlineStr">
        <is>
          <t>Risaralda</t>
        </is>
      </c>
      <c r="D780" t="inlineStr">
        <is>
          <t>Pereira</t>
        </is>
      </c>
      <c r="E780" t="inlineStr">
        <is>
          <t>Tecnología</t>
        </is>
      </c>
      <c r="F780" t="inlineStr">
        <is>
          <t>Web</t>
        </is>
      </c>
      <c r="G780" t="inlineStr">
        <is>
          <t>4. Compra</t>
        </is>
      </c>
      <c r="H780" t="n">
        <v>3</v>
      </c>
      <c r="I780" s="73" t="n">
        <v>767600</v>
      </c>
      <c r="J780" s="73" t="n">
        <v>2302800</v>
      </c>
      <c r="K780" s="73" t="n">
        <v>1534291</v>
      </c>
    </row>
    <row r="781">
      <c r="A781" t="n">
        <v>11582</v>
      </c>
      <c r="B781" s="72" t="n">
        <v>45551.57847222222</v>
      </c>
      <c r="C781" t="inlineStr">
        <is>
          <t>Bogotá D.C.</t>
        </is>
      </c>
      <c r="D781" t="inlineStr">
        <is>
          <t>Bogotá</t>
        </is>
      </c>
      <c r="E781" t="inlineStr">
        <is>
          <t>Tecnología</t>
        </is>
      </c>
      <c r="F781" t="inlineStr">
        <is>
          <t>Web</t>
        </is>
      </c>
      <c r="G781" t="inlineStr">
        <is>
          <t>1. Visita</t>
        </is>
      </c>
      <c r="H781" t="n">
        <v>5</v>
      </c>
      <c r="I781" s="73" t="n">
        <v>933900</v>
      </c>
      <c r="J781" s="73" t="n">
        <v>4669500</v>
      </c>
      <c r="K781" s="73" t="n">
        <v>3180603</v>
      </c>
    </row>
    <row r="782">
      <c r="A782" t="n">
        <v>10922</v>
      </c>
      <c r="B782" s="72" t="n">
        <v>45551.73333333333</v>
      </c>
      <c r="C782" t="inlineStr">
        <is>
          <t>Atlántico</t>
        </is>
      </c>
      <c r="D782" t="inlineStr">
        <is>
          <t>Barranquilla</t>
        </is>
      </c>
      <c r="E782" t="inlineStr">
        <is>
          <t>Tecnología</t>
        </is>
      </c>
      <c r="F782" t="inlineStr">
        <is>
          <t>Web</t>
        </is>
      </c>
      <c r="G782" t="inlineStr">
        <is>
          <t>1. Visita</t>
        </is>
      </c>
      <c r="H782" t="n">
        <v>1</v>
      </c>
      <c r="I782" s="73" t="n">
        <v>631700</v>
      </c>
      <c r="J782" s="73" t="n">
        <v>631700</v>
      </c>
      <c r="K782" s="73" t="n">
        <v>411036</v>
      </c>
    </row>
    <row r="783">
      <c r="A783" t="n">
        <v>10822</v>
      </c>
      <c r="B783" s="72" t="n">
        <v>45551.76111111111</v>
      </c>
      <c r="C783" t="inlineStr">
        <is>
          <t>Risaralda</t>
        </is>
      </c>
      <c r="D783" t="inlineStr">
        <is>
          <t>Pereira</t>
        </is>
      </c>
      <c r="E783" t="inlineStr">
        <is>
          <t>Juguetes</t>
        </is>
      </c>
      <c r="F783" t="inlineStr">
        <is>
          <t>Tienda física</t>
        </is>
      </c>
      <c r="G783" t="inlineStr">
        <is>
          <t>1. Visita</t>
        </is>
      </c>
      <c r="H783" t="n">
        <v>3</v>
      </c>
      <c r="I783" s="73" t="n">
        <v>105600</v>
      </c>
      <c r="J783" s="73" t="n">
        <v>316800</v>
      </c>
      <c r="K783" s="73" t="n">
        <v>210239</v>
      </c>
    </row>
    <row r="784">
      <c r="A784" t="n">
        <v>10926</v>
      </c>
      <c r="B784" s="72" t="n">
        <v>45551.81666666667</v>
      </c>
      <c r="C784" t="inlineStr">
        <is>
          <t>Antioquia</t>
        </is>
      </c>
      <c r="D784" t="inlineStr">
        <is>
          <t>Medellín</t>
        </is>
      </c>
      <c r="E784" t="inlineStr">
        <is>
          <t>Hogar</t>
        </is>
      </c>
      <c r="F784" t="inlineStr">
        <is>
          <t>App</t>
        </is>
      </c>
      <c r="G784" t="inlineStr">
        <is>
          <t>2. Carrito</t>
        </is>
      </c>
      <c r="H784" t="n">
        <v>3</v>
      </c>
      <c r="I784" s="73" t="n">
        <v>174200</v>
      </c>
      <c r="J784" s="73" t="n">
        <v>522600</v>
      </c>
      <c r="K784" s="73" t="n">
        <v>341688</v>
      </c>
    </row>
    <row r="785">
      <c r="A785" t="n">
        <v>11712</v>
      </c>
      <c r="B785" s="72" t="n">
        <v>45552.60208333333</v>
      </c>
      <c r="C785" t="inlineStr">
        <is>
          <t>Antioquia</t>
        </is>
      </c>
      <c r="D785" t="inlineStr">
        <is>
          <t>Medellín</t>
        </is>
      </c>
      <c r="E785" t="inlineStr">
        <is>
          <t>Moda</t>
        </is>
      </c>
      <c r="F785" t="inlineStr">
        <is>
          <t>Tienda física</t>
        </is>
      </c>
      <c r="G785" t="inlineStr">
        <is>
          <t>1. Visita</t>
        </is>
      </c>
      <c r="H785" t="n">
        <v>2</v>
      </c>
      <c r="I785" s="73" t="n">
        <v>132400</v>
      </c>
      <c r="J785" s="73" t="n">
        <v>264800</v>
      </c>
      <c r="K785" s="73" t="n">
        <v>152288</v>
      </c>
    </row>
    <row r="786">
      <c r="A786" t="n">
        <v>11295</v>
      </c>
      <c r="B786" s="72" t="n">
        <v>45552.80902777778</v>
      </c>
      <c r="C786" t="inlineStr">
        <is>
          <t>Bolívar</t>
        </is>
      </c>
      <c r="D786" t="inlineStr">
        <is>
          <t>Cartagena</t>
        </is>
      </c>
      <c r="E786" t="inlineStr">
        <is>
          <t>Hogar</t>
        </is>
      </c>
      <c r="F786" t="inlineStr">
        <is>
          <t>Web</t>
        </is>
      </c>
      <c r="G786" t="inlineStr">
        <is>
          <t>1. Visita</t>
        </is>
      </c>
      <c r="H786" t="n">
        <v>4</v>
      </c>
      <c r="I786" s="73" t="n">
        <v>216300</v>
      </c>
      <c r="J786" s="73" t="n">
        <v>865200</v>
      </c>
      <c r="K786" s="73" t="n">
        <v>480056</v>
      </c>
    </row>
    <row r="787">
      <c r="A787" t="n">
        <v>11854</v>
      </c>
      <c r="B787" s="72" t="n">
        <v>45552.85416666666</v>
      </c>
      <c r="C787" t="inlineStr">
        <is>
          <t>Bogotá D.C.</t>
        </is>
      </c>
      <c r="D787" t="inlineStr">
        <is>
          <t>Bogotá</t>
        </is>
      </c>
      <c r="E787" t="inlineStr">
        <is>
          <t>Hogar</t>
        </is>
      </c>
      <c r="F787" t="inlineStr">
        <is>
          <t>Web</t>
        </is>
      </c>
      <c r="G787" t="inlineStr">
        <is>
          <t>2. Carrito</t>
        </is>
      </c>
      <c r="H787" t="n">
        <v>4</v>
      </c>
      <c r="I787" s="73" t="n">
        <v>248500</v>
      </c>
      <c r="J787" s="73" t="n">
        <v>994000</v>
      </c>
      <c r="K787" s="73" t="n">
        <v>696111</v>
      </c>
    </row>
    <row r="788">
      <c r="A788" t="n">
        <v>12380</v>
      </c>
      <c r="B788" s="72" t="n">
        <v>45553.4125</v>
      </c>
      <c r="C788" t="inlineStr">
        <is>
          <t>Bogotá D.C.</t>
        </is>
      </c>
      <c r="D788" t="inlineStr">
        <is>
          <t>Bogotá</t>
        </is>
      </c>
      <c r="E788" t="inlineStr">
        <is>
          <t>Deportes</t>
        </is>
      </c>
      <c r="F788" t="inlineStr">
        <is>
          <t>Marketplace</t>
        </is>
      </c>
      <c r="G788" t="inlineStr">
        <is>
          <t>3. Pago</t>
        </is>
      </c>
      <c r="H788" t="n">
        <v>2</v>
      </c>
      <c r="I788" s="73" t="n">
        <v>149400</v>
      </c>
      <c r="J788" s="73" t="n">
        <v>298800</v>
      </c>
      <c r="K788" s="73" t="n">
        <v>186670</v>
      </c>
    </row>
    <row r="789">
      <c r="A789" t="n">
        <v>11901</v>
      </c>
      <c r="B789" s="72" t="n">
        <v>45553.48611111111</v>
      </c>
      <c r="C789" t="inlineStr">
        <is>
          <t>Meta</t>
        </is>
      </c>
      <c r="D789" t="inlineStr">
        <is>
          <t>Villavicencio</t>
        </is>
      </c>
      <c r="E789" t="inlineStr">
        <is>
          <t>Moda</t>
        </is>
      </c>
      <c r="F789" t="inlineStr">
        <is>
          <t>Tienda física</t>
        </is>
      </c>
      <c r="G789" t="inlineStr">
        <is>
          <t>1. Visita</t>
        </is>
      </c>
      <c r="H789" t="n">
        <v>5</v>
      </c>
      <c r="I789" s="73" t="n">
        <v>123000</v>
      </c>
      <c r="J789" s="73" t="n">
        <v>615000</v>
      </c>
      <c r="K789" s="73" t="n">
        <v>388131</v>
      </c>
    </row>
    <row r="790">
      <c r="A790" t="n">
        <v>11585</v>
      </c>
      <c r="B790" s="72" t="n">
        <v>45553.80347222222</v>
      </c>
      <c r="C790" t="inlineStr">
        <is>
          <t>Valle del Cauca</t>
        </is>
      </c>
      <c r="D790" t="inlineStr">
        <is>
          <t>Cali</t>
        </is>
      </c>
      <c r="E790" t="inlineStr">
        <is>
          <t>Tecnología</t>
        </is>
      </c>
      <c r="F790" t="inlineStr">
        <is>
          <t>Marketplace</t>
        </is>
      </c>
      <c r="G790" t="inlineStr">
        <is>
          <t>3. Pago</t>
        </is>
      </c>
      <c r="H790" t="n">
        <v>3</v>
      </c>
      <c r="I790" s="73" t="n">
        <v>667500</v>
      </c>
      <c r="J790" s="73" t="n">
        <v>2002500</v>
      </c>
      <c r="K790" s="73" t="n">
        <v>1107611</v>
      </c>
    </row>
    <row r="791">
      <c r="A791" t="n">
        <v>11324</v>
      </c>
      <c r="B791" s="72" t="n">
        <v>45554.49375</v>
      </c>
      <c r="C791" t="inlineStr">
        <is>
          <t>Bogotá D.C.</t>
        </is>
      </c>
      <c r="D791" t="inlineStr">
        <is>
          <t>Bogotá</t>
        </is>
      </c>
      <c r="E791" t="inlineStr">
        <is>
          <t>Belleza</t>
        </is>
      </c>
      <c r="F791" t="inlineStr">
        <is>
          <t>App</t>
        </is>
      </c>
      <c r="G791" t="inlineStr">
        <is>
          <t>1. Visita</t>
        </is>
      </c>
      <c r="H791" t="n">
        <v>4</v>
      </c>
      <c r="I791" s="73" t="n">
        <v>59900</v>
      </c>
      <c r="J791" s="73" t="n">
        <v>239600</v>
      </c>
      <c r="K791" s="73" t="n">
        <v>143783</v>
      </c>
    </row>
    <row r="792">
      <c r="A792" t="n">
        <v>10694</v>
      </c>
      <c r="B792" s="72" t="n">
        <v>45554.52569444444</v>
      </c>
      <c r="C792" t="inlineStr">
        <is>
          <t>Valle del Cauca</t>
        </is>
      </c>
      <c r="D792" t="inlineStr">
        <is>
          <t>Cali</t>
        </is>
      </c>
      <c r="E792" t="inlineStr">
        <is>
          <t>Hogar</t>
        </is>
      </c>
      <c r="F792" t="inlineStr">
        <is>
          <t>Web</t>
        </is>
      </c>
      <c r="G792" t="inlineStr">
        <is>
          <t>1. Visita</t>
        </is>
      </c>
      <c r="H792" t="n">
        <v>4</v>
      </c>
      <c r="I792" s="73" t="n">
        <v>174700</v>
      </c>
      <c r="J792" s="73" t="n">
        <v>698800</v>
      </c>
      <c r="K792" s="73" t="n">
        <v>501407</v>
      </c>
    </row>
    <row r="793">
      <c r="A793" t="n">
        <v>11539</v>
      </c>
      <c r="B793" s="72" t="n">
        <v>45554.63194444445</v>
      </c>
      <c r="C793" t="inlineStr">
        <is>
          <t>Atlántico</t>
        </is>
      </c>
      <c r="D793" t="inlineStr">
        <is>
          <t>Barranquilla</t>
        </is>
      </c>
      <c r="E793" t="inlineStr">
        <is>
          <t>Moda</t>
        </is>
      </c>
      <c r="F793" t="inlineStr">
        <is>
          <t>Web</t>
        </is>
      </c>
      <c r="G793" t="inlineStr">
        <is>
          <t>2. Carrito</t>
        </is>
      </c>
      <c r="H793" t="n">
        <v>3</v>
      </c>
      <c r="I793" s="73" t="n">
        <v>123700</v>
      </c>
      <c r="J793" s="73" t="n">
        <v>371100</v>
      </c>
      <c r="K793" s="73" t="n">
        <v>247318</v>
      </c>
    </row>
    <row r="794">
      <c r="A794" t="n">
        <v>10151</v>
      </c>
      <c r="B794" s="72" t="n">
        <v>45555.36875</v>
      </c>
      <c r="C794" t="inlineStr">
        <is>
          <t>Valle del Cauca</t>
        </is>
      </c>
      <c r="D794" t="inlineStr">
        <is>
          <t>Cali</t>
        </is>
      </c>
      <c r="E794" t="inlineStr">
        <is>
          <t>Tecnología</t>
        </is>
      </c>
      <c r="F794" t="inlineStr">
        <is>
          <t>Tienda física</t>
        </is>
      </c>
      <c r="G794" t="inlineStr">
        <is>
          <t>4. Compra</t>
        </is>
      </c>
      <c r="H794" t="n">
        <v>2</v>
      </c>
      <c r="I794" s="73" t="n">
        <v>740400</v>
      </c>
      <c r="J794" s="73" t="n">
        <v>1702920</v>
      </c>
      <c r="K794" s="73" t="n">
        <v>1031597</v>
      </c>
    </row>
    <row r="795">
      <c r="A795" t="n">
        <v>10342</v>
      </c>
      <c r="B795" s="72" t="n">
        <v>45555.87291666667</v>
      </c>
      <c r="C795" t="inlineStr">
        <is>
          <t>Santander</t>
        </is>
      </c>
      <c r="D795" t="inlineStr">
        <is>
          <t>Bucaramanga</t>
        </is>
      </c>
      <c r="E795" t="inlineStr">
        <is>
          <t>Tecnología</t>
        </is>
      </c>
      <c r="F795" t="inlineStr">
        <is>
          <t>Web</t>
        </is>
      </c>
      <c r="G795" t="inlineStr">
        <is>
          <t>1. Visita</t>
        </is>
      </c>
      <c r="H795" t="n">
        <v>4</v>
      </c>
      <c r="I795" s="73" t="n">
        <v>1071200</v>
      </c>
      <c r="J795" s="73" t="n">
        <v>4927520</v>
      </c>
      <c r="K795" s="73" t="n">
        <v>3324049</v>
      </c>
    </row>
    <row r="796">
      <c r="A796" t="n">
        <v>11218</v>
      </c>
      <c r="B796" s="72" t="n">
        <v>45555.95902777778</v>
      </c>
      <c r="C796" t="inlineStr">
        <is>
          <t>Risaralda</t>
        </is>
      </c>
      <c r="D796" t="inlineStr">
        <is>
          <t>Pereira</t>
        </is>
      </c>
      <c r="E796" t="inlineStr">
        <is>
          <t>Moda</t>
        </is>
      </c>
      <c r="F796" t="inlineStr">
        <is>
          <t>App</t>
        </is>
      </c>
      <c r="G796" t="inlineStr">
        <is>
          <t>2. Carrito</t>
        </is>
      </c>
      <c r="H796" t="n">
        <v>3</v>
      </c>
      <c r="I796" s="73" t="n">
        <v>89200</v>
      </c>
      <c r="J796" s="73" t="n">
        <v>307740</v>
      </c>
      <c r="K796" s="73" t="n">
        <v>187641</v>
      </c>
    </row>
    <row r="797">
      <c r="A797" t="n">
        <v>10872</v>
      </c>
      <c r="B797" s="72" t="n">
        <v>45556.69305555556</v>
      </c>
      <c r="C797" t="inlineStr">
        <is>
          <t>Bogotá D.C.</t>
        </is>
      </c>
      <c r="D797" t="inlineStr">
        <is>
          <t>Bogotá</t>
        </is>
      </c>
      <c r="E797" t="inlineStr">
        <is>
          <t>Deportes</t>
        </is>
      </c>
      <c r="F797" t="inlineStr">
        <is>
          <t>Web</t>
        </is>
      </c>
      <c r="G797" t="inlineStr">
        <is>
          <t>2. Carrito</t>
        </is>
      </c>
      <c r="H797" t="n">
        <v>2</v>
      </c>
      <c r="I797" s="73" t="n">
        <v>160600</v>
      </c>
      <c r="J797" s="73" t="n">
        <v>369380</v>
      </c>
      <c r="K797" s="73" t="n">
        <v>238591</v>
      </c>
    </row>
    <row r="798">
      <c r="A798" t="n">
        <v>12147</v>
      </c>
      <c r="B798" s="72" t="n">
        <v>45557.45763888889</v>
      </c>
      <c r="C798" t="inlineStr">
        <is>
          <t>Valle del Cauca</t>
        </is>
      </c>
      <c r="D798" t="inlineStr">
        <is>
          <t>Cali</t>
        </is>
      </c>
      <c r="E798" t="inlineStr">
        <is>
          <t>Belleza</t>
        </is>
      </c>
      <c r="F798" t="inlineStr">
        <is>
          <t>Marketplace</t>
        </is>
      </c>
      <c r="G798" t="inlineStr">
        <is>
          <t>3. Pago</t>
        </is>
      </c>
      <c r="H798" t="n">
        <v>3</v>
      </c>
      <c r="I798" s="73" t="n">
        <v>81400</v>
      </c>
      <c r="J798" s="73" t="n">
        <v>280830</v>
      </c>
      <c r="K798" s="73" t="n">
        <v>190933</v>
      </c>
    </row>
    <row r="799">
      <c r="A799" t="n">
        <v>10962</v>
      </c>
      <c r="B799" s="72" t="n">
        <v>45557.59166666667</v>
      </c>
      <c r="C799" t="inlineStr">
        <is>
          <t>Atlántico</t>
        </is>
      </c>
      <c r="D799" t="inlineStr">
        <is>
          <t>Barranquilla</t>
        </is>
      </c>
      <c r="E799" t="inlineStr">
        <is>
          <t>Hogar</t>
        </is>
      </c>
      <c r="F799" t="inlineStr">
        <is>
          <t>App</t>
        </is>
      </c>
      <c r="G799" t="inlineStr">
        <is>
          <t>4. Compra</t>
        </is>
      </c>
      <c r="H799" t="n">
        <v>2</v>
      </c>
      <c r="I799" s="73" t="n">
        <v>230900</v>
      </c>
      <c r="J799" s="73" t="n">
        <v>531070</v>
      </c>
      <c r="K799" s="73" t="n">
        <v>378945</v>
      </c>
    </row>
    <row r="800">
      <c r="A800" t="n">
        <v>10556</v>
      </c>
      <c r="B800" s="72" t="n">
        <v>45557.81388888889</v>
      </c>
      <c r="C800" t="inlineStr">
        <is>
          <t>Atlántico</t>
        </is>
      </c>
      <c r="D800" t="inlineStr">
        <is>
          <t>Barranquilla</t>
        </is>
      </c>
      <c r="E800" t="inlineStr">
        <is>
          <t>Deportes</t>
        </is>
      </c>
      <c r="F800" t="inlineStr">
        <is>
          <t>Web</t>
        </is>
      </c>
      <c r="G800" t="inlineStr">
        <is>
          <t>4. Compra</t>
        </is>
      </c>
      <c r="H800" t="n">
        <v>5</v>
      </c>
      <c r="I800" s="73" t="n">
        <v>157700</v>
      </c>
      <c r="J800" s="73" t="n">
        <v>906775</v>
      </c>
      <c r="K800" s="73" t="n">
        <v>540373</v>
      </c>
    </row>
    <row r="801">
      <c r="A801" t="n">
        <v>12199</v>
      </c>
      <c r="B801" s="72" t="n">
        <v>45557.88263888889</v>
      </c>
      <c r="C801" t="inlineStr">
        <is>
          <t>Atlántico</t>
        </is>
      </c>
      <c r="D801" t="inlineStr">
        <is>
          <t>Barranquilla</t>
        </is>
      </c>
      <c r="E801" t="inlineStr">
        <is>
          <t>Tecnología</t>
        </is>
      </c>
      <c r="F801" t="inlineStr">
        <is>
          <t>App</t>
        </is>
      </c>
      <c r="G801" t="inlineStr">
        <is>
          <t>3. Pago</t>
        </is>
      </c>
      <c r="H801" t="n">
        <v>2</v>
      </c>
      <c r="I801" s="73" t="n">
        <v>875300</v>
      </c>
      <c r="J801" s="73" t="n">
        <v>2013190</v>
      </c>
      <c r="K801" s="73" t="n">
        <v>1398960</v>
      </c>
    </row>
    <row r="802">
      <c r="A802" t="n">
        <v>11714</v>
      </c>
      <c r="B802" s="72" t="n">
        <v>45558.75208333333</v>
      </c>
      <c r="C802" t="inlineStr">
        <is>
          <t>Valle del Cauca</t>
        </is>
      </c>
      <c r="D802" t="inlineStr">
        <is>
          <t>Cali</t>
        </is>
      </c>
      <c r="E802" t="inlineStr">
        <is>
          <t>Belleza</t>
        </is>
      </c>
      <c r="F802" t="inlineStr">
        <is>
          <t>Web</t>
        </is>
      </c>
      <c r="G802" t="inlineStr">
        <is>
          <t>3. Pago</t>
        </is>
      </c>
      <c r="H802" t="n">
        <v>1</v>
      </c>
      <c r="I802" s="73" t="n">
        <v>76300</v>
      </c>
      <c r="J802" s="73" t="n">
        <v>76300</v>
      </c>
      <c r="K802" s="73" t="n">
        <v>49576</v>
      </c>
    </row>
    <row r="803">
      <c r="A803" t="n">
        <v>10964</v>
      </c>
      <c r="B803" s="72" t="n">
        <v>45558.92638888889</v>
      </c>
      <c r="C803" t="inlineStr">
        <is>
          <t>Nariño</t>
        </is>
      </c>
      <c r="D803" t="inlineStr">
        <is>
          <t>Pasto</t>
        </is>
      </c>
      <c r="E803" t="inlineStr">
        <is>
          <t>Juguetes</t>
        </is>
      </c>
      <c r="F803" t="inlineStr">
        <is>
          <t>Tienda física</t>
        </is>
      </c>
      <c r="G803" t="inlineStr">
        <is>
          <t>2. Carrito</t>
        </is>
      </c>
      <c r="H803" t="n">
        <v>4</v>
      </c>
      <c r="I803" s="73" t="n">
        <v>111800</v>
      </c>
      <c r="J803" s="73" t="n">
        <v>447200</v>
      </c>
      <c r="K803" s="73" t="n">
        <v>269988</v>
      </c>
    </row>
    <row r="804">
      <c r="A804" t="n">
        <v>12235</v>
      </c>
      <c r="B804" s="72" t="n">
        <v>45559.65694444445</v>
      </c>
      <c r="C804" t="inlineStr">
        <is>
          <t>Antioquia</t>
        </is>
      </c>
      <c r="D804" t="inlineStr">
        <is>
          <t>Medellín</t>
        </is>
      </c>
      <c r="E804" t="inlineStr">
        <is>
          <t>Juguetes</t>
        </is>
      </c>
      <c r="F804" t="inlineStr">
        <is>
          <t>Web</t>
        </is>
      </c>
      <c r="G804" t="inlineStr">
        <is>
          <t>2. Carrito</t>
        </is>
      </c>
      <c r="H804" t="n">
        <v>2</v>
      </c>
      <c r="I804" s="73" t="n">
        <v>96300</v>
      </c>
      <c r="J804" s="73" t="n">
        <v>192600</v>
      </c>
      <c r="K804" s="73" t="n">
        <v>129662</v>
      </c>
    </row>
    <row r="805">
      <c r="A805" t="n">
        <v>12210</v>
      </c>
      <c r="B805" s="72" t="n">
        <v>45559.76041666666</v>
      </c>
      <c r="C805" t="inlineStr">
        <is>
          <t>Antioquia</t>
        </is>
      </c>
      <c r="D805" t="inlineStr">
        <is>
          <t>Medellín</t>
        </is>
      </c>
      <c r="E805" t="inlineStr">
        <is>
          <t>Hogar</t>
        </is>
      </c>
      <c r="F805" t="inlineStr">
        <is>
          <t>Tienda física</t>
        </is>
      </c>
      <c r="G805" t="inlineStr">
        <is>
          <t>1. Visita</t>
        </is>
      </c>
      <c r="H805" t="n">
        <v>2</v>
      </c>
      <c r="I805" s="73" t="n">
        <v>257000</v>
      </c>
      <c r="J805" s="73" t="n">
        <v>514000</v>
      </c>
      <c r="K805" s="73" t="n">
        <v>307834</v>
      </c>
    </row>
    <row r="806">
      <c r="A806" t="n">
        <v>10366</v>
      </c>
      <c r="B806" s="72" t="n">
        <v>45559.87361111111</v>
      </c>
      <c r="C806" t="inlineStr">
        <is>
          <t>Valle del Cauca</t>
        </is>
      </c>
      <c r="D806" t="inlineStr">
        <is>
          <t>Cali</t>
        </is>
      </c>
      <c r="E806" t="inlineStr">
        <is>
          <t>Moda</t>
        </is>
      </c>
      <c r="F806" t="inlineStr">
        <is>
          <t>App</t>
        </is>
      </c>
      <c r="G806" t="inlineStr">
        <is>
          <t>1. Visita</t>
        </is>
      </c>
      <c r="H806" t="n">
        <v>2</v>
      </c>
      <c r="I806" s="73" t="n">
        <v>112000</v>
      </c>
      <c r="J806" s="73" t="n">
        <v>224000</v>
      </c>
      <c r="K806" s="73" t="n">
        <v>133663</v>
      </c>
    </row>
    <row r="807">
      <c r="A807" t="n">
        <v>10381</v>
      </c>
      <c r="B807" s="72" t="n">
        <v>45560.12361111111</v>
      </c>
      <c r="C807" t="inlineStr">
        <is>
          <t>Bogotá D.C.</t>
        </is>
      </c>
      <c r="D807" t="inlineStr">
        <is>
          <t>Bogotá</t>
        </is>
      </c>
      <c r="E807" t="inlineStr">
        <is>
          <t>Hogar</t>
        </is>
      </c>
      <c r="F807" t="inlineStr">
        <is>
          <t>Web</t>
        </is>
      </c>
      <c r="G807" t="inlineStr">
        <is>
          <t>1. Visita</t>
        </is>
      </c>
      <c r="H807" t="n">
        <v>1</v>
      </c>
      <c r="I807" s="73" t="n">
        <v>271400</v>
      </c>
      <c r="J807" s="73" t="n">
        <v>271400</v>
      </c>
      <c r="K807" s="73" t="n">
        <v>170347</v>
      </c>
    </row>
    <row r="808">
      <c r="A808" t="n">
        <v>12005</v>
      </c>
      <c r="B808" s="72" t="n">
        <v>45560.68888888889</v>
      </c>
      <c r="C808" t="inlineStr">
        <is>
          <t>Antioquia</t>
        </is>
      </c>
      <c r="D808" t="inlineStr">
        <is>
          <t>Medellín</t>
        </is>
      </c>
      <c r="E808" t="inlineStr">
        <is>
          <t>Hogar</t>
        </is>
      </c>
      <c r="F808" t="inlineStr">
        <is>
          <t>App</t>
        </is>
      </c>
      <c r="G808" t="inlineStr">
        <is>
          <t>3. Pago</t>
        </is>
      </c>
      <c r="H808" t="n">
        <v>2</v>
      </c>
      <c r="I808" s="73" t="n">
        <v>176100</v>
      </c>
      <c r="J808" s="73" t="n">
        <v>352200</v>
      </c>
      <c r="K808" s="73" t="n">
        <v>220839</v>
      </c>
    </row>
    <row r="809">
      <c r="A809" t="n">
        <v>10692</v>
      </c>
      <c r="B809" s="72" t="n">
        <v>45560.72361111111</v>
      </c>
      <c r="C809" t="inlineStr">
        <is>
          <t>Atlántico</t>
        </is>
      </c>
      <c r="D809" t="inlineStr">
        <is>
          <t>Barranquilla</t>
        </is>
      </c>
      <c r="E809" t="inlineStr">
        <is>
          <t>Deportes</t>
        </is>
      </c>
      <c r="F809" t="inlineStr">
        <is>
          <t>Web</t>
        </is>
      </c>
      <c r="G809" t="inlineStr">
        <is>
          <t>1. Visita</t>
        </is>
      </c>
      <c r="H809" t="n">
        <v>4</v>
      </c>
      <c r="I809" s="73" t="n">
        <v>129200</v>
      </c>
      <c r="J809" s="73" t="n">
        <v>516800</v>
      </c>
      <c r="K809" s="73" t="n">
        <v>348176</v>
      </c>
    </row>
    <row r="810">
      <c r="A810" t="n">
        <v>10644</v>
      </c>
      <c r="B810" s="72" t="n">
        <v>45560.80416666667</v>
      </c>
      <c r="C810" t="inlineStr">
        <is>
          <t>Nariño</t>
        </is>
      </c>
      <c r="D810" t="inlineStr">
        <is>
          <t>Pasto</t>
        </is>
      </c>
      <c r="E810" t="inlineStr">
        <is>
          <t>Belleza</t>
        </is>
      </c>
      <c r="F810" t="inlineStr">
        <is>
          <t>App</t>
        </is>
      </c>
      <c r="G810" t="inlineStr">
        <is>
          <t>1. Visita</t>
        </is>
      </c>
      <c r="H810" t="n">
        <v>5</v>
      </c>
      <c r="I810" s="73" t="n">
        <v>50400</v>
      </c>
      <c r="J810" s="73" t="n">
        <v>252000</v>
      </c>
      <c r="K810" s="73" t="n">
        <v>153574</v>
      </c>
    </row>
    <row r="811">
      <c r="A811" t="n">
        <v>10239</v>
      </c>
      <c r="B811" s="72" t="n">
        <v>45561.67986111111</v>
      </c>
      <c r="C811" t="inlineStr">
        <is>
          <t>Atlántico</t>
        </is>
      </c>
      <c r="D811" t="inlineStr">
        <is>
          <t>Barranquilla</t>
        </is>
      </c>
      <c r="E811" t="inlineStr">
        <is>
          <t>Juguetes</t>
        </is>
      </c>
      <c r="F811" t="inlineStr">
        <is>
          <t>App</t>
        </is>
      </c>
      <c r="G811" t="inlineStr">
        <is>
          <t>2. Carrito</t>
        </is>
      </c>
      <c r="H811" t="n">
        <v>4</v>
      </c>
      <c r="I811" s="73" t="n">
        <v>86800</v>
      </c>
      <c r="J811" s="73" t="n">
        <v>347200</v>
      </c>
      <c r="K811" s="73" t="n">
        <v>211548</v>
      </c>
    </row>
    <row r="812">
      <c r="A812" t="n">
        <v>11841</v>
      </c>
      <c r="B812" s="72" t="n">
        <v>45561.69513888889</v>
      </c>
      <c r="C812" t="inlineStr">
        <is>
          <t>Bogotá D.C.</t>
        </is>
      </c>
      <c r="D812" t="inlineStr">
        <is>
          <t>Bogotá</t>
        </is>
      </c>
      <c r="E812" t="inlineStr">
        <is>
          <t>Moda</t>
        </is>
      </c>
      <c r="F812" t="inlineStr">
        <is>
          <t>Web</t>
        </is>
      </c>
      <c r="G812" t="inlineStr">
        <is>
          <t>1. Visita</t>
        </is>
      </c>
      <c r="H812" t="n">
        <v>3</v>
      </c>
      <c r="I812" s="73" t="n">
        <v>123600</v>
      </c>
      <c r="J812" s="73" t="n">
        <v>370800</v>
      </c>
      <c r="K812" s="73" t="n">
        <v>226181</v>
      </c>
    </row>
    <row r="813">
      <c r="A813" t="n">
        <v>10865</v>
      </c>
      <c r="B813" s="72" t="n">
        <v>45561.75416666667</v>
      </c>
      <c r="C813" t="inlineStr">
        <is>
          <t>Antioquia</t>
        </is>
      </c>
      <c r="D813" t="inlineStr">
        <is>
          <t>Medellín</t>
        </is>
      </c>
      <c r="E813" t="inlineStr">
        <is>
          <t>Tecnología</t>
        </is>
      </c>
      <c r="F813" t="inlineStr">
        <is>
          <t>App</t>
        </is>
      </c>
      <c r="G813" t="inlineStr">
        <is>
          <t>1. Visita</t>
        </is>
      </c>
      <c r="H813" t="n">
        <v>1</v>
      </c>
      <c r="I813" s="73" t="n">
        <v>891900</v>
      </c>
      <c r="J813" s="73" t="n">
        <v>891900</v>
      </c>
      <c r="K813" s="73" t="n">
        <v>535191</v>
      </c>
    </row>
    <row r="814">
      <c r="A814" t="n">
        <v>11571</v>
      </c>
      <c r="B814" s="72" t="n">
        <v>45561.83888888889</v>
      </c>
      <c r="C814" t="inlineStr">
        <is>
          <t>Bogotá D.C.</t>
        </is>
      </c>
      <c r="D814" t="inlineStr">
        <is>
          <t>Bogotá</t>
        </is>
      </c>
      <c r="E814" t="inlineStr">
        <is>
          <t>Juguetes</t>
        </is>
      </c>
      <c r="F814" t="inlineStr">
        <is>
          <t>Marketplace</t>
        </is>
      </c>
      <c r="G814" t="inlineStr">
        <is>
          <t>4. Compra</t>
        </is>
      </c>
      <c r="H814" t="n">
        <v>2</v>
      </c>
      <c r="I814" s="73" t="n">
        <v>103800</v>
      </c>
      <c r="J814" s="73" t="n">
        <v>207600</v>
      </c>
      <c r="K814" s="73" t="n">
        <v>126800</v>
      </c>
    </row>
    <row r="815">
      <c r="A815" t="n">
        <v>10489</v>
      </c>
      <c r="B815" s="72" t="n">
        <v>45562.19375</v>
      </c>
      <c r="C815" t="inlineStr">
        <is>
          <t>Antioquia</t>
        </is>
      </c>
      <c r="D815" t="inlineStr">
        <is>
          <t>Medellín</t>
        </is>
      </c>
      <c r="E815" t="inlineStr">
        <is>
          <t>Juguetes</t>
        </is>
      </c>
      <c r="F815" t="inlineStr">
        <is>
          <t>Tienda física</t>
        </is>
      </c>
      <c r="G815" t="inlineStr">
        <is>
          <t>2. Carrito</t>
        </is>
      </c>
      <c r="H815" t="n">
        <v>4</v>
      </c>
      <c r="I815" s="73" t="n">
        <v>84700</v>
      </c>
      <c r="J815" s="73" t="n">
        <v>389620</v>
      </c>
      <c r="K815" s="73" t="n">
        <v>250451</v>
      </c>
    </row>
    <row r="816">
      <c r="A816" t="n">
        <v>11173</v>
      </c>
      <c r="B816" s="72" t="n">
        <v>45562.29722222222</v>
      </c>
      <c r="C816" t="inlineStr">
        <is>
          <t>Atlántico</t>
        </is>
      </c>
      <c r="D816" t="inlineStr">
        <is>
          <t>Barranquilla</t>
        </is>
      </c>
      <c r="E816" t="inlineStr">
        <is>
          <t>Hogar</t>
        </is>
      </c>
      <c r="F816" t="inlineStr">
        <is>
          <t>App</t>
        </is>
      </c>
      <c r="G816" t="inlineStr">
        <is>
          <t>1. Visita</t>
        </is>
      </c>
      <c r="H816" t="n">
        <v>1</v>
      </c>
      <c r="I816" s="73" t="n">
        <v>203000</v>
      </c>
      <c r="J816" s="73" t="n">
        <v>233450</v>
      </c>
      <c r="K816" s="73" t="n">
        <v>148283</v>
      </c>
    </row>
    <row r="817">
      <c r="A817" t="n">
        <v>10128</v>
      </c>
      <c r="B817" s="72" t="n">
        <v>45562.475</v>
      </c>
      <c r="C817" t="inlineStr">
        <is>
          <t>Valle del Cauca</t>
        </is>
      </c>
      <c r="D817" t="inlineStr">
        <is>
          <t>Cali</t>
        </is>
      </c>
      <c r="E817" t="inlineStr">
        <is>
          <t>Hogar</t>
        </is>
      </c>
      <c r="F817" t="inlineStr">
        <is>
          <t>App</t>
        </is>
      </c>
      <c r="G817" t="inlineStr">
        <is>
          <t>2. Carrito</t>
        </is>
      </c>
      <c r="H817" t="n">
        <v>3</v>
      </c>
      <c r="I817" s="73" t="n">
        <v>196400</v>
      </c>
      <c r="J817" s="73" t="n">
        <v>677580</v>
      </c>
      <c r="K817" s="73" t="n">
        <v>488093</v>
      </c>
    </row>
    <row r="818">
      <c r="A818" t="n">
        <v>10811</v>
      </c>
      <c r="B818" s="72" t="n">
        <v>45562.59375</v>
      </c>
      <c r="C818" t="inlineStr">
        <is>
          <t>Atlántico</t>
        </is>
      </c>
      <c r="D818" t="inlineStr">
        <is>
          <t>Barranquilla</t>
        </is>
      </c>
      <c r="E818" t="inlineStr">
        <is>
          <t>Moda</t>
        </is>
      </c>
      <c r="F818" t="inlineStr">
        <is>
          <t>App</t>
        </is>
      </c>
      <c r="G818" t="inlineStr">
        <is>
          <t>4. Compra</t>
        </is>
      </c>
      <c r="H818" t="n">
        <v>5</v>
      </c>
      <c r="I818" s="73" t="n">
        <v>155300</v>
      </c>
      <c r="J818" s="73" t="n">
        <v>892975</v>
      </c>
      <c r="K818" s="73" t="n">
        <v>583492</v>
      </c>
    </row>
    <row r="819">
      <c r="A819" t="n">
        <v>12067</v>
      </c>
      <c r="B819" s="72" t="n">
        <v>45562.83333333334</v>
      </c>
      <c r="C819" t="inlineStr">
        <is>
          <t>Risaralda</t>
        </is>
      </c>
      <c r="D819" t="inlineStr">
        <is>
          <t>Pereira</t>
        </is>
      </c>
      <c r="E819" t="inlineStr">
        <is>
          <t>Juguetes</t>
        </is>
      </c>
      <c r="F819" t="inlineStr">
        <is>
          <t>Web</t>
        </is>
      </c>
      <c r="G819" t="inlineStr">
        <is>
          <t>1. Visita</t>
        </is>
      </c>
      <c r="H819" t="n">
        <v>4</v>
      </c>
      <c r="I819" s="73" t="n">
        <v>107300</v>
      </c>
      <c r="J819" s="73" t="n">
        <v>493580</v>
      </c>
      <c r="K819" s="73" t="n">
        <v>296178</v>
      </c>
    </row>
    <row r="820">
      <c r="A820" t="n">
        <v>11312</v>
      </c>
      <c r="B820" s="72" t="n">
        <v>45562.88194444445</v>
      </c>
      <c r="C820" t="inlineStr">
        <is>
          <t>Atlántico</t>
        </is>
      </c>
      <c r="D820" t="inlineStr">
        <is>
          <t>Barranquilla</t>
        </is>
      </c>
      <c r="E820" t="inlineStr">
        <is>
          <t>Belleza</t>
        </is>
      </c>
      <c r="F820" t="inlineStr">
        <is>
          <t>Web</t>
        </is>
      </c>
      <c r="G820" t="inlineStr">
        <is>
          <t>4. Compra</t>
        </is>
      </c>
      <c r="H820" t="n">
        <v>2</v>
      </c>
      <c r="I820" s="73" t="n">
        <v>52700</v>
      </c>
      <c r="J820" s="73" t="n">
        <v>121210</v>
      </c>
      <c r="K820" s="73" t="n">
        <v>85961</v>
      </c>
    </row>
    <row r="821">
      <c r="A821" t="n">
        <v>12283</v>
      </c>
      <c r="B821" s="72" t="n">
        <v>45563.42708333334</v>
      </c>
      <c r="C821" t="inlineStr">
        <is>
          <t>Santander</t>
        </is>
      </c>
      <c r="D821" t="inlineStr">
        <is>
          <t>Bucaramanga</t>
        </is>
      </c>
      <c r="E821" t="inlineStr">
        <is>
          <t>Belleza</t>
        </is>
      </c>
      <c r="F821" t="inlineStr">
        <is>
          <t>App</t>
        </is>
      </c>
      <c r="G821" t="inlineStr">
        <is>
          <t>3. Pago</t>
        </is>
      </c>
      <c r="H821" t="n">
        <v>4</v>
      </c>
      <c r="I821" s="73" t="n">
        <v>54500</v>
      </c>
      <c r="J821" s="73" t="n">
        <v>250700</v>
      </c>
      <c r="K821" s="73" t="n">
        <v>145237</v>
      </c>
    </row>
    <row r="822">
      <c r="A822" t="n">
        <v>10506</v>
      </c>
      <c r="B822" s="72" t="n">
        <v>45563.58263888889</v>
      </c>
      <c r="C822" t="inlineStr">
        <is>
          <t>Meta</t>
        </is>
      </c>
      <c r="D822" t="inlineStr">
        <is>
          <t>Villavicencio</t>
        </is>
      </c>
      <c r="E822" t="inlineStr">
        <is>
          <t>Belleza</t>
        </is>
      </c>
      <c r="F822" t="inlineStr">
        <is>
          <t>App</t>
        </is>
      </c>
      <c r="G822" t="inlineStr">
        <is>
          <t>1. Visita</t>
        </is>
      </c>
      <c r="H822" t="n">
        <v>4</v>
      </c>
      <c r="I822" s="73" t="n">
        <v>58500</v>
      </c>
      <c r="J822" s="73" t="n">
        <v>269100</v>
      </c>
      <c r="K822" s="73" t="n">
        <v>196600</v>
      </c>
    </row>
    <row r="823">
      <c r="A823" t="n">
        <v>11995</v>
      </c>
      <c r="B823" s="72" t="n">
        <v>45563.62291666667</v>
      </c>
      <c r="C823" t="inlineStr">
        <is>
          <t>Atlántico</t>
        </is>
      </c>
      <c r="D823" t="inlineStr">
        <is>
          <t>Barranquilla</t>
        </is>
      </c>
      <c r="E823" t="inlineStr">
        <is>
          <t>Tecnología</t>
        </is>
      </c>
      <c r="F823" t="inlineStr">
        <is>
          <t>Marketplace</t>
        </is>
      </c>
      <c r="G823" t="inlineStr">
        <is>
          <t>3. Pago</t>
        </is>
      </c>
      <c r="H823" t="n">
        <v>2</v>
      </c>
      <c r="I823" s="73" t="n">
        <v>977800</v>
      </c>
      <c r="J823" s="73" t="n">
        <v>2248940</v>
      </c>
      <c r="K823" s="73" t="n">
        <v>1597506</v>
      </c>
    </row>
    <row r="824">
      <c r="A824" t="n">
        <v>10819</v>
      </c>
      <c r="B824" s="72" t="n">
        <v>45563.63055555556</v>
      </c>
      <c r="C824" t="inlineStr">
        <is>
          <t>Antioquia</t>
        </is>
      </c>
      <c r="D824" t="inlineStr">
        <is>
          <t>Medellín</t>
        </is>
      </c>
      <c r="E824" t="inlineStr">
        <is>
          <t>Juguetes</t>
        </is>
      </c>
      <c r="F824" t="inlineStr">
        <is>
          <t>App</t>
        </is>
      </c>
      <c r="G824" t="inlineStr">
        <is>
          <t>3. Pago</t>
        </is>
      </c>
      <c r="H824" t="n">
        <v>2</v>
      </c>
      <c r="I824" s="73" t="n">
        <v>87200</v>
      </c>
      <c r="J824" s="73" t="n">
        <v>200560</v>
      </c>
      <c r="K824" s="73" t="n">
        <v>129670</v>
      </c>
    </row>
    <row r="825">
      <c r="A825" t="n">
        <v>12078</v>
      </c>
      <c r="B825" s="72" t="n">
        <v>45564.38680555556</v>
      </c>
      <c r="C825" t="inlineStr">
        <is>
          <t>Risaralda</t>
        </is>
      </c>
      <c r="D825" t="inlineStr">
        <is>
          <t>Pereira</t>
        </is>
      </c>
      <c r="E825" t="inlineStr">
        <is>
          <t>Tecnología</t>
        </is>
      </c>
      <c r="F825" t="inlineStr">
        <is>
          <t>Tienda física</t>
        </is>
      </c>
      <c r="G825" t="inlineStr">
        <is>
          <t>2. Carrito</t>
        </is>
      </c>
      <c r="H825" t="n">
        <v>4</v>
      </c>
      <c r="I825" s="73" t="n">
        <v>810900</v>
      </c>
      <c r="J825" s="73" t="n">
        <v>3730140</v>
      </c>
      <c r="K825" s="73" t="n">
        <v>2241440</v>
      </c>
    </row>
    <row r="826">
      <c r="A826" t="n">
        <v>11804</v>
      </c>
      <c r="B826" s="72" t="n">
        <v>45564.41041666667</v>
      </c>
      <c r="C826" t="inlineStr">
        <is>
          <t>Nariño</t>
        </is>
      </c>
      <c r="D826" t="inlineStr">
        <is>
          <t>Pasto</t>
        </is>
      </c>
      <c r="E826" t="inlineStr">
        <is>
          <t>Tecnología</t>
        </is>
      </c>
      <c r="F826" t="inlineStr">
        <is>
          <t>Web</t>
        </is>
      </c>
      <c r="G826" t="inlineStr">
        <is>
          <t>2. Carrito</t>
        </is>
      </c>
      <c r="H826" t="n">
        <v>5</v>
      </c>
      <c r="I826" s="73" t="n">
        <v>687000</v>
      </c>
      <c r="J826" s="73" t="n">
        <v>3950250</v>
      </c>
      <c r="K826" s="73" t="n">
        <v>2582178</v>
      </c>
    </row>
    <row r="827">
      <c r="A827" t="n">
        <v>11366</v>
      </c>
      <c r="B827" s="72" t="n">
        <v>45564.575</v>
      </c>
      <c r="C827" t="inlineStr">
        <is>
          <t>Antioquia</t>
        </is>
      </c>
      <c r="D827" t="inlineStr">
        <is>
          <t>Medellín</t>
        </is>
      </c>
      <c r="E827" t="inlineStr">
        <is>
          <t>Deportes</t>
        </is>
      </c>
      <c r="F827" t="inlineStr">
        <is>
          <t>Web</t>
        </is>
      </c>
      <c r="G827" t="inlineStr">
        <is>
          <t>1. Visita</t>
        </is>
      </c>
      <c r="H827" t="n">
        <v>2</v>
      </c>
      <c r="I827" s="73" t="n">
        <v>170100</v>
      </c>
      <c r="J827" s="73" t="n">
        <v>391230</v>
      </c>
      <c r="K827" s="73" t="n">
        <v>256069</v>
      </c>
    </row>
    <row r="828">
      <c r="A828" t="n">
        <v>12234</v>
      </c>
      <c r="B828" s="72" t="n">
        <v>45565.28680555556</v>
      </c>
      <c r="C828" t="inlineStr">
        <is>
          <t>Huila</t>
        </is>
      </c>
      <c r="D828" t="inlineStr">
        <is>
          <t>Neiva</t>
        </is>
      </c>
      <c r="E828" t="inlineStr">
        <is>
          <t>Tecnología</t>
        </is>
      </c>
      <c r="F828" t="inlineStr">
        <is>
          <t>Tienda física</t>
        </is>
      </c>
      <c r="G828" t="inlineStr">
        <is>
          <t>3. Pago</t>
        </is>
      </c>
      <c r="H828" t="n">
        <v>3</v>
      </c>
      <c r="I828" s="73" t="n">
        <v>758100</v>
      </c>
      <c r="J828" s="73" t="n">
        <v>2274300</v>
      </c>
      <c r="K828" s="73" t="n">
        <v>1639272</v>
      </c>
    </row>
    <row r="829">
      <c r="A829" t="n">
        <v>10338</v>
      </c>
      <c r="B829" s="72" t="n">
        <v>45565.30694444444</v>
      </c>
      <c r="C829" t="inlineStr">
        <is>
          <t>Antioquia</t>
        </is>
      </c>
      <c r="D829" t="inlineStr">
        <is>
          <t>Medellín</t>
        </is>
      </c>
      <c r="E829" t="inlineStr">
        <is>
          <t>Deportes</t>
        </is>
      </c>
      <c r="F829" t="inlineStr">
        <is>
          <t>Web</t>
        </is>
      </c>
      <c r="G829" t="inlineStr">
        <is>
          <t>1. Visita</t>
        </is>
      </c>
      <c r="H829" t="n">
        <v>2</v>
      </c>
      <c r="I829" s="73" t="n">
        <v>168600</v>
      </c>
      <c r="J829" s="73" t="n">
        <v>337200</v>
      </c>
      <c r="K829" s="73" t="n">
        <v>201103</v>
      </c>
    </row>
    <row r="830">
      <c r="A830" t="n">
        <v>12151</v>
      </c>
      <c r="B830" s="72" t="n">
        <v>45565.35486111111</v>
      </c>
      <c r="C830" t="inlineStr">
        <is>
          <t>Valle del Cauca</t>
        </is>
      </c>
      <c r="D830" t="inlineStr">
        <is>
          <t>Cali</t>
        </is>
      </c>
      <c r="E830" t="inlineStr">
        <is>
          <t>Belleza</t>
        </is>
      </c>
      <c r="F830" t="inlineStr">
        <is>
          <t>Web</t>
        </is>
      </c>
      <c r="G830" t="inlineStr">
        <is>
          <t>3. Pago</t>
        </is>
      </c>
      <c r="H830" t="n">
        <v>5</v>
      </c>
      <c r="I830" s="73" t="n">
        <v>89700</v>
      </c>
      <c r="J830" s="73" t="n">
        <v>448500</v>
      </c>
      <c r="K830" s="73" t="n">
        <v>261045</v>
      </c>
    </row>
    <row r="831">
      <c r="A831" t="n">
        <v>11730</v>
      </c>
      <c r="B831" s="72" t="n">
        <v>45565.40555555555</v>
      </c>
      <c r="C831" t="inlineStr">
        <is>
          <t>Risaralda</t>
        </is>
      </c>
      <c r="D831" t="inlineStr">
        <is>
          <t>Pereira</t>
        </is>
      </c>
      <c r="E831" t="inlineStr">
        <is>
          <t>Moda</t>
        </is>
      </c>
      <c r="F831" t="inlineStr">
        <is>
          <t>Web</t>
        </is>
      </c>
      <c r="G831" t="inlineStr">
        <is>
          <t>3. Pago</t>
        </is>
      </c>
      <c r="H831" t="n">
        <v>5</v>
      </c>
      <c r="I831" s="73" t="n">
        <v>143200</v>
      </c>
      <c r="J831" s="73" t="n">
        <v>716000</v>
      </c>
      <c r="K831" s="73" t="n">
        <v>514646</v>
      </c>
    </row>
    <row r="832">
      <c r="A832" t="n">
        <v>12187</v>
      </c>
      <c r="B832" s="72" t="n">
        <v>45565.70694444444</v>
      </c>
      <c r="C832" t="inlineStr">
        <is>
          <t>Bogotá D.C.</t>
        </is>
      </c>
      <c r="D832" t="inlineStr">
        <is>
          <t>Bogotá</t>
        </is>
      </c>
      <c r="E832" t="inlineStr">
        <is>
          <t>Tecnología</t>
        </is>
      </c>
      <c r="F832" t="inlineStr">
        <is>
          <t>Marketplace</t>
        </is>
      </c>
      <c r="G832" t="inlineStr">
        <is>
          <t>1. Visita</t>
        </is>
      </c>
      <c r="H832" t="n">
        <v>3</v>
      </c>
      <c r="I832" s="73" t="n">
        <v>678600</v>
      </c>
      <c r="J832" s="73" t="n">
        <v>2035800</v>
      </c>
      <c r="K832" s="73" t="n">
        <v>1308199</v>
      </c>
    </row>
    <row r="833">
      <c r="A833" t="n">
        <v>12346</v>
      </c>
      <c r="B833" s="72" t="n">
        <v>45565.80208333334</v>
      </c>
      <c r="C833" t="inlineStr">
        <is>
          <t>Antioquia</t>
        </is>
      </c>
      <c r="D833" t="inlineStr">
        <is>
          <t>Medellín</t>
        </is>
      </c>
      <c r="E833" t="inlineStr">
        <is>
          <t>Moda</t>
        </is>
      </c>
      <c r="F833" t="inlineStr">
        <is>
          <t>Web</t>
        </is>
      </c>
      <c r="G833" t="inlineStr">
        <is>
          <t>1. Visita</t>
        </is>
      </c>
      <c r="H833" t="n">
        <v>5</v>
      </c>
      <c r="I833" s="73" t="n">
        <v>106000</v>
      </c>
      <c r="J833" s="73" t="n">
        <v>530000</v>
      </c>
      <c r="K833" s="73" t="n">
        <v>307996</v>
      </c>
    </row>
    <row r="834">
      <c r="A834" t="n">
        <v>11598</v>
      </c>
      <c r="B834" s="72" t="n">
        <v>45565.82569444444</v>
      </c>
      <c r="C834" t="inlineStr">
        <is>
          <t>Antioquia</t>
        </is>
      </c>
      <c r="D834" t="inlineStr">
        <is>
          <t>Medellín</t>
        </is>
      </c>
      <c r="E834" t="inlineStr">
        <is>
          <t>Moda</t>
        </is>
      </c>
      <c r="F834" t="inlineStr">
        <is>
          <t>Web</t>
        </is>
      </c>
      <c r="G834" t="inlineStr">
        <is>
          <t>1. Visita</t>
        </is>
      </c>
      <c r="H834" t="n">
        <v>4</v>
      </c>
      <c r="I834" s="73" t="n">
        <v>140600</v>
      </c>
      <c r="J834" s="73" t="n">
        <v>562400</v>
      </c>
      <c r="K834" s="73" t="n">
        <v>419290</v>
      </c>
    </row>
    <row r="835">
      <c r="A835" t="n">
        <v>11819</v>
      </c>
      <c r="B835" s="72" t="n">
        <v>45565.84583333333</v>
      </c>
      <c r="C835" t="inlineStr">
        <is>
          <t>Santander</t>
        </is>
      </c>
      <c r="D835" t="inlineStr">
        <is>
          <t>Bucaramanga</t>
        </is>
      </c>
      <c r="E835" t="inlineStr">
        <is>
          <t>Tecnología</t>
        </is>
      </c>
      <c r="F835" t="inlineStr">
        <is>
          <t>App</t>
        </is>
      </c>
      <c r="G835" t="inlineStr">
        <is>
          <t>1. Visita</t>
        </is>
      </c>
      <c r="H835" t="n">
        <v>1</v>
      </c>
      <c r="I835" s="73" t="n">
        <v>862100</v>
      </c>
      <c r="J835" s="73" t="n">
        <v>862100</v>
      </c>
      <c r="K835" s="73" t="n">
        <v>561405</v>
      </c>
    </row>
    <row r="836">
      <c r="A836" t="n">
        <v>11455</v>
      </c>
      <c r="B836" s="72" t="n">
        <v>45566.51597222222</v>
      </c>
      <c r="C836" t="inlineStr">
        <is>
          <t>Valle del Cauca</t>
        </is>
      </c>
      <c r="D836" t="inlineStr">
        <is>
          <t>Cali</t>
        </is>
      </c>
      <c r="E836" t="inlineStr">
        <is>
          <t>Hogar</t>
        </is>
      </c>
      <c r="F836" t="inlineStr">
        <is>
          <t>Tienda física</t>
        </is>
      </c>
      <c r="G836" t="inlineStr">
        <is>
          <t>1. Visita</t>
        </is>
      </c>
      <c r="H836" t="n">
        <v>5</v>
      </c>
      <c r="I836" s="73" t="n">
        <v>208500</v>
      </c>
      <c r="J836" s="73" t="n">
        <v>1042500</v>
      </c>
      <c r="K836" s="73" t="n">
        <v>578457</v>
      </c>
    </row>
    <row r="837">
      <c r="A837" t="n">
        <v>11830</v>
      </c>
      <c r="B837" s="72" t="n">
        <v>45566.77152777778</v>
      </c>
      <c r="C837" t="inlineStr">
        <is>
          <t>Valle del Cauca</t>
        </is>
      </c>
      <c r="D837" t="inlineStr">
        <is>
          <t>Cali</t>
        </is>
      </c>
      <c r="E837" t="inlineStr">
        <is>
          <t>Deportes</t>
        </is>
      </c>
      <c r="F837" t="inlineStr">
        <is>
          <t>Web</t>
        </is>
      </c>
      <c r="G837" t="inlineStr">
        <is>
          <t>4. Compra</t>
        </is>
      </c>
      <c r="H837" t="n">
        <v>3</v>
      </c>
      <c r="I837" s="73" t="n">
        <v>177000</v>
      </c>
      <c r="J837" s="73" t="n">
        <v>531000</v>
      </c>
      <c r="K837" s="73" t="n">
        <v>295631</v>
      </c>
    </row>
    <row r="838">
      <c r="A838" t="n">
        <v>11100</v>
      </c>
      <c r="B838" s="72" t="n">
        <v>45567.51805555556</v>
      </c>
      <c r="C838" t="inlineStr">
        <is>
          <t>Bogotá D.C.</t>
        </is>
      </c>
      <c r="D838" t="inlineStr">
        <is>
          <t>Bogotá</t>
        </is>
      </c>
      <c r="E838" t="inlineStr">
        <is>
          <t>Belleza</t>
        </is>
      </c>
      <c r="F838" t="inlineStr">
        <is>
          <t>App</t>
        </is>
      </c>
      <c r="G838" t="inlineStr">
        <is>
          <t>1. Visita</t>
        </is>
      </c>
      <c r="H838" t="n">
        <v>1</v>
      </c>
      <c r="I838" s="73" t="n">
        <v>74700</v>
      </c>
      <c r="J838" s="73" t="n">
        <v>74700</v>
      </c>
      <c r="K838" s="73" t="n">
        <v>48116</v>
      </c>
    </row>
    <row r="839">
      <c r="A839" t="n">
        <v>12109</v>
      </c>
      <c r="B839" s="72" t="n">
        <v>45567.62847222222</v>
      </c>
      <c r="C839" t="inlineStr">
        <is>
          <t>Bogotá D.C.</t>
        </is>
      </c>
      <c r="D839" t="inlineStr">
        <is>
          <t>Bogotá</t>
        </is>
      </c>
      <c r="E839" t="inlineStr">
        <is>
          <t>Deportes</t>
        </is>
      </c>
      <c r="F839" t="inlineStr">
        <is>
          <t>Tienda física</t>
        </is>
      </c>
      <c r="G839" t="inlineStr">
        <is>
          <t>2. Carrito</t>
        </is>
      </c>
      <c r="H839" t="n">
        <v>2</v>
      </c>
      <c r="I839" s="73" t="n">
        <v>172900</v>
      </c>
      <c r="J839" s="73" t="n">
        <v>345800</v>
      </c>
      <c r="K839" s="73" t="n">
        <v>213397</v>
      </c>
    </row>
    <row r="840">
      <c r="A840" t="n">
        <v>10938</v>
      </c>
      <c r="B840" s="72" t="n">
        <v>45567.65555555555</v>
      </c>
      <c r="C840" t="inlineStr">
        <is>
          <t>Huila</t>
        </is>
      </c>
      <c r="D840" t="inlineStr">
        <is>
          <t>Neiva</t>
        </is>
      </c>
      <c r="E840" t="inlineStr">
        <is>
          <t>Moda</t>
        </is>
      </c>
      <c r="F840" t="inlineStr">
        <is>
          <t>Web</t>
        </is>
      </c>
      <c r="G840" t="inlineStr">
        <is>
          <t>2. Carrito</t>
        </is>
      </c>
      <c r="H840" t="n">
        <v>5</v>
      </c>
      <c r="I840" s="73" t="n">
        <v>92600</v>
      </c>
      <c r="J840" s="73" t="n">
        <v>463000</v>
      </c>
      <c r="K840" s="73" t="n">
        <v>268092</v>
      </c>
    </row>
    <row r="841">
      <c r="A841" t="n">
        <v>12009</v>
      </c>
      <c r="B841" s="72" t="n">
        <v>45567.68055555555</v>
      </c>
      <c r="C841" t="inlineStr">
        <is>
          <t>Bogotá D.C.</t>
        </is>
      </c>
      <c r="D841" t="inlineStr">
        <is>
          <t>Bogotá</t>
        </is>
      </c>
      <c r="E841" t="inlineStr">
        <is>
          <t>Hogar</t>
        </is>
      </c>
      <c r="F841" t="inlineStr">
        <is>
          <t>Tienda física</t>
        </is>
      </c>
      <c r="G841" t="inlineStr">
        <is>
          <t>1. Visita</t>
        </is>
      </c>
      <c r="H841" t="n">
        <v>2</v>
      </c>
      <c r="I841" s="73" t="n">
        <v>248800</v>
      </c>
      <c r="J841" s="73" t="n">
        <v>497600</v>
      </c>
      <c r="K841" s="73" t="n">
        <v>331144</v>
      </c>
    </row>
    <row r="842">
      <c r="A842" t="n">
        <v>12113</v>
      </c>
      <c r="B842" s="72" t="n">
        <v>45567.72638888889</v>
      </c>
      <c r="C842" t="inlineStr">
        <is>
          <t>Antioquia</t>
        </is>
      </c>
      <c r="D842" t="inlineStr">
        <is>
          <t>Medellín</t>
        </is>
      </c>
      <c r="E842" t="inlineStr">
        <is>
          <t>Hogar</t>
        </is>
      </c>
      <c r="F842" t="inlineStr">
        <is>
          <t>Tienda física</t>
        </is>
      </c>
      <c r="G842" t="inlineStr">
        <is>
          <t>4. Compra</t>
        </is>
      </c>
      <c r="H842" t="n">
        <v>3</v>
      </c>
      <c r="I842" s="73" t="n">
        <v>157800</v>
      </c>
      <c r="J842" s="73" t="n">
        <v>473400</v>
      </c>
      <c r="K842" s="73" t="n">
        <v>274655</v>
      </c>
    </row>
    <row r="843">
      <c r="A843" t="n">
        <v>11550</v>
      </c>
      <c r="B843" s="72" t="n">
        <v>45568.31527777778</v>
      </c>
      <c r="C843" t="inlineStr">
        <is>
          <t>Bogotá D.C.</t>
        </is>
      </c>
      <c r="D843" t="inlineStr">
        <is>
          <t>Bogotá</t>
        </is>
      </c>
      <c r="E843" t="inlineStr">
        <is>
          <t>Juguetes</t>
        </is>
      </c>
      <c r="F843" t="inlineStr">
        <is>
          <t>App</t>
        </is>
      </c>
      <c r="G843" t="inlineStr">
        <is>
          <t>2. Carrito</t>
        </is>
      </c>
      <c r="H843" t="n">
        <v>3</v>
      </c>
      <c r="I843" s="73" t="n">
        <v>77700</v>
      </c>
      <c r="J843" s="73" t="n">
        <v>233100</v>
      </c>
      <c r="K843" s="73" t="n">
        <v>147657</v>
      </c>
    </row>
    <row r="844">
      <c r="A844" t="n">
        <v>11868</v>
      </c>
      <c r="B844" s="72" t="n">
        <v>45568.39444444444</v>
      </c>
      <c r="C844" t="inlineStr">
        <is>
          <t>Bogotá D.C.</t>
        </is>
      </c>
      <c r="D844" t="inlineStr">
        <is>
          <t>Bogotá</t>
        </is>
      </c>
      <c r="E844" t="inlineStr">
        <is>
          <t>Juguetes</t>
        </is>
      </c>
      <c r="F844" t="inlineStr">
        <is>
          <t>Web</t>
        </is>
      </c>
      <c r="G844" t="inlineStr">
        <is>
          <t>1. Visita</t>
        </is>
      </c>
      <c r="H844" t="n">
        <v>5</v>
      </c>
      <c r="I844" s="73" t="n">
        <v>79100</v>
      </c>
      <c r="J844" s="73" t="n">
        <v>395500</v>
      </c>
      <c r="K844" s="73" t="n">
        <v>261560</v>
      </c>
    </row>
    <row r="845">
      <c r="A845" t="n">
        <v>12285</v>
      </c>
      <c r="B845" s="72" t="n">
        <v>45568.66319444445</v>
      </c>
      <c r="C845" t="inlineStr">
        <is>
          <t>Antioquia</t>
        </is>
      </c>
      <c r="D845" t="inlineStr">
        <is>
          <t>Medellín</t>
        </is>
      </c>
      <c r="E845" t="inlineStr">
        <is>
          <t>Tecnología</t>
        </is>
      </c>
      <c r="F845" t="inlineStr">
        <is>
          <t>Web</t>
        </is>
      </c>
      <c r="G845" t="inlineStr">
        <is>
          <t>1. Visita</t>
        </is>
      </c>
      <c r="H845" t="n">
        <v>1</v>
      </c>
      <c r="I845" s="73" t="n">
        <v>797800</v>
      </c>
      <c r="J845" s="73" t="n">
        <v>797800</v>
      </c>
      <c r="K845" s="73" t="n">
        <v>576293</v>
      </c>
    </row>
    <row r="846">
      <c r="A846" t="n">
        <v>10083</v>
      </c>
      <c r="B846" s="72" t="n">
        <v>45568.76041666666</v>
      </c>
      <c r="C846" t="inlineStr">
        <is>
          <t>Antioquia</t>
        </is>
      </c>
      <c r="D846" t="inlineStr">
        <is>
          <t>Medellín</t>
        </is>
      </c>
      <c r="E846" t="inlineStr">
        <is>
          <t>Belleza</t>
        </is>
      </c>
      <c r="F846" t="inlineStr">
        <is>
          <t>App</t>
        </is>
      </c>
      <c r="G846" t="inlineStr">
        <is>
          <t>2. Carrito</t>
        </is>
      </c>
      <c r="H846" t="n">
        <v>3</v>
      </c>
      <c r="I846" s="73" t="n">
        <v>53600</v>
      </c>
      <c r="J846" s="73" t="n">
        <v>160800</v>
      </c>
      <c r="K846" s="73" t="n">
        <v>99598</v>
      </c>
    </row>
    <row r="847">
      <c r="A847" t="n">
        <v>11515</v>
      </c>
      <c r="B847" s="72" t="n">
        <v>45568.85902777778</v>
      </c>
      <c r="C847" t="inlineStr">
        <is>
          <t>Santander</t>
        </is>
      </c>
      <c r="D847" t="inlineStr">
        <is>
          <t>Bucaramanga</t>
        </is>
      </c>
      <c r="E847" t="inlineStr">
        <is>
          <t>Deportes</t>
        </is>
      </c>
      <c r="F847" t="inlineStr">
        <is>
          <t>App</t>
        </is>
      </c>
      <c r="G847" t="inlineStr">
        <is>
          <t>1. Visita</t>
        </is>
      </c>
      <c r="H847" t="n">
        <v>2</v>
      </c>
      <c r="I847" s="73" t="n">
        <v>179700</v>
      </c>
      <c r="J847" s="73" t="n">
        <v>359400</v>
      </c>
      <c r="K847" s="73" t="n">
        <v>225411</v>
      </c>
    </row>
    <row r="848">
      <c r="A848" t="n">
        <v>11458</v>
      </c>
      <c r="B848" s="72" t="n">
        <v>45568.87430555555</v>
      </c>
      <c r="C848" t="inlineStr">
        <is>
          <t>Antioquia</t>
        </is>
      </c>
      <c r="D848" t="inlineStr">
        <is>
          <t>Medellín</t>
        </is>
      </c>
      <c r="E848" t="inlineStr">
        <is>
          <t>Tecnología</t>
        </is>
      </c>
      <c r="F848" t="inlineStr">
        <is>
          <t>Tienda física</t>
        </is>
      </c>
      <c r="G848" t="inlineStr">
        <is>
          <t>1. Visita</t>
        </is>
      </c>
      <c r="H848" t="n">
        <v>3</v>
      </c>
      <c r="I848" s="73" t="n">
        <v>984400</v>
      </c>
      <c r="J848" s="73" t="n">
        <v>2953200</v>
      </c>
      <c r="K848" s="73" t="n">
        <v>1910563</v>
      </c>
    </row>
    <row r="849">
      <c r="A849" t="n">
        <v>12030</v>
      </c>
      <c r="B849" s="72" t="n">
        <v>45569.42638888889</v>
      </c>
      <c r="C849" t="inlineStr">
        <is>
          <t>Santander</t>
        </is>
      </c>
      <c r="D849" t="inlineStr">
        <is>
          <t>Bucaramanga</t>
        </is>
      </c>
      <c r="E849" t="inlineStr">
        <is>
          <t>Deportes</t>
        </is>
      </c>
      <c r="F849" t="inlineStr">
        <is>
          <t>Web</t>
        </is>
      </c>
      <c r="G849" t="inlineStr">
        <is>
          <t>2. Carrito</t>
        </is>
      </c>
      <c r="H849" t="n">
        <v>5</v>
      </c>
      <c r="I849" s="73" t="n">
        <v>206200</v>
      </c>
      <c r="J849" s="73" t="n">
        <v>1185650</v>
      </c>
      <c r="K849" s="73" t="n">
        <v>751477</v>
      </c>
    </row>
    <row r="850">
      <c r="A850" t="n">
        <v>11265</v>
      </c>
      <c r="B850" s="72" t="n">
        <v>45569.49305555555</v>
      </c>
      <c r="C850" t="inlineStr">
        <is>
          <t>Antioquia</t>
        </is>
      </c>
      <c r="D850" t="inlineStr">
        <is>
          <t>Medellín</t>
        </is>
      </c>
      <c r="E850" t="inlineStr">
        <is>
          <t>Belleza</t>
        </is>
      </c>
      <c r="F850" t="inlineStr">
        <is>
          <t>Web</t>
        </is>
      </c>
      <c r="G850" t="inlineStr">
        <is>
          <t>4. Compra</t>
        </is>
      </c>
      <c r="H850" t="n">
        <v>2</v>
      </c>
      <c r="I850" s="73" t="n">
        <v>53400</v>
      </c>
      <c r="J850" s="73" t="n">
        <v>122820</v>
      </c>
      <c r="K850" s="73" t="n">
        <v>82870</v>
      </c>
    </row>
    <row r="851">
      <c r="A851" t="n">
        <v>10481</v>
      </c>
      <c r="B851" s="72" t="n">
        <v>45569.49583333333</v>
      </c>
      <c r="C851" t="inlineStr">
        <is>
          <t>Valle del Cauca</t>
        </is>
      </c>
      <c r="D851" t="inlineStr">
        <is>
          <t>Cali</t>
        </is>
      </c>
      <c r="E851" t="inlineStr">
        <is>
          <t>Deportes</t>
        </is>
      </c>
      <c r="F851" t="inlineStr">
        <is>
          <t>App</t>
        </is>
      </c>
      <c r="G851" t="inlineStr">
        <is>
          <t>1. Visita</t>
        </is>
      </c>
      <c r="H851" t="n">
        <v>1</v>
      </c>
      <c r="I851" s="73" t="n">
        <v>128900</v>
      </c>
      <c r="J851" s="73" t="n">
        <v>148235</v>
      </c>
      <c r="K851" s="73" t="n">
        <v>92036</v>
      </c>
    </row>
    <row r="852">
      <c r="A852" t="n">
        <v>10998</v>
      </c>
      <c r="B852" s="72" t="n">
        <v>45569.65972222222</v>
      </c>
      <c r="C852" t="inlineStr">
        <is>
          <t>Nariño</t>
        </is>
      </c>
      <c r="D852" t="inlineStr">
        <is>
          <t>Pasto</t>
        </is>
      </c>
      <c r="E852" t="inlineStr">
        <is>
          <t>Moda</t>
        </is>
      </c>
      <c r="F852" t="inlineStr">
        <is>
          <t>Tienda física</t>
        </is>
      </c>
      <c r="G852" t="inlineStr">
        <is>
          <t>1. Visita</t>
        </is>
      </c>
      <c r="H852" t="n">
        <v>3</v>
      </c>
      <c r="I852" s="73" t="n">
        <v>126000</v>
      </c>
      <c r="J852" s="73" t="n">
        <v>434700</v>
      </c>
      <c r="K852" s="73" t="n">
        <v>279789</v>
      </c>
    </row>
    <row r="853">
      <c r="A853" t="n">
        <v>10580</v>
      </c>
      <c r="B853" s="72" t="n">
        <v>45569.70902777778</v>
      </c>
      <c r="C853" t="inlineStr">
        <is>
          <t>Antioquia</t>
        </is>
      </c>
      <c r="D853" t="inlineStr">
        <is>
          <t>Medellín</t>
        </is>
      </c>
      <c r="E853" t="inlineStr">
        <is>
          <t>Juguetes</t>
        </is>
      </c>
      <c r="F853" t="inlineStr">
        <is>
          <t>App</t>
        </is>
      </c>
      <c r="G853" t="inlineStr">
        <is>
          <t>1. Visita</t>
        </is>
      </c>
      <c r="H853" t="n">
        <v>3</v>
      </c>
      <c r="I853" s="73" t="n">
        <v>97400</v>
      </c>
      <c r="J853" s="73" t="n">
        <v>336030</v>
      </c>
      <c r="K853" s="73" t="n">
        <v>204104</v>
      </c>
    </row>
    <row r="854">
      <c r="A854" t="n">
        <v>11169</v>
      </c>
      <c r="B854" s="72" t="n">
        <v>45569.73888888889</v>
      </c>
      <c r="C854" t="inlineStr">
        <is>
          <t>Valle del Cauca</t>
        </is>
      </c>
      <c r="D854" t="inlineStr">
        <is>
          <t>Cali</t>
        </is>
      </c>
      <c r="E854" t="inlineStr">
        <is>
          <t>Juguetes</t>
        </is>
      </c>
      <c r="F854" t="inlineStr">
        <is>
          <t>Tienda física</t>
        </is>
      </c>
      <c r="G854" t="inlineStr">
        <is>
          <t>2. Carrito</t>
        </is>
      </c>
      <c r="H854" t="n">
        <v>3</v>
      </c>
      <c r="I854" s="73" t="n">
        <v>98300</v>
      </c>
      <c r="J854" s="73" t="n">
        <v>339135</v>
      </c>
      <c r="K854" s="73" t="n">
        <v>251592</v>
      </c>
    </row>
    <row r="855">
      <c r="A855" t="n">
        <v>11960</v>
      </c>
      <c r="B855" s="72" t="n">
        <v>45569.79444444444</v>
      </c>
      <c r="C855" t="inlineStr">
        <is>
          <t>Atlántico</t>
        </is>
      </c>
      <c r="D855" t="inlineStr">
        <is>
          <t>Barranquilla</t>
        </is>
      </c>
      <c r="E855" t="inlineStr">
        <is>
          <t>Juguetes</t>
        </is>
      </c>
      <c r="F855" t="inlineStr">
        <is>
          <t>App</t>
        </is>
      </c>
      <c r="G855" t="inlineStr">
        <is>
          <t>3. Pago</t>
        </is>
      </c>
      <c r="H855" t="n">
        <v>2</v>
      </c>
      <c r="I855" s="73" t="n">
        <v>67900</v>
      </c>
      <c r="J855" s="73" t="n">
        <v>156170</v>
      </c>
      <c r="K855" s="73" t="n">
        <v>91241</v>
      </c>
    </row>
    <row r="856">
      <c r="A856" t="n">
        <v>12313</v>
      </c>
      <c r="B856" s="72" t="n">
        <v>45569.83819444444</v>
      </c>
      <c r="C856" t="inlineStr">
        <is>
          <t>Bogotá D.C.</t>
        </is>
      </c>
      <c r="D856" t="inlineStr">
        <is>
          <t>Bogotá</t>
        </is>
      </c>
      <c r="E856" t="inlineStr">
        <is>
          <t>Moda</t>
        </is>
      </c>
      <c r="F856" t="inlineStr">
        <is>
          <t>Tienda física</t>
        </is>
      </c>
      <c r="G856" t="inlineStr">
        <is>
          <t>2. Carrito</t>
        </is>
      </c>
      <c r="H856" t="n">
        <v>5</v>
      </c>
      <c r="I856" s="73" t="n">
        <v>101600</v>
      </c>
      <c r="J856" s="73" t="n">
        <v>584200</v>
      </c>
      <c r="K856" s="73" t="n">
        <v>323414</v>
      </c>
    </row>
    <row r="857">
      <c r="A857" t="n">
        <v>10185</v>
      </c>
      <c r="B857" s="72" t="n">
        <v>45569.84166666667</v>
      </c>
      <c r="C857" t="inlineStr">
        <is>
          <t>Valle del Cauca</t>
        </is>
      </c>
      <c r="D857" t="inlineStr">
        <is>
          <t>Cali</t>
        </is>
      </c>
      <c r="E857" t="inlineStr">
        <is>
          <t>Tecnología</t>
        </is>
      </c>
      <c r="F857" t="inlineStr">
        <is>
          <t>Tienda física</t>
        </is>
      </c>
      <c r="G857" t="inlineStr">
        <is>
          <t>1. Visita</t>
        </is>
      </c>
      <c r="H857" t="n">
        <v>4</v>
      </c>
      <c r="I857" s="73" t="n">
        <v>830600</v>
      </c>
      <c r="J857" s="73" t="n">
        <v>3820760</v>
      </c>
      <c r="K857" s="73" t="n">
        <v>2107627</v>
      </c>
    </row>
    <row r="858">
      <c r="A858" t="n">
        <v>10760</v>
      </c>
      <c r="B858" s="72" t="n">
        <v>45570.03680555556</v>
      </c>
      <c r="C858" t="inlineStr">
        <is>
          <t>Bogotá D.C.</t>
        </is>
      </c>
      <c r="D858" t="inlineStr">
        <is>
          <t>Bogotá</t>
        </is>
      </c>
      <c r="E858" t="inlineStr">
        <is>
          <t>Tecnología</t>
        </is>
      </c>
      <c r="F858" t="inlineStr">
        <is>
          <t>App</t>
        </is>
      </c>
      <c r="G858" t="inlineStr">
        <is>
          <t>2. Carrito</t>
        </is>
      </c>
      <c r="H858" t="n">
        <v>2</v>
      </c>
      <c r="I858" s="73" t="n">
        <v>800600</v>
      </c>
      <c r="J858" s="73" t="n">
        <v>1841380</v>
      </c>
      <c r="K858" s="73" t="n">
        <v>1140732</v>
      </c>
    </row>
    <row r="859">
      <c r="A859" t="n">
        <v>10585</v>
      </c>
      <c r="B859" s="72" t="n">
        <v>45570.35416666666</v>
      </c>
      <c r="C859" t="inlineStr">
        <is>
          <t>Antioquia</t>
        </is>
      </c>
      <c r="D859" t="inlineStr">
        <is>
          <t>Medellín</t>
        </is>
      </c>
      <c r="E859" t="inlineStr">
        <is>
          <t>Tecnología</t>
        </is>
      </c>
      <c r="F859" t="inlineStr">
        <is>
          <t>Web</t>
        </is>
      </c>
      <c r="G859" t="inlineStr">
        <is>
          <t>3. Pago</t>
        </is>
      </c>
      <c r="H859" t="n">
        <v>2</v>
      </c>
      <c r="I859" s="73" t="n">
        <v>695200</v>
      </c>
      <c r="J859" s="73" t="n">
        <v>1598960</v>
      </c>
      <c r="K859" s="73" t="n">
        <v>984350</v>
      </c>
    </row>
    <row r="860">
      <c r="A860" t="n">
        <v>11018</v>
      </c>
      <c r="B860" s="72" t="n">
        <v>45570.67013888889</v>
      </c>
      <c r="C860" t="inlineStr">
        <is>
          <t>Bolívar</t>
        </is>
      </c>
      <c r="D860" t="inlineStr">
        <is>
          <t>Cartagena</t>
        </is>
      </c>
      <c r="E860" t="inlineStr">
        <is>
          <t>Deportes</t>
        </is>
      </c>
      <c r="F860" t="inlineStr">
        <is>
          <t>App</t>
        </is>
      </c>
      <c r="G860" t="inlineStr">
        <is>
          <t>2. Carrito</t>
        </is>
      </c>
      <c r="H860" t="n">
        <v>5</v>
      </c>
      <c r="I860" s="73" t="n">
        <v>175200</v>
      </c>
      <c r="J860" s="73" t="n">
        <v>1007400</v>
      </c>
      <c r="K860" s="73" t="n">
        <v>607420</v>
      </c>
    </row>
    <row r="861">
      <c r="A861" t="n">
        <v>11305</v>
      </c>
      <c r="B861" s="72" t="n">
        <v>45570.76111111111</v>
      </c>
      <c r="C861" t="inlineStr">
        <is>
          <t>Antioquia</t>
        </is>
      </c>
      <c r="D861" t="inlineStr">
        <is>
          <t>Medellín</t>
        </is>
      </c>
      <c r="E861" t="inlineStr">
        <is>
          <t>Moda</t>
        </is>
      </c>
      <c r="F861" t="inlineStr">
        <is>
          <t>Web</t>
        </is>
      </c>
      <c r="G861" t="inlineStr">
        <is>
          <t>3. Pago</t>
        </is>
      </c>
      <c r="H861" t="n">
        <v>3</v>
      </c>
      <c r="I861" s="73" t="n">
        <v>131200</v>
      </c>
      <c r="J861" s="73" t="n">
        <v>452640</v>
      </c>
      <c r="K861" s="73" t="n">
        <v>321398</v>
      </c>
    </row>
    <row r="862">
      <c r="A862" t="n">
        <v>10652</v>
      </c>
      <c r="B862" s="72" t="n">
        <v>45570.87569444445</v>
      </c>
      <c r="C862" t="inlineStr">
        <is>
          <t>Antioquia</t>
        </is>
      </c>
      <c r="D862" t="inlineStr">
        <is>
          <t>Medellín</t>
        </is>
      </c>
      <c r="E862" t="inlineStr">
        <is>
          <t>Hogar</t>
        </is>
      </c>
      <c r="F862" t="inlineStr">
        <is>
          <t>Web</t>
        </is>
      </c>
      <c r="G862" t="inlineStr">
        <is>
          <t>3. Pago</t>
        </is>
      </c>
      <c r="H862" t="n">
        <v>2</v>
      </c>
      <c r="I862" s="73" t="n">
        <v>196000</v>
      </c>
      <c r="J862" s="73" t="n">
        <v>450800</v>
      </c>
      <c r="K862" s="73" t="n">
        <v>309211</v>
      </c>
    </row>
    <row r="863">
      <c r="A863" t="n">
        <v>10606</v>
      </c>
      <c r="B863" s="72" t="n">
        <v>45571.49930555555</v>
      </c>
      <c r="C863" t="inlineStr">
        <is>
          <t>Bogotá D.C.</t>
        </is>
      </c>
      <c r="D863" t="inlineStr">
        <is>
          <t>Bogotá</t>
        </is>
      </c>
      <c r="E863" t="inlineStr">
        <is>
          <t>Deportes</t>
        </is>
      </c>
      <c r="F863" t="inlineStr">
        <is>
          <t>Web</t>
        </is>
      </c>
      <c r="G863" t="inlineStr">
        <is>
          <t>2. Carrito</t>
        </is>
      </c>
      <c r="H863" t="n">
        <v>2</v>
      </c>
      <c r="I863" s="73" t="n">
        <v>134200</v>
      </c>
      <c r="J863" s="73" t="n">
        <v>308660</v>
      </c>
      <c r="K863" s="73" t="n">
        <v>195492</v>
      </c>
    </row>
    <row r="864">
      <c r="A864" t="n">
        <v>11414</v>
      </c>
      <c r="B864" s="72" t="n">
        <v>45571.62638888889</v>
      </c>
      <c r="C864" t="inlineStr">
        <is>
          <t>Antioquia</t>
        </is>
      </c>
      <c r="D864" t="inlineStr">
        <is>
          <t>Medellín</t>
        </is>
      </c>
      <c r="E864" t="inlineStr">
        <is>
          <t>Deportes</t>
        </is>
      </c>
      <c r="F864" t="inlineStr">
        <is>
          <t>Web</t>
        </is>
      </c>
      <c r="G864" t="inlineStr">
        <is>
          <t>1. Visita</t>
        </is>
      </c>
      <c r="H864" t="n">
        <v>3</v>
      </c>
      <c r="I864" s="73" t="n">
        <v>132900</v>
      </c>
      <c r="J864" s="73" t="n">
        <v>458505</v>
      </c>
      <c r="K864" s="73" t="n">
        <v>330300</v>
      </c>
    </row>
    <row r="865">
      <c r="A865" t="n">
        <v>11601</v>
      </c>
      <c r="B865" s="72" t="n">
        <v>45571.75555555556</v>
      </c>
      <c r="C865" t="inlineStr">
        <is>
          <t>Meta</t>
        </is>
      </c>
      <c r="D865" t="inlineStr">
        <is>
          <t>Villavicencio</t>
        </is>
      </c>
      <c r="E865" t="inlineStr">
        <is>
          <t>Deportes</t>
        </is>
      </c>
      <c r="F865" t="inlineStr">
        <is>
          <t>App</t>
        </is>
      </c>
      <c r="G865" t="inlineStr">
        <is>
          <t>2. Carrito</t>
        </is>
      </c>
      <c r="H865" t="n">
        <v>4</v>
      </c>
      <c r="I865" s="73" t="n">
        <v>122300</v>
      </c>
      <c r="J865" s="73" t="n">
        <v>562580</v>
      </c>
      <c r="K865" s="73" t="n">
        <v>344544</v>
      </c>
    </row>
    <row r="866">
      <c r="A866" t="n">
        <v>11340</v>
      </c>
      <c r="B866" s="72" t="n">
        <v>45571.76666666667</v>
      </c>
      <c r="C866" t="inlineStr">
        <is>
          <t>Santander</t>
        </is>
      </c>
      <c r="D866" t="inlineStr">
        <is>
          <t>Bucaramanga</t>
        </is>
      </c>
      <c r="E866" t="inlineStr">
        <is>
          <t>Moda</t>
        </is>
      </c>
      <c r="F866" t="inlineStr">
        <is>
          <t>App</t>
        </is>
      </c>
      <c r="G866" t="inlineStr">
        <is>
          <t>3. Pago</t>
        </is>
      </c>
      <c r="H866" t="n">
        <v>2</v>
      </c>
      <c r="I866" s="73" t="n">
        <v>109200</v>
      </c>
      <c r="J866" s="73" t="n">
        <v>251160</v>
      </c>
      <c r="K866" s="73" t="n">
        <v>186507</v>
      </c>
    </row>
    <row r="867">
      <c r="A867" t="n">
        <v>11268</v>
      </c>
      <c r="B867" s="72" t="n">
        <v>45571.84236111111</v>
      </c>
      <c r="C867" t="inlineStr">
        <is>
          <t>Antioquia</t>
        </is>
      </c>
      <c r="D867" t="inlineStr">
        <is>
          <t>Medellín</t>
        </is>
      </c>
      <c r="E867" t="inlineStr">
        <is>
          <t>Hogar</t>
        </is>
      </c>
      <c r="F867" t="inlineStr">
        <is>
          <t>Tienda física</t>
        </is>
      </c>
      <c r="G867" t="inlineStr">
        <is>
          <t>4. Compra</t>
        </is>
      </c>
      <c r="H867" t="n">
        <v>5</v>
      </c>
      <c r="I867" s="73" t="n">
        <v>168000</v>
      </c>
      <c r="J867" s="73" t="n">
        <v>966000</v>
      </c>
      <c r="K867" s="73" t="n">
        <v>569101</v>
      </c>
    </row>
    <row r="868">
      <c r="A868" t="n">
        <v>10650</v>
      </c>
      <c r="B868" s="72" t="n">
        <v>45571.99513888889</v>
      </c>
      <c r="C868" t="inlineStr">
        <is>
          <t>Antioquia</t>
        </is>
      </c>
      <c r="D868" t="inlineStr">
        <is>
          <t>Medellín</t>
        </is>
      </c>
      <c r="E868" t="inlineStr">
        <is>
          <t>Moda</t>
        </is>
      </c>
      <c r="F868" t="inlineStr">
        <is>
          <t>Web</t>
        </is>
      </c>
      <c r="G868" t="inlineStr">
        <is>
          <t>4. Compra</t>
        </is>
      </c>
      <c r="H868" t="n">
        <v>2</v>
      </c>
      <c r="I868" s="73" t="n">
        <v>155000</v>
      </c>
      <c r="J868" s="73" t="n">
        <v>356500</v>
      </c>
      <c r="K868" s="73" t="n">
        <v>267354</v>
      </c>
    </row>
    <row r="869">
      <c r="A869" t="n">
        <v>12035</v>
      </c>
      <c r="B869" s="72" t="n">
        <v>45572.26041666666</v>
      </c>
      <c r="C869" t="inlineStr">
        <is>
          <t>Bogotá D.C.</t>
        </is>
      </c>
      <c r="D869" t="inlineStr">
        <is>
          <t>Bogotá</t>
        </is>
      </c>
      <c r="E869" t="inlineStr">
        <is>
          <t>Tecnología</t>
        </is>
      </c>
      <c r="F869" t="inlineStr">
        <is>
          <t>App</t>
        </is>
      </c>
      <c r="G869" t="inlineStr">
        <is>
          <t>2. Carrito</t>
        </is>
      </c>
      <c r="H869" t="n">
        <v>2</v>
      </c>
      <c r="I869" s="73" t="n">
        <v>669400</v>
      </c>
      <c r="J869" s="73" t="n">
        <v>1338800</v>
      </c>
      <c r="K869" s="73" t="n">
        <v>823673</v>
      </c>
    </row>
    <row r="870">
      <c r="A870" t="n">
        <v>11880</v>
      </c>
      <c r="B870" s="72" t="n">
        <v>45572.91111111111</v>
      </c>
      <c r="C870" t="inlineStr">
        <is>
          <t>Antioquia</t>
        </is>
      </c>
      <c r="D870" t="inlineStr">
        <is>
          <t>Medellín</t>
        </is>
      </c>
      <c r="E870" t="inlineStr">
        <is>
          <t>Tecnología</t>
        </is>
      </c>
      <c r="F870" t="inlineStr">
        <is>
          <t>Tienda física</t>
        </is>
      </c>
      <c r="G870" t="inlineStr">
        <is>
          <t>1. Visita</t>
        </is>
      </c>
      <c r="H870" t="n">
        <v>1</v>
      </c>
      <c r="I870" s="73" t="n">
        <v>664500</v>
      </c>
      <c r="J870" s="73" t="n">
        <v>664500</v>
      </c>
      <c r="K870" s="73" t="n">
        <v>470614</v>
      </c>
    </row>
    <row r="871">
      <c r="A871" t="n">
        <v>12080</v>
      </c>
      <c r="B871" s="72" t="n">
        <v>45573.30277777778</v>
      </c>
      <c r="C871" t="inlineStr">
        <is>
          <t>Bogotá D.C.</t>
        </is>
      </c>
      <c r="D871" t="inlineStr">
        <is>
          <t>Bogotá</t>
        </is>
      </c>
      <c r="E871" t="inlineStr">
        <is>
          <t>Moda</t>
        </is>
      </c>
      <c r="F871" t="inlineStr">
        <is>
          <t>Web</t>
        </is>
      </c>
      <c r="G871" t="inlineStr">
        <is>
          <t>1. Visita</t>
        </is>
      </c>
      <c r="H871" t="n">
        <v>4</v>
      </c>
      <c r="I871" s="73" t="n">
        <v>103600</v>
      </c>
      <c r="J871" s="73" t="n">
        <v>414400</v>
      </c>
      <c r="K871" s="73" t="n">
        <v>285786</v>
      </c>
    </row>
    <row r="872">
      <c r="A872" t="n">
        <v>12021</v>
      </c>
      <c r="B872" s="72" t="n">
        <v>45573.47013888889</v>
      </c>
      <c r="C872" t="inlineStr">
        <is>
          <t>Antioquia</t>
        </is>
      </c>
      <c r="D872" t="inlineStr">
        <is>
          <t>Medellín</t>
        </is>
      </c>
      <c r="E872" t="inlineStr">
        <is>
          <t>Juguetes</t>
        </is>
      </c>
      <c r="F872" t="inlineStr">
        <is>
          <t>App</t>
        </is>
      </c>
      <c r="G872" t="inlineStr">
        <is>
          <t>2. Carrito</t>
        </is>
      </c>
      <c r="H872" t="n">
        <v>5</v>
      </c>
      <c r="I872" s="73" t="n">
        <v>95100</v>
      </c>
      <c r="J872" s="73" t="n">
        <v>475500</v>
      </c>
      <c r="K872" s="73" t="n">
        <v>330158</v>
      </c>
    </row>
    <row r="873">
      <c r="A873" t="n">
        <v>12064</v>
      </c>
      <c r="B873" s="72" t="n">
        <v>45573.53194444445</v>
      </c>
      <c r="C873" t="inlineStr">
        <is>
          <t>Antioquia</t>
        </is>
      </c>
      <c r="D873" t="inlineStr">
        <is>
          <t>Medellín</t>
        </is>
      </c>
      <c r="E873" t="inlineStr">
        <is>
          <t>Tecnología</t>
        </is>
      </c>
      <c r="F873" t="inlineStr">
        <is>
          <t>Web</t>
        </is>
      </c>
      <c r="G873" t="inlineStr">
        <is>
          <t>1. Visita</t>
        </is>
      </c>
      <c r="H873" t="n">
        <v>1</v>
      </c>
      <c r="I873" s="73" t="n">
        <v>912700</v>
      </c>
      <c r="J873" s="73" t="n">
        <v>912700</v>
      </c>
      <c r="K873" s="73" t="n">
        <v>568014</v>
      </c>
    </row>
    <row r="874">
      <c r="A874" t="n">
        <v>11631</v>
      </c>
      <c r="B874" s="72" t="n">
        <v>45573.53402777778</v>
      </c>
      <c r="C874" t="inlineStr">
        <is>
          <t>Risaralda</t>
        </is>
      </c>
      <c r="D874" t="inlineStr">
        <is>
          <t>Pereira</t>
        </is>
      </c>
      <c r="E874" t="inlineStr">
        <is>
          <t>Juguetes</t>
        </is>
      </c>
      <c r="F874" t="inlineStr">
        <is>
          <t>App</t>
        </is>
      </c>
      <c r="G874" t="inlineStr">
        <is>
          <t>2. Carrito</t>
        </is>
      </c>
      <c r="H874" t="n">
        <v>4</v>
      </c>
      <c r="I874" s="73" t="n">
        <v>112800</v>
      </c>
      <c r="J874" s="73" t="n">
        <v>451200</v>
      </c>
      <c r="K874" s="73" t="n">
        <v>254397</v>
      </c>
    </row>
    <row r="875">
      <c r="A875" t="n">
        <v>12296</v>
      </c>
      <c r="B875" s="72" t="n">
        <v>45573.54444444444</v>
      </c>
      <c r="C875" t="inlineStr">
        <is>
          <t>Bogotá D.C.</t>
        </is>
      </c>
      <c r="D875" t="inlineStr">
        <is>
          <t>Bogotá</t>
        </is>
      </c>
      <c r="E875" t="inlineStr">
        <is>
          <t>Juguetes</t>
        </is>
      </c>
      <c r="F875" t="inlineStr">
        <is>
          <t>Web</t>
        </is>
      </c>
      <c r="G875" t="inlineStr">
        <is>
          <t>1. Visita</t>
        </is>
      </c>
      <c r="H875" t="n">
        <v>1</v>
      </c>
      <c r="I875" s="73" t="n">
        <v>76300</v>
      </c>
      <c r="J875" s="73" t="n">
        <v>76300</v>
      </c>
      <c r="K875" s="73" t="n">
        <v>49731</v>
      </c>
    </row>
    <row r="876">
      <c r="A876" t="n">
        <v>10332</v>
      </c>
      <c r="B876" s="72" t="n">
        <v>45573.55138888889</v>
      </c>
      <c r="C876" t="inlineStr">
        <is>
          <t>Antioquia</t>
        </is>
      </c>
      <c r="D876" t="inlineStr">
        <is>
          <t>Medellín</t>
        </is>
      </c>
      <c r="E876" t="inlineStr">
        <is>
          <t>Moda</t>
        </is>
      </c>
      <c r="F876" t="inlineStr">
        <is>
          <t>App</t>
        </is>
      </c>
      <c r="G876" t="inlineStr">
        <is>
          <t>2. Carrito</t>
        </is>
      </c>
      <c r="H876" t="n">
        <v>2</v>
      </c>
      <c r="I876" s="73" t="n">
        <v>125000</v>
      </c>
      <c r="J876" s="73" t="n">
        <v>250000</v>
      </c>
      <c r="K876" s="73" t="n">
        <v>182164</v>
      </c>
    </row>
    <row r="877">
      <c r="A877" t="n">
        <v>10568</v>
      </c>
      <c r="B877" s="72" t="n">
        <v>45573.59583333333</v>
      </c>
      <c r="C877" t="inlineStr">
        <is>
          <t>Huila</t>
        </is>
      </c>
      <c r="D877" t="inlineStr">
        <is>
          <t>Neiva</t>
        </is>
      </c>
      <c r="E877" t="inlineStr">
        <is>
          <t>Moda</t>
        </is>
      </c>
      <c r="F877" t="inlineStr">
        <is>
          <t>Web</t>
        </is>
      </c>
      <c r="G877" t="inlineStr">
        <is>
          <t>4. Compra</t>
        </is>
      </c>
      <c r="H877" t="n">
        <v>1</v>
      </c>
      <c r="I877" s="73" t="n">
        <v>130000</v>
      </c>
      <c r="J877" s="73" t="n">
        <v>130000</v>
      </c>
      <c r="K877" s="73" t="n">
        <v>92836</v>
      </c>
    </row>
    <row r="878">
      <c r="A878" t="n">
        <v>10716</v>
      </c>
      <c r="B878" s="72" t="n">
        <v>45573.82222222222</v>
      </c>
      <c r="C878" t="inlineStr">
        <is>
          <t>Bogotá D.C.</t>
        </is>
      </c>
      <c r="D878" t="inlineStr">
        <is>
          <t>Bogotá</t>
        </is>
      </c>
      <c r="E878" t="inlineStr">
        <is>
          <t>Hogar</t>
        </is>
      </c>
      <c r="F878" t="inlineStr">
        <is>
          <t>Web</t>
        </is>
      </c>
      <c r="G878" t="inlineStr">
        <is>
          <t>4. Compra</t>
        </is>
      </c>
      <c r="H878" t="n">
        <v>1</v>
      </c>
      <c r="I878" s="73" t="n">
        <v>194000</v>
      </c>
      <c r="J878" s="73" t="n">
        <v>194000</v>
      </c>
      <c r="K878" s="73" t="n">
        <v>133163</v>
      </c>
    </row>
    <row r="879">
      <c r="A879" t="n">
        <v>10383</v>
      </c>
      <c r="B879" s="72" t="n">
        <v>45573.85833333333</v>
      </c>
      <c r="C879" t="inlineStr">
        <is>
          <t>Bogotá D.C.</t>
        </is>
      </c>
      <c r="D879" t="inlineStr">
        <is>
          <t>Bogotá</t>
        </is>
      </c>
      <c r="E879" t="inlineStr">
        <is>
          <t>Hogar</t>
        </is>
      </c>
      <c r="F879" t="inlineStr">
        <is>
          <t>Web</t>
        </is>
      </c>
      <c r="G879" t="inlineStr">
        <is>
          <t>1. Visita</t>
        </is>
      </c>
      <c r="H879" t="n">
        <v>5</v>
      </c>
      <c r="I879" s="73" t="n">
        <v>230400</v>
      </c>
      <c r="J879" s="73" t="n">
        <v>1152000</v>
      </c>
      <c r="K879" s="73" t="n">
        <v>639268</v>
      </c>
    </row>
    <row r="880">
      <c r="A880" t="n">
        <v>10740</v>
      </c>
      <c r="B880" s="72" t="n">
        <v>45574.41875</v>
      </c>
      <c r="C880" t="inlineStr">
        <is>
          <t>Risaralda</t>
        </is>
      </c>
      <c r="D880" t="inlineStr">
        <is>
          <t>Pereira</t>
        </is>
      </c>
      <c r="E880" t="inlineStr">
        <is>
          <t>Belleza</t>
        </is>
      </c>
      <c r="F880" t="inlineStr">
        <is>
          <t>App</t>
        </is>
      </c>
      <c r="G880" t="inlineStr">
        <is>
          <t>1. Visita</t>
        </is>
      </c>
      <c r="H880" t="n">
        <v>5</v>
      </c>
      <c r="I880" s="73" t="n">
        <v>50300</v>
      </c>
      <c r="J880" s="73" t="n">
        <v>251500</v>
      </c>
      <c r="K880" s="73" t="n">
        <v>146424</v>
      </c>
    </row>
    <row r="881">
      <c r="A881" t="n">
        <v>10857</v>
      </c>
      <c r="B881" s="72" t="n">
        <v>45574.45416666667</v>
      </c>
      <c r="C881" t="inlineStr">
        <is>
          <t>Bogotá D.C.</t>
        </is>
      </c>
      <c r="D881" t="inlineStr">
        <is>
          <t>Bogotá</t>
        </is>
      </c>
      <c r="E881" t="inlineStr">
        <is>
          <t>Tecnología</t>
        </is>
      </c>
      <c r="F881" t="inlineStr">
        <is>
          <t>Web</t>
        </is>
      </c>
      <c r="G881" t="inlineStr">
        <is>
          <t>2. Carrito</t>
        </is>
      </c>
      <c r="H881" t="n">
        <v>3</v>
      </c>
      <c r="I881" s="73" t="n">
        <v>943600</v>
      </c>
      <c r="J881" s="73" t="n">
        <v>2830800</v>
      </c>
      <c r="K881" s="73" t="n">
        <v>1774768</v>
      </c>
    </row>
    <row r="882">
      <c r="A882" t="n">
        <v>11069</v>
      </c>
      <c r="B882" s="72" t="n">
        <v>45574.67291666667</v>
      </c>
      <c r="C882" t="inlineStr">
        <is>
          <t>Antioquia</t>
        </is>
      </c>
      <c r="D882" t="inlineStr">
        <is>
          <t>Medellín</t>
        </is>
      </c>
      <c r="E882" t="inlineStr">
        <is>
          <t>Juguetes</t>
        </is>
      </c>
      <c r="F882" t="inlineStr">
        <is>
          <t>Web</t>
        </is>
      </c>
      <c r="G882" t="inlineStr">
        <is>
          <t>3. Pago</t>
        </is>
      </c>
      <c r="H882" t="n">
        <v>5</v>
      </c>
      <c r="I882" s="73" t="n">
        <v>74900</v>
      </c>
      <c r="J882" s="73" t="n">
        <v>374500</v>
      </c>
      <c r="K882" s="73" t="n">
        <v>243917</v>
      </c>
    </row>
    <row r="883">
      <c r="A883" t="n">
        <v>10808</v>
      </c>
      <c r="B883" s="72" t="n">
        <v>45574.70625</v>
      </c>
      <c r="C883" t="inlineStr">
        <is>
          <t>Antioquia</t>
        </is>
      </c>
      <c r="D883" t="inlineStr">
        <is>
          <t>Medellín</t>
        </is>
      </c>
      <c r="E883" t="inlineStr">
        <is>
          <t>Moda</t>
        </is>
      </c>
      <c r="F883" t="inlineStr">
        <is>
          <t>App</t>
        </is>
      </c>
      <c r="G883" t="inlineStr">
        <is>
          <t>2. Carrito</t>
        </is>
      </c>
      <c r="H883" t="n">
        <v>2</v>
      </c>
      <c r="I883" s="73" t="n">
        <v>139800</v>
      </c>
      <c r="J883" s="73" t="n">
        <v>279600</v>
      </c>
      <c r="K883" s="73" t="n">
        <v>185854</v>
      </c>
    </row>
    <row r="884">
      <c r="A884" t="n">
        <v>10252</v>
      </c>
      <c r="B884" s="72" t="n">
        <v>45574.80277777778</v>
      </c>
      <c r="C884" t="inlineStr">
        <is>
          <t>Bogotá D.C.</t>
        </is>
      </c>
      <c r="D884" t="inlineStr">
        <is>
          <t>Bogotá</t>
        </is>
      </c>
      <c r="E884" t="inlineStr">
        <is>
          <t>Juguetes</t>
        </is>
      </c>
      <c r="F884" t="inlineStr">
        <is>
          <t>Tienda física</t>
        </is>
      </c>
      <c r="G884" t="inlineStr">
        <is>
          <t>1. Visita</t>
        </is>
      </c>
      <c r="H884" t="n">
        <v>1</v>
      </c>
      <c r="I884" s="73" t="n">
        <v>95500</v>
      </c>
      <c r="J884" s="73" t="n">
        <v>95500</v>
      </c>
      <c r="K884" s="73" t="n">
        <v>58900</v>
      </c>
    </row>
    <row r="885">
      <c r="A885" t="n">
        <v>11000</v>
      </c>
      <c r="B885" s="72" t="n">
        <v>45574.81180555555</v>
      </c>
      <c r="C885" t="inlineStr">
        <is>
          <t>Bogotá D.C.</t>
        </is>
      </c>
      <c r="D885" t="inlineStr">
        <is>
          <t>Bogotá</t>
        </is>
      </c>
      <c r="E885" t="inlineStr">
        <is>
          <t>Moda</t>
        </is>
      </c>
      <c r="F885" t="inlineStr">
        <is>
          <t>Tienda física</t>
        </is>
      </c>
      <c r="G885" t="inlineStr">
        <is>
          <t>1. Visita</t>
        </is>
      </c>
      <c r="H885" t="n">
        <v>1</v>
      </c>
      <c r="I885" s="73" t="n">
        <v>91600</v>
      </c>
      <c r="J885" s="73" t="n">
        <v>91600</v>
      </c>
      <c r="K885" s="73" t="n">
        <v>50823</v>
      </c>
    </row>
    <row r="886">
      <c r="A886" t="n">
        <v>10145</v>
      </c>
      <c r="B886" s="72" t="n">
        <v>45574.84930555556</v>
      </c>
      <c r="C886" t="inlineStr">
        <is>
          <t>Atlántico</t>
        </is>
      </c>
      <c r="D886" t="inlineStr">
        <is>
          <t>Barranquilla</t>
        </is>
      </c>
      <c r="E886" t="inlineStr">
        <is>
          <t>Belleza</t>
        </is>
      </c>
      <c r="F886" t="inlineStr">
        <is>
          <t>Tienda física</t>
        </is>
      </c>
      <c r="G886" t="inlineStr">
        <is>
          <t>4. Compra</t>
        </is>
      </c>
      <c r="H886" t="n">
        <v>4</v>
      </c>
      <c r="I886" s="73" t="n">
        <v>75100</v>
      </c>
      <c r="J886" s="73" t="n">
        <v>300400</v>
      </c>
      <c r="K886" s="73" t="n">
        <v>208075</v>
      </c>
    </row>
    <row r="887">
      <c r="A887" t="n">
        <v>10656</v>
      </c>
      <c r="B887" s="72" t="n">
        <v>45574.86944444444</v>
      </c>
      <c r="C887" t="inlineStr">
        <is>
          <t>Antioquia</t>
        </is>
      </c>
      <c r="D887" t="inlineStr">
        <is>
          <t>Medellín</t>
        </is>
      </c>
      <c r="E887" t="inlineStr">
        <is>
          <t>Belleza</t>
        </is>
      </c>
      <c r="F887" t="inlineStr">
        <is>
          <t>Tienda física</t>
        </is>
      </c>
      <c r="G887" t="inlineStr">
        <is>
          <t>1. Visita</t>
        </is>
      </c>
      <c r="H887" t="n">
        <v>2</v>
      </c>
      <c r="I887" s="73" t="n">
        <v>52700</v>
      </c>
      <c r="J887" s="73" t="n">
        <v>105400</v>
      </c>
      <c r="K887" s="73" t="n">
        <v>71947</v>
      </c>
    </row>
    <row r="888">
      <c r="A888" t="n">
        <v>11160</v>
      </c>
      <c r="B888" s="72" t="n">
        <v>45575.32361111111</v>
      </c>
      <c r="C888" t="inlineStr">
        <is>
          <t>Atlántico</t>
        </is>
      </c>
      <c r="D888" t="inlineStr">
        <is>
          <t>Barranquilla</t>
        </is>
      </c>
      <c r="E888" t="inlineStr">
        <is>
          <t>Moda</t>
        </is>
      </c>
      <c r="F888" t="inlineStr">
        <is>
          <t>Tienda física</t>
        </is>
      </c>
      <c r="G888" t="inlineStr">
        <is>
          <t>2. Carrito</t>
        </is>
      </c>
      <c r="H888" t="n">
        <v>5</v>
      </c>
      <c r="I888" s="73" t="n">
        <v>92200</v>
      </c>
      <c r="J888" s="73" t="n">
        <v>461000</v>
      </c>
      <c r="K888" s="73" t="n">
        <v>323067</v>
      </c>
    </row>
    <row r="889">
      <c r="A889" t="n">
        <v>10946</v>
      </c>
      <c r="B889" s="72" t="n">
        <v>45575.45138888889</v>
      </c>
      <c r="C889" t="inlineStr">
        <is>
          <t>Meta</t>
        </is>
      </c>
      <c r="D889" t="inlineStr">
        <is>
          <t>Villavicencio</t>
        </is>
      </c>
      <c r="E889" t="inlineStr">
        <is>
          <t>Moda</t>
        </is>
      </c>
      <c r="F889" t="inlineStr">
        <is>
          <t>App</t>
        </is>
      </c>
      <c r="G889" t="inlineStr">
        <is>
          <t>2. Carrito</t>
        </is>
      </c>
      <c r="H889" t="n">
        <v>3</v>
      </c>
      <c r="I889" s="73" t="n">
        <v>141000</v>
      </c>
      <c r="J889" s="73" t="n">
        <v>423000</v>
      </c>
      <c r="K889" s="73" t="n">
        <v>288360</v>
      </c>
    </row>
    <row r="890">
      <c r="A890" t="n">
        <v>11364</v>
      </c>
      <c r="B890" s="72" t="n">
        <v>45575.54375</v>
      </c>
      <c r="C890" t="inlineStr">
        <is>
          <t>Antioquia</t>
        </is>
      </c>
      <c r="D890" t="inlineStr">
        <is>
          <t>Medellín</t>
        </is>
      </c>
      <c r="E890" t="inlineStr">
        <is>
          <t>Moda</t>
        </is>
      </c>
      <c r="F890" t="inlineStr">
        <is>
          <t>App</t>
        </is>
      </c>
      <c r="G890" t="inlineStr">
        <is>
          <t>3. Pago</t>
        </is>
      </c>
      <c r="H890" t="n">
        <v>5</v>
      </c>
      <c r="I890" s="73" t="n">
        <v>106200</v>
      </c>
      <c r="J890" s="73" t="n">
        <v>531000</v>
      </c>
      <c r="K890" s="73" t="n">
        <v>382791</v>
      </c>
    </row>
    <row r="891">
      <c r="A891" t="n">
        <v>11108</v>
      </c>
      <c r="B891" s="72" t="n">
        <v>45575.62986111111</v>
      </c>
      <c r="C891" t="inlineStr">
        <is>
          <t>Risaralda</t>
        </is>
      </c>
      <c r="D891" t="inlineStr">
        <is>
          <t>Pereira</t>
        </is>
      </c>
      <c r="E891" t="inlineStr">
        <is>
          <t>Deportes</t>
        </is>
      </c>
      <c r="F891" t="inlineStr">
        <is>
          <t>Tienda física</t>
        </is>
      </c>
      <c r="G891" t="inlineStr">
        <is>
          <t>4. Compra</t>
        </is>
      </c>
      <c r="H891" t="n">
        <v>1</v>
      </c>
      <c r="I891" s="73" t="n">
        <v>142800</v>
      </c>
      <c r="J891" s="73" t="n">
        <v>142800</v>
      </c>
      <c r="K891" s="73" t="n">
        <v>100908</v>
      </c>
    </row>
    <row r="892">
      <c r="A892" t="n">
        <v>11258</v>
      </c>
      <c r="B892" s="72" t="n">
        <v>45575.74722222222</v>
      </c>
      <c r="C892" t="inlineStr">
        <is>
          <t>Bolívar</t>
        </is>
      </c>
      <c r="D892" t="inlineStr">
        <is>
          <t>Cartagena</t>
        </is>
      </c>
      <c r="E892" t="inlineStr">
        <is>
          <t>Juguetes</t>
        </is>
      </c>
      <c r="F892" t="inlineStr">
        <is>
          <t>App</t>
        </is>
      </c>
      <c r="G892" t="inlineStr">
        <is>
          <t>1. Visita</t>
        </is>
      </c>
      <c r="H892" t="n">
        <v>4</v>
      </c>
      <c r="I892" s="73" t="n">
        <v>91200</v>
      </c>
      <c r="J892" s="73" t="n">
        <v>364800</v>
      </c>
      <c r="K892" s="73" t="n">
        <v>213417</v>
      </c>
    </row>
    <row r="893">
      <c r="A893" t="n">
        <v>11837</v>
      </c>
      <c r="B893" s="72" t="n">
        <v>45575.77222222222</v>
      </c>
      <c r="C893" t="inlineStr">
        <is>
          <t>Antioquia</t>
        </is>
      </c>
      <c r="D893" t="inlineStr">
        <is>
          <t>Medellín</t>
        </is>
      </c>
      <c r="E893" t="inlineStr">
        <is>
          <t>Moda</t>
        </is>
      </c>
      <c r="F893" t="inlineStr">
        <is>
          <t>Web</t>
        </is>
      </c>
      <c r="G893" t="inlineStr">
        <is>
          <t>1. Visita</t>
        </is>
      </c>
      <c r="H893" t="n">
        <v>5</v>
      </c>
      <c r="I893" s="73" t="n">
        <v>110000</v>
      </c>
      <c r="J893" s="73" t="n">
        <v>550000</v>
      </c>
      <c r="K893" s="73" t="n">
        <v>398524</v>
      </c>
    </row>
    <row r="894">
      <c r="A894" t="n">
        <v>11179</v>
      </c>
      <c r="B894" s="72" t="n">
        <v>45576.12986111111</v>
      </c>
      <c r="C894" t="inlineStr">
        <is>
          <t>Antioquia</t>
        </is>
      </c>
      <c r="D894" t="inlineStr">
        <is>
          <t>Medellín</t>
        </is>
      </c>
      <c r="E894" t="inlineStr">
        <is>
          <t>Tecnología</t>
        </is>
      </c>
      <c r="F894" t="inlineStr">
        <is>
          <t>App</t>
        </is>
      </c>
      <c r="G894" t="inlineStr">
        <is>
          <t>2. Carrito</t>
        </is>
      </c>
      <c r="H894" t="n">
        <v>4</v>
      </c>
      <c r="I894" s="73" t="n">
        <v>729900</v>
      </c>
      <c r="J894" s="73" t="n">
        <v>3357540</v>
      </c>
      <c r="K894" s="73" t="n">
        <v>2071088</v>
      </c>
    </row>
    <row r="895">
      <c r="A895" t="n">
        <v>10457</v>
      </c>
      <c r="B895" s="72" t="n">
        <v>45576.35902777778</v>
      </c>
      <c r="C895" t="inlineStr">
        <is>
          <t>Atlántico</t>
        </is>
      </c>
      <c r="D895" t="inlineStr">
        <is>
          <t>Barranquilla</t>
        </is>
      </c>
      <c r="E895" t="inlineStr">
        <is>
          <t>Hogar</t>
        </is>
      </c>
      <c r="F895" t="inlineStr">
        <is>
          <t>Web</t>
        </is>
      </c>
      <c r="G895" t="inlineStr">
        <is>
          <t>1. Visita</t>
        </is>
      </c>
      <c r="H895" t="n">
        <v>3</v>
      </c>
      <c r="I895" s="73" t="n">
        <v>251600</v>
      </c>
      <c r="J895" s="73" t="n">
        <v>868020</v>
      </c>
      <c r="K895" s="73" t="n">
        <v>562272</v>
      </c>
    </row>
    <row r="896">
      <c r="A896" t="n">
        <v>12236</v>
      </c>
      <c r="B896" s="72" t="n">
        <v>45576.64305555556</v>
      </c>
      <c r="C896" t="inlineStr">
        <is>
          <t>Bogotá D.C.</t>
        </is>
      </c>
      <c r="D896" t="inlineStr">
        <is>
          <t>Bogotá</t>
        </is>
      </c>
      <c r="E896" t="inlineStr">
        <is>
          <t>Belleza</t>
        </is>
      </c>
      <c r="F896" t="inlineStr">
        <is>
          <t>Web</t>
        </is>
      </c>
      <c r="G896" t="inlineStr">
        <is>
          <t>3. Pago</t>
        </is>
      </c>
      <c r="H896" t="n">
        <v>4</v>
      </c>
      <c r="I896" s="73" t="n">
        <v>69700</v>
      </c>
      <c r="J896" s="73" t="n">
        <v>320620</v>
      </c>
      <c r="K896" s="73" t="n">
        <v>196563</v>
      </c>
    </row>
    <row r="897">
      <c r="A897" t="n">
        <v>10645</v>
      </c>
      <c r="B897" s="72" t="n">
        <v>45576.67847222222</v>
      </c>
      <c r="C897" t="inlineStr">
        <is>
          <t>Antioquia</t>
        </is>
      </c>
      <c r="D897" t="inlineStr">
        <is>
          <t>Medellín</t>
        </is>
      </c>
      <c r="E897" t="inlineStr">
        <is>
          <t>Hogar</t>
        </is>
      </c>
      <c r="F897" t="inlineStr">
        <is>
          <t>Web</t>
        </is>
      </c>
      <c r="G897" t="inlineStr">
        <is>
          <t>1. Visita</t>
        </is>
      </c>
      <c r="H897" t="n">
        <v>2</v>
      </c>
      <c r="I897" s="73" t="n">
        <v>264700</v>
      </c>
      <c r="J897" s="73" t="n">
        <v>608810</v>
      </c>
      <c r="K897" s="73" t="n">
        <v>394534</v>
      </c>
    </row>
    <row r="898">
      <c r="A898" t="n">
        <v>12029</v>
      </c>
      <c r="B898" s="72" t="n">
        <v>45576.72777777778</v>
      </c>
      <c r="C898" t="inlineStr">
        <is>
          <t>Santander</t>
        </is>
      </c>
      <c r="D898" t="inlineStr">
        <is>
          <t>Bucaramanga</t>
        </is>
      </c>
      <c r="E898" t="inlineStr">
        <is>
          <t>Belleza</t>
        </is>
      </c>
      <c r="F898" t="inlineStr">
        <is>
          <t>Web</t>
        </is>
      </c>
      <c r="G898" t="inlineStr">
        <is>
          <t>1. Visita</t>
        </is>
      </c>
      <c r="H898" t="n">
        <v>3</v>
      </c>
      <c r="I898" s="73" t="n">
        <v>74900</v>
      </c>
      <c r="J898" s="73" t="n">
        <v>258405</v>
      </c>
      <c r="K898" s="73" t="n">
        <v>192577</v>
      </c>
    </row>
    <row r="899">
      <c r="A899" t="n">
        <v>10719</v>
      </c>
      <c r="B899" s="72" t="n">
        <v>45576.76805555556</v>
      </c>
      <c r="C899" t="inlineStr">
        <is>
          <t>Antioquia</t>
        </is>
      </c>
      <c r="D899" t="inlineStr">
        <is>
          <t>Medellín</t>
        </is>
      </c>
      <c r="E899" t="inlineStr">
        <is>
          <t>Belleza</t>
        </is>
      </c>
      <c r="F899" t="inlineStr">
        <is>
          <t>App</t>
        </is>
      </c>
      <c r="G899" t="inlineStr">
        <is>
          <t>1. Visita</t>
        </is>
      </c>
      <c r="H899" t="n">
        <v>1</v>
      </c>
      <c r="I899" s="73" t="n">
        <v>52900</v>
      </c>
      <c r="J899" s="73" t="n">
        <v>60835</v>
      </c>
      <c r="K899" s="73" t="n">
        <v>43401</v>
      </c>
    </row>
    <row r="900">
      <c r="A900" t="n">
        <v>10635</v>
      </c>
      <c r="B900" s="72" t="n">
        <v>45576.81041666667</v>
      </c>
      <c r="C900" t="inlineStr">
        <is>
          <t>Nariño</t>
        </is>
      </c>
      <c r="D900" t="inlineStr">
        <is>
          <t>Pasto</t>
        </is>
      </c>
      <c r="E900" t="inlineStr">
        <is>
          <t>Moda</t>
        </is>
      </c>
      <c r="F900" t="inlineStr">
        <is>
          <t>App</t>
        </is>
      </c>
      <c r="G900" t="inlineStr">
        <is>
          <t>2. Carrito</t>
        </is>
      </c>
      <c r="H900" t="n">
        <v>4</v>
      </c>
      <c r="I900" s="73" t="n">
        <v>97800</v>
      </c>
      <c r="J900" s="73" t="n">
        <v>449880</v>
      </c>
      <c r="K900" s="73" t="n">
        <v>329813</v>
      </c>
    </row>
    <row r="901">
      <c r="A901" t="n">
        <v>11653</v>
      </c>
      <c r="B901" s="72" t="n">
        <v>45577.25625</v>
      </c>
      <c r="C901" t="inlineStr">
        <is>
          <t>Atlántico</t>
        </is>
      </c>
      <c r="D901" t="inlineStr">
        <is>
          <t>Barranquilla</t>
        </is>
      </c>
      <c r="E901" t="inlineStr">
        <is>
          <t>Hogar</t>
        </is>
      </c>
      <c r="F901" t="inlineStr">
        <is>
          <t>App</t>
        </is>
      </c>
      <c r="G901" t="inlineStr">
        <is>
          <t>3. Pago</t>
        </is>
      </c>
      <c r="H901" t="n">
        <v>1</v>
      </c>
      <c r="I901" s="73" t="n">
        <v>158900</v>
      </c>
      <c r="J901" s="73" t="n">
        <v>182735</v>
      </c>
      <c r="K901" s="73" t="n">
        <v>115223</v>
      </c>
    </row>
    <row r="902">
      <c r="A902" t="n">
        <v>11618</v>
      </c>
      <c r="B902" s="72" t="n">
        <v>45577.475</v>
      </c>
      <c r="C902" t="inlineStr">
        <is>
          <t>Valle del Cauca</t>
        </is>
      </c>
      <c r="D902" t="inlineStr">
        <is>
          <t>Cali</t>
        </is>
      </c>
      <c r="E902" t="inlineStr">
        <is>
          <t>Moda</t>
        </is>
      </c>
      <c r="F902" t="inlineStr">
        <is>
          <t>Marketplace</t>
        </is>
      </c>
      <c r="G902" t="inlineStr">
        <is>
          <t>3. Pago</t>
        </is>
      </c>
      <c r="H902" t="n">
        <v>1</v>
      </c>
      <c r="I902" s="73" t="n">
        <v>138000</v>
      </c>
      <c r="J902" s="73" t="n">
        <v>158700</v>
      </c>
      <c r="K902" s="73" t="n">
        <v>101318</v>
      </c>
    </row>
    <row r="903">
      <c r="A903" t="n">
        <v>10746</v>
      </c>
      <c r="B903" s="72" t="n">
        <v>45577.56388888889</v>
      </c>
      <c r="C903" t="inlineStr">
        <is>
          <t>Bogotá D.C.</t>
        </is>
      </c>
      <c r="D903" t="inlineStr">
        <is>
          <t>Bogotá</t>
        </is>
      </c>
      <c r="E903" t="inlineStr">
        <is>
          <t>Moda</t>
        </is>
      </c>
      <c r="F903" t="inlineStr">
        <is>
          <t>App</t>
        </is>
      </c>
      <c r="G903" t="inlineStr">
        <is>
          <t>1. Visita</t>
        </is>
      </c>
      <c r="H903" t="n">
        <v>3</v>
      </c>
      <c r="I903" s="73" t="n">
        <v>115500</v>
      </c>
      <c r="J903" s="73" t="n">
        <v>398475</v>
      </c>
      <c r="K903" s="73" t="n">
        <v>234837</v>
      </c>
    </row>
    <row r="904">
      <c r="A904" t="n">
        <v>11199</v>
      </c>
      <c r="B904" s="72" t="n">
        <v>45577.59652777778</v>
      </c>
      <c r="C904" t="inlineStr">
        <is>
          <t>Risaralda</t>
        </is>
      </c>
      <c r="D904" t="inlineStr">
        <is>
          <t>Pereira</t>
        </is>
      </c>
      <c r="E904" t="inlineStr">
        <is>
          <t>Tecnología</t>
        </is>
      </c>
      <c r="F904" t="inlineStr">
        <is>
          <t>Tienda física</t>
        </is>
      </c>
      <c r="G904" t="inlineStr">
        <is>
          <t>2. Carrito</t>
        </is>
      </c>
      <c r="H904" t="n">
        <v>5</v>
      </c>
      <c r="I904" s="73" t="n">
        <v>664000</v>
      </c>
      <c r="J904" s="73" t="n">
        <v>3818000</v>
      </c>
      <c r="K904" s="73" t="n">
        <v>2844744</v>
      </c>
    </row>
    <row r="905">
      <c r="A905" t="n">
        <v>11757</v>
      </c>
      <c r="B905" s="72" t="n">
        <v>45577.61388888889</v>
      </c>
      <c r="C905" t="inlineStr">
        <is>
          <t>Atlántico</t>
        </is>
      </c>
      <c r="D905" t="inlineStr">
        <is>
          <t>Barranquilla</t>
        </is>
      </c>
      <c r="E905" t="inlineStr">
        <is>
          <t>Belleza</t>
        </is>
      </c>
      <c r="F905" t="inlineStr">
        <is>
          <t>Web</t>
        </is>
      </c>
      <c r="G905" t="inlineStr">
        <is>
          <t>3. Pago</t>
        </is>
      </c>
      <c r="H905" t="n">
        <v>2</v>
      </c>
      <c r="I905" s="73" t="n">
        <v>55500</v>
      </c>
      <c r="J905" s="73" t="n">
        <v>127650</v>
      </c>
      <c r="K905" s="73" t="n">
        <v>74589</v>
      </c>
    </row>
    <row r="906">
      <c r="A906" t="n">
        <v>10261</v>
      </c>
      <c r="B906" s="72" t="n">
        <v>45577.80972222222</v>
      </c>
      <c r="C906" t="inlineStr">
        <is>
          <t>Bogotá D.C.</t>
        </is>
      </c>
      <c r="D906" t="inlineStr">
        <is>
          <t>Bogotá</t>
        </is>
      </c>
      <c r="E906" t="inlineStr">
        <is>
          <t>Tecnología</t>
        </is>
      </c>
      <c r="F906" t="inlineStr">
        <is>
          <t>App</t>
        </is>
      </c>
      <c r="G906" t="inlineStr">
        <is>
          <t>1. Visita</t>
        </is>
      </c>
      <c r="H906" t="n">
        <v>2</v>
      </c>
      <c r="I906" s="73" t="n">
        <v>663000</v>
      </c>
      <c r="J906" s="73" t="n">
        <v>1524900</v>
      </c>
      <c r="K906" s="73" t="n">
        <v>851699</v>
      </c>
    </row>
    <row r="907">
      <c r="A907" t="n">
        <v>11328</v>
      </c>
      <c r="B907" s="72" t="n">
        <v>45578.64722222222</v>
      </c>
      <c r="C907" t="inlineStr">
        <is>
          <t>Nariño</t>
        </is>
      </c>
      <c r="D907" t="inlineStr">
        <is>
          <t>Pasto</t>
        </is>
      </c>
      <c r="E907" t="inlineStr">
        <is>
          <t>Juguetes</t>
        </is>
      </c>
      <c r="F907" t="inlineStr">
        <is>
          <t>App</t>
        </is>
      </c>
      <c r="G907" t="inlineStr">
        <is>
          <t>1. Visita</t>
        </is>
      </c>
      <c r="H907" t="n">
        <v>1</v>
      </c>
      <c r="I907" s="73" t="n">
        <v>111600</v>
      </c>
      <c r="J907" s="73" t="n">
        <v>128340</v>
      </c>
      <c r="K907" s="73" t="n">
        <v>74450</v>
      </c>
    </row>
    <row r="908">
      <c r="A908" t="n">
        <v>11090</v>
      </c>
      <c r="B908" s="72" t="n">
        <v>45578.74027777778</v>
      </c>
      <c r="C908" t="inlineStr">
        <is>
          <t>Valle del Cauca</t>
        </is>
      </c>
      <c r="D908" t="inlineStr">
        <is>
          <t>Cali</t>
        </is>
      </c>
      <c r="E908" t="inlineStr">
        <is>
          <t>Tecnología</t>
        </is>
      </c>
      <c r="F908" t="inlineStr">
        <is>
          <t>App</t>
        </is>
      </c>
      <c r="G908" t="inlineStr">
        <is>
          <t>1. Visita</t>
        </is>
      </c>
      <c r="H908" t="n">
        <v>5</v>
      </c>
      <c r="I908" s="73" t="n">
        <v>820600</v>
      </c>
      <c r="J908" s="73" t="n">
        <v>4718450</v>
      </c>
      <c r="K908" s="73" t="n">
        <v>2695820</v>
      </c>
    </row>
    <row r="909">
      <c r="A909" t="n">
        <v>10722</v>
      </c>
      <c r="B909" s="72" t="n">
        <v>45579.21111111111</v>
      </c>
      <c r="C909" t="inlineStr">
        <is>
          <t>Atlántico</t>
        </is>
      </c>
      <c r="D909" t="inlineStr">
        <is>
          <t>Barranquilla</t>
        </is>
      </c>
      <c r="E909" t="inlineStr">
        <is>
          <t>Tecnología</t>
        </is>
      </c>
      <c r="F909" t="inlineStr">
        <is>
          <t>App</t>
        </is>
      </c>
      <c r="G909" t="inlineStr">
        <is>
          <t>1. Visita</t>
        </is>
      </c>
      <c r="H909" t="n">
        <v>2</v>
      </c>
      <c r="I909" s="73" t="n">
        <v>973500</v>
      </c>
      <c r="J909" s="73" t="n">
        <v>1947000</v>
      </c>
      <c r="K909" s="73" t="n">
        <v>1307684</v>
      </c>
    </row>
    <row r="910">
      <c r="A910" t="n">
        <v>11333</v>
      </c>
      <c r="B910" s="72" t="n">
        <v>45579.82916666667</v>
      </c>
      <c r="C910" t="inlineStr">
        <is>
          <t>Atlántico</t>
        </is>
      </c>
      <c r="D910" t="inlineStr">
        <is>
          <t>Barranquilla</t>
        </is>
      </c>
      <c r="E910" t="inlineStr">
        <is>
          <t>Moda</t>
        </is>
      </c>
      <c r="F910" t="inlineStr">
        <is>
          <t>Web</t>
        </is>
      </c>
      <c r="G910" t="inlineStr">
        <is>
          <t>2. Carrito</t>
        </is>
      </c>
      <c r="H910" t="n">
        <v>1</v>
      </c>
      <c r="I910" s="73" t="n">
        <v>129100</v>
      </c>
      <c r="J910" s="73" t="n">
        <v>129100</v>
      </c>
      <c r="K910" s="73" t="n">
        <v>90595</v>
      </c>
    </row>
    <row r="911">
      <c r="A911" t="n">
        <v>11030</v>
      </c>
      <c r="B911" s="72" t="n">
        <v>45579.92361111111</v>
      </c>
      <c r="C911" t="inlineStr">
        <is>
          <t>Valle del Cauca</t>
        </is>
      </c>
      <c r="D911" t="inlineStr">
        <is>
          <t>Cali</t>
        </is>
      </c>
      <c r="E911" t="inlineStr">
        <is>
          <t>Moda</t>
        </is>
      </c>
      <c r="F911" t="inlineStr">
        <is>
          <t>App</t>
        </is>
      </c>
      <c r="G911" t="inlineStr">
        <is>
          <t>1. Visita</t>
        </is>
      </c>
      <c r="H911" t="n">
        <v>4</v>
      </c>
      <c r="I911" s="73" t="n">
        <v>142600</v>
      </c>
      <c r="J911" s="73" t="n">
        <v>570400</v>
      </c>
      <c r="K911" s="73" t="n">
        <v>349222</v>
      </c>
    </row>
    <row r="912">
      <c r="A912" t="n">
        <v>11059</v>
      </c>
      <c r="B912" s="72" t="n">
        <v>45579.96111111111</v>
      </c>
      <c r="C912" t="inlineStr">
        <is>
          <t>Antioquia</t>
        </is>
      </c>
      <c r="D912" t="inlineStr">
        <is>
          <t>Medellín</t>
        </is>
      </c>
      <c r="E912" t="inlineStr">
        <is>
          <t>Moda</t>
        </is>
      </c>
      <c r="F912" t="inlineStr">
        <is>
          <t>Marketplace</t>
        </is>
      </c>
      <c r="G912" t="inlineStr">
        <is>
          <t>1. Visita</t>
        </is>
      </c>
      <c r="H912" t="n">
        <v>2</v>
      </c>
      <c r="I912" s="73" t="n">
        <v>90100</v>
      </c>
      <c r="J912" s="73" t="n">
        <v>180200</v>
      </c>
      <c r="K912" s="73" t="n">
        <v>125307</v>
      </c>
    </row>
    <row r="913">
      <c r="A913" t="n">
        <v>11063</v>
      </c>
      <c r="B913" s="72" t="n">
        <v>45580.45347222222</v>
      </c>
      <c r="C913" t="inlineStr">
        <is>
          <t>Nariño</t>
        </is>
      </c>
      <c r="D913" t="inlineStr">
        <is>
          <t>Pasto</t>
        </is>
      </c>
      <c r="E913" t="inlineStr">
        <is>
          <t>Tecnología</t>
        </is>
      </c>
      <c r="F913" t="inlineStr">
        <is>
          <t>Web</t>
        </is>
      </c>
      <c r="G913" t="inlineStr">
        <is>
          <t>2. Carrito</t>
        </is>
      </c>
      <c r="H913" t="n">
        <v>1</v>
      </c>
      <c r="I913" s="73" t="n">
        <v>909800</v>
      </c>
      <c r="J913" s="73" t="n">
        <v>909800</v>
      </c>
      <c r="K913" s="73" t="n">
        <v>553298</v>
      </c>
    </row>
    <row r="914">
      <c r="A914" t="n">
        <v>11021</v>
      </c>
      <c r="B914" s="72" t="n">
        <v>45580.50069444445</v>
      </c>
      <c r="C914" t="inlineStr">
        <is>
          <t>Valle del Cauca</t>
        </is>
      </c>
      <c r="D914" t="inlineStr">
        <is>
          <t>Cali</t>
        </is>
      </c>
      <c r="E914" t="inlineStr">
        <is>
          <t>Juguetes</t>
        </is>
      </c>
      <c r="F914" t="inlineStr">
        <is>
          <t>Tienda física</t>
        </is>
      </c>
      <c r="G914" t="inlineStr">
        <is>
          <t>1. Visita</t>
        </is>
      </c>
      <c r="H914" t="n">
        <v>4</v>
      </c>
      <c r="I914" s="73" t="n">
        <v>74400</v>
      </c>
      <c r="J914" s="73" t="n">
        <v>297600</v>
      </c>
      <c r="K914" s="73" t="n">
        <v>167248</v>
      </c>
    </row>
    <row r="915">
      <c r="A915" t="n">
        <v>10676</v>
      </c>
      <c r="B915" s="72" t="n">
        <v>45580.80763888889</v>
      </c>
      <c r="C915" t="inlineStr">
        <is>
          <t>Valle del Cauca</t>
        </is>
      </c>
      <c r="D915" t="inlineStr">
        <is>
          <t>Cali</t>
        </is>
      </c>
      <c r="E915" t="inlineStr">
        <is>
          <t>Hogar</t>
        </is>
      </c>
      <c r="F915" t="inlineStr">
        <is>
          <t>Web</t>
        </is>
      </c>
      <c r="G915" t="inlineStr">
        <is>
          <t>4. Compra</t>
        </is>
      </c>
      <c r="H915" t="n">
        <v>5</v>
      </c>
      <c r="I915" s="73" t="n">
        <v>261200</v>
      </c>
      <c r="J915" s="73" t="n">
        <v>1306000</v>
      </c>
      <c r="K915" s="73" t="n">
        <v>856215</v>
      </c>
    </row>
    <row r="916">
      <c r="A916" t="n">
        <v>11033</v>
      </c>
      <c r="B916" s="72" t="n">
        <v>45580.89027777778</v>
      </c>
      <c r="C916" t="inlineStr">
        <is>
          <t>Bogotá D.C.</t>
        </is>
      </c>
      <c r="D916" t="inlineStr">
        <is>
          <t>Bogotá</t>
        </is>
      </c>
      <c r="E916" t="inlineStr">
        <is>
          <t>Juguetes</t>
        </is>
      </c>
      <c r="F916" t="inlineStr">
        <is>
          <t>Tienda física</t>
        </is>
      </c>
      <c r="G916" t="inlineStr">
        <is>
          <t>2. Carrito</t>
        </is>
      </c>
      <c r="H916" t="n">
        <v>4</v>
      </c>
      <c r="I916" s="73" t="n">
        <v>95300</v>
      </c>
      <c r="J916" s="73" t="n">
        <v>381200</v>
      </c>
      <c r="K916" s="73" t="n">
        <v>251709</v>
      </c>
    </row>
    <row r="917">
      <c r="A917" t="n">
        <v>11095</v>
      </c>
      <c r="B917" s="72" t="n">
        <v>45581.28541666667</v>
      </c>
      <c r="C917" t="inlineStr">
        <is>
          <t>Bogotá D.C.</t>
        </is>
      </c>
      <c r="D917" t="inlineStr">
        <is>
          <t>Bogotá</t>
        </is>
      </c>
      <c r="E917" t="inlineStr">
        <is>
          <t>Juguetes</t>
        </is>
      </c>
      <c r="F917" t="inlineStr">
        <is>
          <t>Marketplace</t>
        </is>
      </c>
      <c r="G917" t="inlineStr">
        <is>
          <t>2. Carrito</t>
        </is>
      </c>
      <c r="H917" t="n">
        <v>2</v>
      </c>
      <c r="I917" s="73" t="n">
        <v>112800</v>
      </c>
      <c r="J917" s="73" t="n">
        <v>225600</v>
      </c>
      <c r="K917" s="73" t="n">
        <v>129556</v>
      </c>
    </row>
    <row r="918">
      <c r="A918" t="n">
        <v>10994</v>
      </c>
      <c r="B918" s="72" t="n">
        <v>45581.34375</v>
      </c>
      <c r="C918" t="inlineStr">
        <is>
          <t>Bolívar</t>
        </is>
      </c>
      <c r="D918" t="inlineStr">
        <is>
          <t>Cartagena</t>
        </is>
      </c>
      <c r="E918" t="inlineStr">
        <is>
          <t>Belleza</t>
        </is>
      </c>
      <c r="F918" t="inlineStr">
        <is>
          <t>App</t>
        </is>
      </c>
      <c r="G918" t="inlineStr">
        <is>
          <t>1. Visita</t>
        </is>
      </c>
      <c r="H918" t="n">
        <v>1</v>
      </c>
      <c r="I918" s="73" t="n">
        <v>65000</v>
      </c>
      <c r="J918" s="73" t="n">
        <v>65000</v>
      </c>
      <c r="K918" s="73" t="n">
        <v>42260</v>
      </c>
    </row>
    <row r="919">
      <c r="A919" t="n">
        <v>10583</v>
      </c>
      <c r="B919" s="72" t="n">
        <v>45581.48055555556</v>
      </c>
      <c r="C919" t="inlineStr">
        <is>
          <t>Bolívar</t>
        </is>
      </c>
      <c r="D919" t="inlineStr">
        <is>
          <t>Cartagena</t>
        </is>
      </c>
      <c r="E919" t="inlineStr">
        <is>
          <t>Juguetes</t>
        </is>
      </c>
      <c r="F919" t="inlineStr">
        <is>
          <t>Marketplace</t>
        </is>
      </c>
      <c r="G919" t="inlineStr">
        <is>
          <t>1. Visita</t>
        </is>
      </c>
      <c r="H919" t="n">
        <v>1</v>
      </c>
      <c r="I919" s="73" t="n">
        <v>103600</v>
      </c>
      <c r="J919" s="73" t="n">
        <v>103600</v>
      </c>
      <c r="K919" s="73" t="n">
        <v>72820</v>
      </c>
    </row>
    <row r="920">
      <c r="A920" t="n">
        <v>11905</v>
      </c>
      <c r="B920" s="72" t="n">
        <v>45581.66319444445</v>
      </c>
      <c r="C920" t="inlineStr">
        <is>
          <t>Bogotá D.C.</t>
        </is>
      </c>
      <c r="D920" t="inlineStr">
        <is>
          <t>Bogotá</t>
        </is>
      </c>
      <c r="E920" t="inlineStr">
        <is>
          <t>Moda</t>
        </is>
      </c>
      <c r="F920" t="inlineStr">
        <is>
          <t>Tienda física</t>
        </is>
      </c>
      <c r="G920" t="inlineStr">
        <is>
          <t>4. Compra</t>
        </is>
      </c>
      <c r="H920" t="n">
        <v>4</v>
      </c>
      <c r="I920" s="73" t="n">
        <v>98500</v>
      </c>
      <c r="J920" s="73" t="n">
        <v>394000</v>
      </c>
      <c r="K920" s="73" t="n">
        <v>220244</v>
      </c>
    </row>
    <row r="921">
      <c r="A921" t="n">
        <v>11446</v>
      </c>
      <c r="B921" s="72" t="n">
        <v>45581.83194444444</v>
      </c>
      <c r="C921" t="inlineStr">
        <is>
          <t>Nariño</t>
        </is>
      </c>
      <c r="D921" t="inlineStr">
        <is>
          <t>Pasto</t>
        </is>
      </c>
      <c r="E921" t="inlineStr">
        <is>
          <t>Deportes</t>
        </is>
      </c>
      <c r="F921" t="inlineStr">
        <is>
          <t>App</t>
        </is>
      </c>
      <c r="G921" t="inlineStr">
        <is>
          <t>2. Carrito</t>
        </is>
      </c>
      <c r="H921" t="n">
        <v>2</v>
      </c>
      <c r="I921" s="73" t="n">
        <v>133900</v>
      </c>
      <c r="J921" s="73" t="n">
        <v>267800</v>
      </c>
      <c r="K921" s="73" t="n">
        <v>156813</v>
      </c>
    </row>
    <row r="922">
      <c r="A922" t="n">
        <v>10593</v>
      </c>
      <c r="B922" s="72" t="n">
        <v>45581.97916666666</v>
      </c>
      <c r="C922" t="inlineStr">
        <is>
          <t>Santander</t>
        </is>
      </c>
      <c r="D922" t="inlineStr">
        <is>
          <t>Bucaramanga</t>
        </is>
      </c>
      <c r="E922" t="inlineStr">
        <is>
          <t>Tecnología</t>
        </is>
      </c>
      <c r="F922" t="inlineStr">
        <is>
          <t>Web</t>
        </is>
      </c>
      <c r="G922" t="inlineStr">
        <is>
          <t>3. Pago</t>
        </is>
      </c>
      <c r="H922" t="n">
        <v>3</v>
      </c>
      <c r="I922" s="73" t="n">
        <v>599700</v>
      </c>
      <c r="J922" s="73" t="n">
        <v>1799100</v>
      </c>
      <c r="K922" s="73" t="n">
        <v>1193241</v>
      </c>
    </row>
    <row r="923">
      <c r="A923" t="n">
        <v>11964</v>
      </c>
      <c r="B923" s="72" t="n">
        <v>45582.35416666666</v>
      </c>
      <c r="C923" t="inlineStr">
        <is>
          <t>Bogotá D.C.</t>
        </is>
      </c>
      <c r="D923" t="inlineStr">
        <is>
          <t>Bogotá</t>
        </is>
      </c>
      <c r="E923" t="inlineStr">
        <is>
          <t>Juguetes</t>
        </is>
      </c>
      <c r="F923" t="inlineStr">
        <is>
          <t>Marketplace</t>
        </is>
      </c>
      <c r="G923" t="inlineStr">
        <is>
          <t>2. Carrito</t>
        </is>
      </c>
      <c r="H923" t="n">
        <v>2</v>
      </c>
      <c r="I923" s="73" t="n">
        <v>85900</v>
      </c>
      <c r="J923" s="73" t="n">
        <v>171800</v>
      </c>
      <c r="K923" s="73" t="n">
        <v>115202</v>
      </c>
    </row>
    <row r="924">
      <c r="A924" t="n">
        <v>11040</v>
      </c>
      <c r="B924" s="72" t="n">
        <v>45582.74583333333</v>
      </c>
      <c r="C924" t="inlineStr">
        <is>
          <t>Risaralda</t>
        </is>
      </c>
      <c r="D924" t="inlineStr">
        <is>
          <t>Pereira</t>
        </is>
      </c>
      <c r="E924" t="inlineStr">
        <is>
          <t>Deportes</t>
        </is>
      </c>
      <c r="F924" t="inlineStr">
        <is>
          <t>Web</t>
        </is>
      </c>
      <c r="G924" t="inlineStr">
        <is>
          <t>2. Carrito</t>
        </is>
      </c>
      <c r="H924" t="n">
        <v>3</v>
      </c>
      <c r="I924" s="73" t="n">
        <v>166200</v>
      </c>
      <c r="J924" s="73" t="n">
        <v>498600</v>
      </c>
      <c r="K924" s="73" t="n">
        <v>373467</v>
      </c>
    </row>
    <row r="925">
      <c r="A925" t="n">
        <v>12208</v>
      </c>
      <c r="B925" s="72" t="n">
        <v>45582.91388888889</v>
      </c>
      <c r="C925" t="inlineStr">
        <is>
          <t>Bolívar</t>
        </is>
      </c>
      <c r="D925" t="inlineStr">
        <is>
          <t>Cartagena</t>
        </is>
      </c>
      <c r="E925" t="inlineStr">
        <is>
          <t>Deportes</t>
        </is>
      </c>
      <c r="F925" t="inlineStr">
        <is>
          <t>Tienda física</t>
        </is>
      </c>
      <c r="G925" t="inlineStr">
        <is>
          <t>2. Carrito</t>
        </is>
      </c>
      <c r="H925" t="n">
        <v>2</v>
      </c>
      <c r="I925" s="73" t="n">
        <v>194500</v>
      </c>
      <c r="J925" s="73" t="n">
        <v>389000</v>
      </c>
      <c r="K925" s="73" t="n">
        <v>274952</v>
      </c>
    </row>
    <row r="926">
      <c r="A926" t="n">
        <v>11858</v>
      </c>
      <c r="B926" s="72" t="n">
        <v>45583.22152777778</v>
      </c>
      <c r="C926" t="inlineStr">
        <is>
          <t>Antioquia</t>
        </is>
      </c>
      <c r="D926" t="inlineStr">
        <is>
          <t>Medellín</t>
        </is>
      </c>
      <c r="E926" t="inlineStr">
        <is>
          <t>Tecnología</t>
        </is>
      </c>
      <c r="F926" t="inlineStr">
        <is>
          <t>App</t>
        </is>
      </c>
      <c r="G926" t="inlineStr">
        <is>
          <t>2. Carrito</t>
        </is>
      </c>
      <c r="H926" t="n">
        <v>4</v>
      </c>
      <c r="I926" s="73" t="n">
        <v>993000</v>
      </c>
      <c r="J926" s="73" t="n">
        <v>4567800</v>
      </c>
      <c r="K926" s="73" t="n">
        <v>2892126</v>
      </c>
    </row>
    <row r="927">
      <c r="A927" t="n">
        <v>10472</v>
      </c>
      <c r="B927" s="72" t="n">
        <v>45583.85</v>
      </c>
      <c r="C927" t="inlineStr">
        <is>
          <t>Bolívar</t>
        </is>
      </c>
      <c r="D927" t="inlineStr">
        <is>
          <t>Cartagena</t>
        </is>
      </c>
      <c r="E927" t="inlineStr">
        <is>
          <t>Juguetes</t>
        </is>
      </c>
      <c r="F927" t="inlineStr">
        <is>
          <t>Tienda física</t>
        </is>
      </c>
      <c r="G927" t="inlineStr">
        <is>
          <t>2. Carrito</t>
        </is>
      </c>
      <c r="H927" t="n">
        <v>1</v>
      </c>
      <c r="I927" s="73" t="n">
        <v>113100</v>
      </c>
      <c r="J927" s="73" t="n">
        <v>130065</v>
      </c>
      <c r="K927" s="73" t="n">
        <v>76528</v>
      </c>
    </row>
    <row r="928">
      <c r="A928" t="n">
        <v>10937</v>
      </c>
      <c r="B928" s="72" t="n">
        <v>45584.08125</v>
      </c>
      <c r="C928" t="inlineStr">
        <is>
          <t>Antioquia</t>
        </is>
      </c>
      <c r="D928" t="inlineStr">
        <is>
          <t>Medellín</t>
        </is>
      </c>
      <c r="E928" t="inlineStr">
        <is>
          <t>Juguetes</t>
        </is>
      </c>
      <c r="F928" t="inlineStr">
        <is>
          <t>Web</t>
        </is>
      </c>
      <c r="G928" t="inlineStr">
        <is>
          <t>2. Carrito</t>
        </is>
      </c>
      <c r="H928" t="n">
        <v>4</v>
      </c>
      <c r="I928" s="73" t="n">
        <v>115300</v>
      </c>
      <c r="J928" s="73" t="n">
        <v>530380</v>
      </c>
      <c r="K928" s="73" t="n">
        <v>293484</v>
      </c>
    </row>
    <row r="929">
      <c r="A929" t="n">
        <v>12269</v>
      </c>
      <c r="B929" s="72" t="n">
        <v>45584.33611111111</v>
      </c>
      <c r="C929" t="inlineStr">
        <is>
          <t>Bogotá D.C.</t>
        </is>
      </c>
      <c r="D929" t="inlineStr">
        <is>
          <t>Bogotá</t>
        </is>
      </c>
      <c r="E929" t="inlineStr">
        <is>
          <t>Tecnología</t>
        </is>
      </c>
      <c r="F929" t="inlineStr">
        <is>
          <t>Web</t>
        </is>
      </c>
      <c r="G929" t="inlineStr">
        <is>
          <t>2. Carrito</t>
        </is>
      </c>
      <c r="H929" t="n">
        <v>1</v>
      </c>
      <c r="I929" s="73" t="n">
        <v>1084900</v>
      </c>
      <c r="J929" s="73" t="n">
        <v>1247635</v>
      </c>
      <c r="K929" s="73" t="n">
        <v>720764</v>
      </c>
    </row>
    <row r="930">
      <c r="A930" t="n">
        <v>10564</v>
      </c>
      <c r="B930" s="72" t="n">
        <v>45584.54583333333</v>
      </c>
      <c r="C930" t="inlineStr">
        <is>
          <t>Antioquia</t>
        </is>
      </c>
      <c r="D930" t="inlineStr">
        <is>
          <t>Medellín</t>
        </is>
      </c>
      <c r="E930" t="inlineStr">
        <is>
          <t>Belleza</t>
        </is>
      </c>
      <c r="F930" t="inlineStr">
        <is>
          <t>Tienda física</t>
        </is>
      </c>
      <c r="G930" t="inlineStr">
        <is>
          <t>1. Visita</t>
        </is>
      </c>
      <c r="H930" t="n">
        <v>4</v>
      </c>
      <c r="I930" s="73" t="n">
        <v>57100</v>
      </c>
      <c r="J930" s="73" t="n">
        <v>262660</v>
      </c>
      <c r="K930" s="73" t="n">
        <v>162218</v>
      </c>
    </row>
    <row r="931">
      <c r="A931" t="n">
        <v>11501</v>
      </c>
      <c r="B931" s="72" t="n">
        <v>45584.60902777778</v>
      </c>
      <c r="C931" t="inlineStr">
        <is>
          <t>Nariño</t>
        </is>
      </c>
      <c r="D931" t="inlineStr">
        <is>
          <t>Pasto</t>
        </is>
      </c>
      <c r="E931" t="inlineStr">
        <is>
          <t>Juguetes</t>
        </is>
      </c>
      <c r="F931" t="inlineStr">
        <is>
          <t>App</t>
        </is>
      </c>
      <c r="G931" t="inlineStr">
        <is>
          <t>1. Visita</t>
        </is>
      </c>
      <c r="H931" t="n">
        <v>5</v>
      </c>
      <c r="I931" s="73" t="n">
        <v>72900</v>
      </c>
      <c r="J931" s="73" t="n">
        <v>419175</v>
      </c>
      <c r="K931" s="73" t="n">
        <v>231192</v>
      </c>
    </row>
    <row r="932">
      <c r="A932" t="n">
        <v>10317</v>
      </c>
      <c r="B932" s="72" t="n">
        <v>45584.64861111111</v>
      </c>
      <c r="C932" t="inlineStr">
        <is>
          <t>Bolívar</t>
        </is>
      </c>
      <c r="D932" t="inlineStr">
        <is>
          <t>Cartagena</t>
        </is>
      </c>
      <c r="E932" t="inlineStr">
        <is>
          <t>Hogar</t>
        </is>
      </c>
      <c r="F932" t="inlineStr">
        <is>
          <t>Web</t>
        </is>
      </c>
      <c r="G932" t="inlineStr">
        <is>
          <t>1. Visita</t>
        </is>
      </c>
      <c r="H932" t="n">
        <v>5</v>
      </c>
      <c r="I932" s="73" t="n">
        <v>190000</v>
      </c>
      <c r="J932" s="73" t="n">
        <v>1092500</v>
      </c>
      <c r="K932" s="73" t="n">
        <v>731850</v>
      </c>
    </row>
    <row r="933">
      <c r="A933" t="n">
        <v>11982</v>
      </c>
      <c r="B933" s="72" t="n">
        <v>45584.74027777778</v>
      </c>
      <c r="C933" t="inlineStr">
        <is>
          <t>Bolívar</t>
        </is>
      </c>
      <c r="D933" t="inlineStr">
        <is>
          <t>Cartagena</t>
        </is>
      </c>
      <c r="E933" t="inlineStr">
        <is>
          <t>Moda</t>
        </is>
      </c>
      <c r="F933" t="inlineStr">
        <is>
          <t>Marketplace</t>
        </is>
      </c>
      <c r="G933" t="inlineStr">
        <is>
          <t>1. Visita</t>
        </is>
      </c>
      <c r="H933" t="n">
        <v>3</v>
      </c>
      <c r="I933" s="73" t="n">
        <v>121200</v>
      </c>
      <c r="J933" s="73" t="n">
        <v>418140</v>
      </c>
      <c r="K933" s="73" t="n">
        <v>283855</v>
      </c>
    </row>
    <row r="934">
      <c r="A934" t="n">
        <v>11310</v>
      </c>
      <c r="B934" s="72" t="n">
        <v>45584.83680555555</v>
      </c>
      <c r="C934" t="inlineStr">
        <is>
          <t>Bolívar</t>
        </is>
      </c>
      <c r="D934" t="inlineStr">
        <is>
          <t>Cartagena</t>
        </is>
      </c>
      <c r="E934" t="inlineStr">
        <is>
          <t>Deportes</t>
        </is>
      </c>
      <c r="F934" t="inlineStr">
        <is>
          <t>App</t>
        </is>
      </c>
      <c r="G934" t="inlineStr">
        <is>
          <t>3. Pago</t>
        </is>
      </c>
      <c r="H934" t="n">
        <v>5</v>
      </c>
      <c r="I934" s="73" t="n">
        <v>143000</v>
      </c>
      <c r="J934" s="73" t="n">
        <v>822250</v>
      </c>
      <c r="K934" s="73" t="n">
        <v>574316</v>
      </c>
    </row>
    <row r="935">
      <c r="A935" t="n">
        <v>10343</v>
      </c>
      <c r="B935" s="72" t="n">
        <v>45584.96319444444</v>
      </c>
      <c r="C935" t="inlineStr">
        <is>
          <t>Atlántico</t>
        </is>
      </c>
      <c r="D935" t="inlineStr">
        <is>
          <t>Barranquilla</t>
        </is>
      </c>
      <c r="E935" t="inlineStr">
        <is>
          <t>Moda</t>
        </is>
      </c>
      <c r="F935" t="inlineStr">
        <is>
          <t>App</t>
        </is>
      </c>
      <c r="G935" t="inlineStr">
        <is>
          <t>4. Compra</t>
        </is>
      </c>
      <c r="H935" t="n">
        <v>4</v>
      </c>
      <c r="I935" s="73" t="n">
        <v>153600</v>
      </c>
      <c r="J935" s="73" t="n">
        <v>706560</v>
      </c>
      <c r="K935" s="73" t="n">
        <v>441312</v>
      </c>
    </row>
    <row r="936">
      <c r="A936" t="n">
        <v>10021</v>
      </c>
      <c r="B936" s="72" t="n">
        <v>45585.80347222222</v>
      </c>
      <c r="C936" t="inlineStr">
        <is>
          <t>Bogotá D.C.</t>
        </is>
      </c>
      <c r="D936" t="inlineStr">
        <is>
          <t>Bogotá</t>
        </is>
      </c>
      <c r="E936" t="inlineStr">
        <is>
          <t>Belleza</t>
        </is>
      </c>
      <c r="F936" t="inlineStr">
        <is>
          <t>App</t>
        </is>
      </c>
      <c r="G936" t="inlineStr">
        <is>
          <t>1. Visita</t>
        </is>
      </c>
      <c r="H936" t="n">
        <v>3</v>
      </c>
      <c r="I936" s="73" t="n">
        <v>77300</v>
      </c>
      <c r="J936" s="73" t="n">
        <v>266685</v>
      </c>
      <c r="K936" s="73" t="n">
        <v>198914</v>
      </c>
    </row>
    <row r="937">
      <c r="A937" t="n">
        <v>10913</v>
      </c>
      <c r="B937" s="72" t="n">
        <v>45585.82013888889</v>
      </c>
      <c r="C937" t="inlineStr">
        <is>
          <t>Atlántico</t>
        </is>
      </c>
      <c r="D937" t="inlineStr">
        <is>
          <t>Barranquilla</t>
        </is>
      </c>
      <c r="E937" t="inlineStr">
        <is>
          <t>Belleza</t>
        </is>
      </c>
      <c r="F937" t="inlineStr">
        <is>
          <t>App</t>
        </is>
      </c>
      <c r="G937" t="inlineStr">
        <is>
          <t>1. Visita</t>
        </is>
      </c>
      <c r="H937" t="n">
        <v>2</v>
      </c>
      <c r="I937" s="73" t="n">
        <v>88100</v>
      </c>
      <c r="J937" s="73" t="n">
        <v>202630</v>
      </c>
      <c r="K937" s="73" t="n">
        <v>145799</v>
      </c>
    </row>
    <row r="938">
      <c r="A938" t="n">
        <v>11649</v>
      </c>
      <c r="B938" s="72" t="n">
        <v>45585.82569444444</v>
      </c>
      <c r="C938" t="inlineStr">
        <is>
          <t>Nariño</t>
        </is>
      </c>
      <c r="D938" t="inlineStr">
        <is>
          <t>Pasto</t>
        </is>
      </c>
      <c r="E938" t="inlineStr">
        <is>
          <t>Moda</t>
        </is>
      </c>
      <c r="F938" t="inlineStr">
        <is>
          <t>Tienda física</t>
        </is>
      </c>
      <c r="G938" t="inlineStr">
        <is>
          <t>1. Visita</t>
        </is>
      </c>
      <c r="H938" t="n">
        <v>4</v>
      </c>
      <c r="I938" s="73" t="n">
        <v>155200</v>
      </c>
      <c r="J938" s="73" t="n">
        <v>713920</v>
      </c>
      <c r="K938" s="73" t="n">
        <v>424772</v>
      </c>
    </row>
    <row r="939">
      <c r="A939" t="n">
        <v>10604</v>
      </c>
      <c r="B939" s="72" t="n">
        <v>45585.86875</v>
      </c>
      <c r="C939" t="inlineStr">
        <is>
          <t>Valle del Cauca</t>
        </is>
      </c>
      <c r="D939" t="inlineStr">
        <is>
          <t>Cali</t>
        </is>
      </c>
      <c r="E939" t="inlineStr">
        <is>
          <t>Juguetes</t>
        </is>
      </c>
      <c r="F939" t="inlineStr">
        <is>
          <t>Tienda física</t>
        </is>
      </c>
      <c r="G939" t="inlineStr">
        <is>
          <t>1. Visita</t>
        </is>
      </c>
      <c r="H939" t="n">
        <v>3</v>
      </c>
      <c r="I939" s="73" t="n">
        <v>104500</v>
      </c>
      <c r="J939" s="73" t="n">
        <v>360525</v>
      </c>
      <c r="K939" s="73" t="n">
        <v>266362</v>
      </c>
    </row>
    <row r="940">
      <c r="A940" t="n">
        <v>11219</v>
      </c>
      <c r="B940" s="72" t="n">
        <v>45586.5</v>
      </c>
      <c r="C940" t="inlineStr">
        <is>
          <t>Atlántico</t>
        </is>
      </c>
      <c r="D940" t="inlineStr">
        <is>
          <t>Barranquilla</t>
        </is>
      </c>
      <c r="E940" t="inlineStr">
        <is>
          <t>Moda</t>
        </is>
      </c>
      <c r="F940" t="inlineStr">
        <is>
          <t>Tienda física</t>
        </is>
      </c>
      <c r="G940" t="inlineStr">
        <is>
          <t>2. Carrito</t>
        </is>
      </c>
      <c r="H940" t="n">
        <v>1</v>
      </c>
      <c r="I940" s="73" t="n">
        <v>120900</v>
      </c>
      <c r="J940" s="73" t="n">
        <v>120900</v>
      </c>
      <c r="K940" s="73" t="n">
        <v>85323</v>
      </c>
    </row>
    <row r="941">
      <c r="A941" t="n">
        <v>10250</v>
      </c>
      <c r="B941" s="72" t="n">
        <v>45586.5375</v>
      </c>
      <c r="C941" t="inlineStr">
        <is>
          <t>Bogotá D.C.</t>
        </is>
      </c>
      <c r="D941" t="inlineStr">
        <is>
          <t>Bogotá</t>
        </is>
      </c>
      <c r="E941" t="inlineStr">
        <is>
          <t>Belleza</t>
        </is>
      </c>
      <c r="F941" t="inlineStr">
        <is>
          <t>Tienda física</t>
        </is>
      </c>
      <c r="G941" t="inlineStr">
        <is>
          <t>3. Pago</t>
        </is>
      </c>
      <c r="H941" t="n">
        <v>1</v>
      </c>
      <c r="I941" s="73" t="n">
        <v>72900</v>
      </c>
      <c r="J941" s="73" t="n">
        <v>72900</v>
      </c>
      <c r="K941" s="73" t="n">
        <v>43486</v>
      </c>
    </row>
    <row r="942">
      <c r="A942" t="n">
        <v>10750</v>
      </c>
      <c r="B942" s="72" t="n">
        <v>45586.72916666666</v>
      </c>
      <c r="C942" t="inlineStr">
        <is>
          <t>Nariño</t>
        </is>
      </c>
      <c r="D942" t="inlineStr">
        <is>
          <t>Pasto</t>
        </is>
      </c>
      <c r="E942" t="inlineStr">
        <is>
          <t>Belleza</t>
        </is>
      </c>
      <c r="F942" t="inlineStr">
        <is>
          <t>Marketplace</t>
        </is>
      </c>
      <c r="G942" t="inlineStr">
        <is>
          <t>2. Carrito</t>
        </is>
      </c>
      <c r="H942" t="n">
        <v>2</v>
      </c>
      <c r="I942" s="73" t="n">
        <v>59500</v>
      </c>
      <c r="J942" s="73" t="n">
        <v>119000</v>
      </c>
      <c r="K942" s="73" t="n">
        <v>66258</v>
      </c>
    </row>
    <row r="943">
      <c r="A943" t="n">
        <v>11045</v>
      </c>
      <c r="B943" s="72" t="n">
        <v>45586.84236111111</v>
      </c>
      <c r="C943" t="inlineStr">
        <is>
          <t>Valle del Cauca</t>
        </is>
      </c>
      <c r="D943" t="inlineStr">
        <is>
          <t>Cali</t>
        </is>
      </c>
      <c r="E943" t="inlineStr">
        <is>
          <t>Moda</t>
        </is>
      </c>
      <c r="F943" t="inlineStr">
        <is>
          <t>Marketplace</t>
        </is>
      </c>
      <c r="G943" t="inlineStr">
        <is>
          <t>3. Pago</t>
        </is>
      </c>
      <c r="H943" t="n">
        <v>2</v>
      </c>
      <c r="I943" s="73" t="n">
        <v>100300</v>
      </c>
      <c r="J943" s="73" t="n">
        <v>200600</v>
      </c>
      <c r="K943" s="73" t="n">
        <v>116198</v>
      </c>
    </row>
    <row r="944">
      <c r="A944" t="n">
        <v>10772</v>
      </c>
      <c r="B944" s="72" t="n">
        <v>45586.90763888889</v>
      </c>
      <c r="C944" t="inlineStr">
        <is>
          <t>Bogotá D.C.</t>
        </is>
      </c>
      <c r="D944" t="inlineStr">
        <is>
          <t>Bogotá</t>
        </is>
      </c>
      <c r="E944" t="inlineStr">
        <is>
          <t>Tecnología</t>
        </is>
      </c>
      <c r="F944" t="inlineStr">
        <is>
          <t>App</t>
        </is>
      </c>
      <c r="G944" t="inlineStr">
        <is>
          <t>2. Carrito</t>
        </is>
      </c>
      <c r="H944" t="n">
        <v>5</v>
      </c>
      <c r="I944" s="73" t="n">
        <v>691000</v>
      </c>
      <c r="J944" s="73" t="n">
        <v>3455000</v>
      </c>
      <c r="K944" s="73" t="n">
        <v>2493025</v>
      </c>
    </row>
    <row r="945">
      <c r="A945" t="n">
        <v>11742</v>
      </c>
      <c r="B945" s="72" t="n">
        <v>45587.57847222222</v>
      </c>
      <c r="C945" t="inlineStr">
        <is>
          <t>Antioquia</t>
        </is>
      </c>
      <c r="D945" t="inlineStr">
        <is>
          <t>Medellín</t>
        </is>
      </c>
      <c r="E945" t="inlineStr">
        <is>
          <t>Tecnología</t>
        </is>
      </c>
      <c r="F945" t="inlineStr">
        <is>
          <t>App</t>
        </is>
      </c>
      <c r="G945" t="inlineStr">
        <is>
          <t>1. Visita</t>
        </is>
      </c>
      <c r="H945" t="n">
        <v>3</v>
      </c>
      <c r="I945" s="73" t="n">
        <v>859300</v>
      </c>
      <c r="J945" s="73" t="n">
        <v>2577900</v>
      </c>
      <c r="K945" s="73" t="n">
        <v>1895953</v>
      </c>
    </row>
    <row r="946">
      <c r="A946" t="n">
        <v>11933</v>
      </c>
      <c r="B946" s="72" t="n">
        <v>45587.70138888889</v>
      </c>
      <c r="C946" t="inlineStr">
        <is>
          <t>Bogotá D.C.</t>
        </is>
      </c>
      <c r="D946" t="inlineStr">
        <is>
          <t>Bogotá</t>
        </is>
      </c>
      <c r="E946" t="inlineStr">
        <is>
          <t>Tecnología</t>
        </is>
      </c>
      <c r="F946" t="inlineStr">
        <is>
          <t>Web</t>
        </is>
      </c>
      <c r="G946" t="inlineStr">
        <is>
          <t>1. Visita</t>
        </is>
      </c>
      <c r="H946" t="n">
        <v>3</v>
      </c>
      <c r="I946" s="73" t="n">
        <v>686200</v>
      </c>
      <c r="J946" s="73" t="n">
        <v>2058600</v>
      </c>
      <c r="K946" s="73" t="n">
        <v>1238596</v>
      </c>
    </row>
    <row r="947">
      <c r="A947" t="n">
        <v>10486</v>
      </c>
      <c r="B947" s="72" t="n">
        <v>45587.80277777778</v>
      </c>
      <c r="C947" t="inlineStr">
        <is>
          <t>Atlántico</t>
        </is>
      </c>
      <c r="D947" t="inlineStr">
        <is>
          <t>Barranquilla</t>
        </is>
      </c>
      <c r="E947" t="inlineStr">
        <is>
          <t>Juguetes</t>
        </is>
      </c>
      <c r="F947" t="inlineStr">
        <is>
          <t>Web</t>
        </is>
      </c>
      <c r="G947" t="inlineStr">
        <is>
          <t>2. Carrito</t>
        </is>
      </c>
      <c r="H947" t="n">
        <v>3</v>
      </c>
      <c r="I947" s="73" t="n">
        <v>110000</v>
      </c>
      <c r="J947" s="73" t="n">
        <v>330000</v>
      </c>
      <c r="K947" s="73" t="n">
        <v>239876</v>
      </c>
    </row>
    <row r="948">
      <c r="A948" t="n">
        <v>10525</v>
      </c>
      <c r="B948" s="72" t="n">
        <v>45587.84236111111</v>
      </c>
      <c r="C948" t="inlineStr">
        <is>
          <t>Atlántico</t>
        </is>
      </c>
      <c r="D948" t="inlineStr">
        <is>
          <t>Barranquilla</t>
        </is>
      </c>
      <c r="E948" t="inlineStr">
        <is>
          <t>Hogar</t>
        </is>
      </c>
      <c r="F948" t="inlineStr">
        <is>
          <t>Web</t>
        </is>
      </c>
      <c r="G948" t="inlineStr">
        <is>
          <t>3. Pago</t>
        </is>
      </c>
      <c r="H948" t="n">
        <v>2</v>
      </c>
      <c r="I948" s="73" t="n">
        <v>210800</v>
      </c>
      <c r="J948" s="73" t="n">
        <v>421600</v>
      </c>
      <c r="K948" s="73" t="n">
        <v>307760</v>
      </c>
    </row>
    <row r="949">
      <c r="A949" t="n">
        <v>11686</v>
      </c>
      <c r="B949" s="72" t="n">
        <v>45587.91111111111</v>
      </c>
      <c r="C949" t="inlineStr">
        <is>
          <t>Antioquia</t>
        </is>
      </c>
      <c r="D949" t="inlineStr">
        <is>
          <t>Medellín</t>
        </is>
      </c>
      <c r="E949" t="inlineStr">
        <is>
          <t>Tecnología</t>
        </is>
      </c>
      <c r="F949" t="inlineStr">
        <is>
          <t>Web</t>
        </is>
      </c>
      <c r="G949" t="inlineStr">
        <is>
          <t>1. Visita</t>
        </is>
      </c>
      <c r="H949" t="n">
        <v>4</v>
      </c>
      <c r="I949" s="73" t="n">
        <v>1031400</v>
      </c>
      <c r="J949" s="73" t="n">
        <v>4125600</v>
      </c>
      <c r="K949" s="73" t="n">
        <v>2302110</v>
      </c>
    </row>
    <row r="950">
      <c r="A950" t="n">
        <v>11287</v>
      </c>
      <c r="B950" s="72" t="n">
        <v>45588.32569444444</v>
      </c>
      <c r="C950" t="inlineStr">
        <is>
          <t>Bogotá D.C.</t>
        </is>
      </c>
      <c r="D950" t="inlineStr">
        <is>
          <t>Bogotá</t>
        </is>
      </c>
      <c r="E950" t="inlineStr">
        <is>
          <t>Deportes</t>
        </is>
      </c>
      <c r="F950" t="inlineStr">
        <is>
          <t>Web</t>
        </is>
      </c>
      <c r="G950" t="inlineStr">
        <is>
          <t>1. Visita</t>
        </is>
      </c>
      <c r="H950" t="n">
        <v>5</v>
      </c>
      <c r="I950" s="73" t="n">
        <v>147500</v>
      </c>
      <c r="J950" s="73" t="n">
        <v>737500</v>
      </c>
      <c r="K950" s="73" t="n">
        <v>460590</v>
      </c>
    </row>
    <row r="951">
      <c r="A951" t="n">
        <v>12265</v>
      </c>
      <c r="B951" s="72" t="n">
        <v>45588.41180555556</v>
      </c>
      <c r="C951" t="inlineStr">
        <is>
          <t>Bogotá D.C.</t>
        </is>
      </c>
      <c r="D951" t="inlineStr">
        <is>
          <t>Bogotá</t>
        </is>
      </c>
      <c r="E951" t="inlineStr">
        <is>
          <t>Moda</t>
        </is>
      </c>
      <c r="F951" t="inlineStr">
        <is>
          <t>Web</t>
        </is>
      </c>
      <c r="G951" t="inlineStr">
        <is>
          <t>1. Visita</t>
        </is>
      </c>
      <c r="H951" t="n">
        <v>3</v>
      </c>
      <c r="I951" s="73" t="n">
        <v>129300</v>
      </c>
      <c r="J951" s="73" t="n">
        <v>387900</v>
      </c>
      <c r="K951" s="73" t="n">
        <v>267201</v>
      </c>
    </row>
    <row r="952">
      <c r="A952" t="n">
        <v>11781</v>
      </c>
      <c r="B952" s="72" t="n">
        <v>45588.45416666667</v>
      </c>
      <c r="C952" t="inlineStr">
        <is>
          <t>Santander</t>
        </is>
      </c>
      <c r="D952" t="inlineStr">
        <is>
          <t>Bucaramanga</t>
        </is>
      </c>
      <c r="E952" t="inlineStr">
        <is>
          <t>Belleza</t>
        </is>
      </c>
      <c r="F952" t="inlineStr">
        <is>
          <t>Web</t>
        </is>
      </c>
      <c r="G952" t="inlineStr">
        <is>
          <t>2. Carrito</t>
        </is>
      </c>
      <c r="H952" t="n">
        <v>4</v>
      </c>
      <c r="I952" s="73" t="n">
        <v>62700</v>
      </c>
      <c r="J952" s="73" t="n">
        <v>250800</v>
      </c>
      <c r="K952" s="73" t="n">
        <v>176164</v>
      </c>
    </row>
    <row r="953">
      <c r="A953" t="n">
        <v>10651</v>
      </c>
      <c r="B953" s="72" t="n">
        <v>45588.57291666666</v>
      </c>
      <c r="C953" t="inlineStr">
        <is>
          <t>Atlántico</t>
        </is>
      </c>
      <c r="D953" t="inlineStr">
        <is>
          <t>Barranquilla</t>
        </is>
      </c>
      <c r="E953" t="inlineStr">
        <is>
          <t>Juguetes</t>
        </is>
      </c>
      <c r="F953" t="inlineStr">
        <is>
          <t>Web</t>
        </is>
      </c>
      <c r="G953" t="inlineStr">
        <is>
          <t>1. Visita</t>
        </is>
      </c>
      <c r="H953" t="n">
        <v>1</v>
      </c>
      <c r="I953" s="73" t="n">
        <v>82000</v>
      </c>
      <c r="J953" s="73" t="n">
        <v>82000</v>
      </c>
      <c r="K953" s="73" t="n">
        <v>56310</v>
      </c>
    </row>
    <row r="954">
      <c r="A954" t="n">
        <v>10456</v>
      </c>
      <c r="B954" s="72" t="n">
        <v>45588.61041666667</v>
      </c>
      <c r="C954" t="inlineStr">
        <is>
          <t>Antioquia</t>
        </is>
      </c>
      <c r="D954" t="inlineStr">
        <is>
          <t>Medellín</t>
        </is>
      </c>
      <c r="E954" t="inlineStr">
        <is>
          <t>Moda</t>
        </is>
      </c>
      <c r="F954" t="inlineStr">
        <is>
          <t>Web</t>
        </is>
      </c>
      <c r="G954" t="inlineStr">
        <is>
          <t>1. Visita</t>
        </is>
      </c>
      <c r="H954" t="n">
        <v>1</v>
      </c>
      <c r="I954" s="73" t="n">
        <v>84600</v>
      </c>
      <c r="J954" s="73" t="n">
        <v>84600</v>
      </c>
      <c r="K954" s="73" t="n">
        <v>62595</v>
      </c>
    </row>
    <row r="955">
      <c r="A955" t="n">
        <v>11096</v>
      </c>
      <c r="B955" s="72" t="n">
        <v>45588.62708333333</v>
      </c>
      <c r="C955" t="inlineStr">
        <is>
          <t>Valle del Cauca</t>
        </is>
      </c>
      <c r="D955" t="inlineStr">
        <is>
          <t>Cali</t>
        </is>
      </c>
      <c r="E955" t="inlineStr">
        <is>
          <t>Moda</t>
        </is>
      </c>
      <c r="F955" t="inlineStr">
        <is>
          <t>Web</t>
        </is>
      </c>
      <c r="G955" t="inlineStr">
        <is>
          <t>3. Pago</t>
        </is>
      </c>
      <c r="H955" t="n">
        <v>1</v>
      </c>
      <c r="I955" s="73" t="n">
        <v>131400</v>
      </c>
      <c r="J955" s="73" t="n">
        <v>131400</v>
      </c>
      <c r="K955" s="73" t="n">
        <v>73479</v>
      </c>
    </row>
    <row r="956">
      <c r="A956" t="n">
        <v>10118</v>
      </c>
      <c r="B956" s="72" t="n">
        <v>45589.79444444444</v>
      </c>
      <c r="C956" t="inlineStr">
        <is>
          <t>Bogotá D.C.</t>
        </is>
      </c>
      <c r="D956" t="inlineStr">
        <is>
          <t>Bogotá</t>
        </is>
      </c>
      <c r="E956" t="inlineStr">
        <is>
          <t>Moda</t>
        </is>
      </c>
      <c r="F956" t="inlineStr">
        <is>
          <t>App</t>
        </is>
      </c>
      <c r="G956" t="inlineStr">
        <is>
          <t>2. Carrito</t>
        </is>
      </c>
      <c r="H956" t="n">
        <v>5</v>
      </c>
      <c r="I956" s="73" t="n">
        <v>85400</v>
      </c>
      <c r="J956" s="73" t="n">
        <v>427000</v>
      </c>
      <c r="K956" s="73" t="n">
        <v>305825</v>
      </c>
    </row>
    <row r="957">
      <c r="A957" t="n">
        <v>11220</v>
      </c>
      <c r="B957" s="72" t="n">
        <v>45589.86458333334</v>
      </c>
      <c r="C957" t="inlineStr">
        <is>
          <t>Bogotá D.C.</t>
        </is>
      </c>
      <c r="D957" t="inlineStr">
        <is>
          <t>Bogotá</t>
        </is>
      </c>
      <c r="E957" t="inlineStr">
        <is>
          <t>Moda</t>
        </is>
      </c>
      <c r="F957" t="inlineStr">
        <is>
          <t>Tienda física</t>
        </is>
      </c>
      <c r="G957" t="inlineStr">
        <is>
          <t>4. Compra</t>
        </is>
      </c>
      <c r="H957" t="n">
        <v>4</v>
      </c>
      <c r="I957" s="73" t="n">
        <v>153400</v>
      </c>
      <c r="J957" s="73" t="n">
        <v>613600</v>
      </c>
      <c r="K957" s="73" t="n">
        <v>454050</v>
      </c>
    </row>
    <row r="958">
      <c r="A958" t="n">
        <v>10391</v>
      </c>
      <c r="B958" s="72" t="n">
        <v>45589.92777777778</v>
      </c>
      <c r="C958" t="inlineStr">
        <is>
          <t>Valle del Cauca</t>
        </is>
      </c>
      <c r="D958" t="inlineStr">
        <is>
          <t>Cali</t>
        </is>
      </c>
      <c r="E958" t="inlineStr">
        <is>
          <t>Juguetes</t>
        </is>
      </c>
      <c r="F958" t="inlineStr">
        <is>
          <t>App</t>
        </is>
      </c>
      <c r="G958" t="inlineStr">
        <is>
          <t>1. Visita</t>
        </is>
      </c>
      <c r="H958" t="n">
        <v>3</v>
      </c>
      <c r="I958" s="73" t="n">
        <v>92200</v>
      </c>
      <c r="J958" s="73" t="n">
        <v>276600</v>
      </c>
      <c r="K958" s="73" t="n">
        <v>186785</v>
      </c>
    </row>
    <row r="959">
      <c r="A959" t="n">
        <v>10576</v>
      </c>
      <c r="B959" s="72" t="n">
        <v>45590.35347222222</v>
      </c>
      <c r="C959" t="inlineStr">
        <is>
          <t>Antioquia</t>
        </is>
      </c>
      <c r="D959" t="inlineStr">
        <is>
          <t>Medellín</t>
        </is>
      </c>
      <c r="E959" t="inlineStr">
        <is>
          <t>Tecnología</t>
        </is>
      </c>
      <c r="F959" t="inlineStr">
        <is>
          <t>Web</t>
        </is>
      </c>
      <c r="G959" t="inlineStr">
        <is>
          <t>2. Carrito</t>
        </is>
      </c>
      <c r="H959" t="n">
        <v>4</v>
      </c>
      <c r="I959" s="73" t="n">
        <v>1061200</v>
      </c>
      <c r="J959" s="73" t="n">
        <v>4881520</v>
      </c>
      <c r="K959" s="73" t="n">
        <v>3543796</v>
      </c>
    </row>
    <row r="960">
      <c r="A960" t="n">
        <v>11511</v>
      </c>
      <c r="B960" s="72" t="n">
        <v>45590.78263888889</v>
      </c>
      <c r="C960" t="inlineStr">
        <is>
          <t>Nariño</t>
        </is>
      </c>
      <c r="D960" t="inlineStr">
        <is>
          <t>Pasto</t>
        </is>
      </c>
      <c r="E960" t="inlineStr">
        <is>
          <t>Moda</t>
        </is>
      </c>
      <c r="F960" t="inlineStr">
        <is>
          <t>Tienda física</t>
        </is>
      </c>
      <c r="G960" t="inlineStr">
        <is>
          <t>1. Visita</t>
        </is>
      </c>
      <c r="H960" t="n">
        <v>1</v>
      </c>
      <c r="I960" s="73" t="n">
        <v>111500</v>
      </c>
      <c r="J960" s="73" t="n">
        <v>128225</v>
      </c>
      <c r="K960" s="73" t="n">
        <v>75705</v>
      </c>
    </row>
    <row r="961">
      <c r="A961" t="n">
        <v>11440</v>
      </c>
      <c r="B961" s="72" t="n">
        <v>45591.47083333333</v>
      </c>
      <c r="C961" t="inlineStr">
        <is>
          <t>Bogotá D.C.</t>
        </is>
      </c>
      <c r="D961" t="inlineStr">
        <is>
          <t>Bogotá</t>
        </is>
      </c>
      <c r="E961" t="inlineStr">
        <is>
          <t>Juguetes</t>
        </is>
      </c>
      <c r="F961" t="inlineStr">
        <is>
          <t>Tienda física</t>
        </is>
      </c>
      <c r="G961" t="inlineStr">
        <is>
          <t>1. Visita</t>
        </is>
      </c>
      <c r="H961" t="n">
        <v>2</v>
      </c>
      <c r="I961" s="73" t="n">
        <v>102800</v>
      </c>
      <c r="J961" s="73" t="n">
        <v>236440</v>
      </c>
      <c r="K961" s="73" t="n">
        <v>167207</v>
      </c>
    </row>
    <row r="962">
      <c r="A962" t="n">
        <v>12320</v>
      </c>
      <c r="B962" s="72" t="n">
        <v>45591.88611111111</v>
      </c>
      <c r="C962" t="inlineStr">
        <is>
          <t>Atlántico</t>
        </is>
      </c>
      <c r="D962" t="inlineStr">
        <is>
          <t>Barranquilla</t>
        </is>
      </c>
      <c r="E962" t="inlineStr">
        <is>
          <t>Juguetes</t>
        </is>
      </c>
      <c r="F962" t="inlineStr">
        <is>
          <t>Marketplace</t>
        </is>
      </c>
      <c r="G962" t="inlineStr">
        <is>
          <t>4. Compra</t>
        </is>
      </c>
      <c r="H962" t="n">
        <v>3</v>
      </c>
      <c r="I962" s="73" t="n">
        <v>67100</v>
      </c>
      <c r="J962" s="73" t="n">
        <v>231495</v>
      </c>
      <c r="K962" s="73" t="n">
        <v>158584</v>
      </c>
    </row>
    <row r="963">
      <c r="A963" t="n">
        <v>12392</v>
      </c>
      <c r="B963" s="72" t="n">
        <v>45592.72361111111</v>
      </c>
      <c r="C963" t="inlineStr">
        <is>
          <t>Bolívar</t>
        </is>
      </c>
      <c r="D963" t="inlineStr">
        <is>
          <t>Cartagena</t>
        </is>
      </c>
      <c r="E963" t="inlineStr">
        <is>
          <t>Tecnología</t>
        </is>
      </c>
      <c r="F963" t="inlineStr">
        <is>
          <t>Tienda física</t>
        </is>
      </c>
      <c r="G963" t="inlineStr">
        <is>
          <t>2. Carrito</t>
        </is>
      </c>
      <c r="H963" t="n">
        <v>2</v>
      </c>
      <c r="I963" s="73" t="n">
        <v>606000</v>
      </c>
      <c r="J963" s="73" t="n">
        <v>1393800</v>
      </c>
      <c r="K963" s="73" t="n">
        <v>773822</v>
      </c>
    </row>
    <row r="964">
      <c r="A964" t="n">
        <v>12106</v>
      </c>
      <c r="B964" s="72" t="n">
        <v>45592.73680555556</v>
      </c>
      <c r="C964" t="inlineStr">
        <is>
          <t>Bogotá D.C.</t>
        </is>
      </c>
      <c r="D964" t="inlineStr">
        <is>
          <t>Bogotá</t>
        </is>
      </c>
      <c r="E964" t="inlineStr">
        <is>
          <t>Deportes</t>
        </is>
      </c>
      <c r="F964" t="inlineStr">
        <is>
          <t>App</t>
        </is>
      </c>
      <c r="G964" t="inlineStr">
        <is>
          <t>1. Visita</t>
        </is>
      </c>
      <c r="H964" t="n">
        <v>4</v>
      </c>
      <c r="I964" s="73" t="n">
        <v>135300</v>
      </c>
      <c r="J964" s="73" t="n">
        <v>622380</v>
      </c>
      <c r="K964" s="73" t="n">
        <v>398171</v>
      </c>
    </row>
    <row r="965">
      <c r="A965" t="n">
        <v>10620</v>
      </c>
      <c r="B965" s="72" t="n">
        <v>45592.86875</v>
      </c>
      <c r="C965" t="inlineStr">
        <is>
          <t>Risaralda</t>
        </is>
      </c>
      <c r="D965" t="inlineStr">
        <is>
          <t>Pereira</t>
        </is>
      </c>
      <c r="E965" t="inlineStr">
        <is>
          <t>Moda</t>
        </is>
      </c>
      <c r="F965" t="inlineStr">
        <is>
          <t>Web</t>
        </is>
      </c>
      <c r="G965" t="inlineStr">
        <is>
          <t>1. Visita</t>
        </is>
      </c>
      <c r="H965" t="n">
        <v>3</v>
      </c>
      <c r="I965" s="73" t="n">
        <v>92700</v>
      </c>
      <c r="J965" s="73" t="n">
        <v>319815</v>
      </c>
      <c r="K965" s="73" t="n">
        <v>217474</v>
      </c>
    </row>
    <row r="966">
      <c r="A966" t="n">
        <v>11246</v>
      </c>
      <c r="B966" s="72" t="n">
        <v>45592.88055555556</v>
      </c>
      <c r="C966" t="inlineStr">
        <is>
          <t>Antioquia</t>
        </is>
      </c>
      <c r="D966" t="inlineStr">
        <is>
          <t>Medellín</t>
        </is>
      </c>
      <c r="E966" t="inlineStr">
        <is>
          <t>Tecnología</t>
        </is>
      </c>
      <c r="F966" t="inlineStr">
        <is>
          <t>Tienda física</t>
        </is>
      </c>
      <c r="G966" t="inlineStr">
        <is>
          <t>1. Visita</t>
        </is>
      </c>
      <c r="H966" t="n">
        <v>5</v>
      </c>
      <c r="I966" s="73" t="n">
        <v>747500</v>
      </c>
      <c r="J966" s="73" t="n">
        <v>4298125</v>
      </c>
      <c r="K966" s="73" t="n">
        <v>3018546</v>
      </c>
    </row>
    <row r="967">
      <c r="A967" t="n">
        <v>11290</v>
      </c>
      <c r="B967" s="72" t="n">
        <v>45592.92222222222</v>
      </c>
      <c r="C967" t="inlineStr">
        <is>
          <t>Bogotá D.C.</t>
        </is>
      </c>
      <c r="D967" t="inlineStr">
        <is>
          <t>Bogotá</t>
        </is>
      </c>
      <c r="E967" t="inlineStr">
        <is>
          <t>Tecnología</t>
        </is>
      </c>
      <c r="F967" t="inlineStr">
        <is>
          <t>Tienda física</t>
        </is>
      </c>
      <c r="G967" t="inlineStr">
        <is>
          <t>2. Carrito</t>
        </is>
      </c>
      <c r="H967" t="n">
        <v>3</v>
      </c>
      <c r="I967" s="73" t="n">
        <v>860000</v>
      </c>
      <c r="J967" s="73" t="n">
        <v>2967000</v>
      </c>
      <c r="K967" s="73" t="n">
        <v>2203907</v>
      </c>
    </row>
    <row r="968">
      <c r="A968" t="n">
        <v>10977</v>
      </c>
      <c r="B968" s="72" t="n">
        <v>45592.93541666667</v>
      </c>
      <c r="C968" t="inlineStr">
        <is>
          <t>Meta</t>
        </is>
      </c>
      <c r="D968" t="inlineStr">
        <is>
          <t>Villavicencio</t>
        </is>
      </c>
      <c r="E968" t="inlineStr">
        <is>
          <t>Belleza</t>
        </is>
      </c>
      <c r="F968" t="inlineStr">
        <is>
          <t>Web</t>
        </is>
      </c>
      <c r="G968" t="inlineStr">
        <is>
          <t>2. Carrito</t>
        </is>
      </c>
      <c r="H968" t="n">
        <v>3</v>
      </c>
      <c r="I968" s="73" t="n">
        <v>79600</v>
      </c>
      <c r="J968" s="73" t="n">
        <v>274620</v>
      </c>
      <c r="K968" s="73" t="n">
        <v>184955</v>
      </c>
    </row>
    <row r="969">
      <c r="A969" t="n">
        <v>12310</v>
      </c>
      <c r="B969" s="72" t="n">
        <v>45593.31111111111</v>
      </c>
      <c r="C969" t="inlineStr">
        <is>
          <t>Atlántico</t>
        </is>
      </c>
      <c r="D969" t="inlineStr">
        <is>
          <t>Barranquilla</t>
        </is>
      </c>
      <c r="E969" t="inlineStr">
        <is>
          <t>Moda</t>
        </is>
      </c>
      <c r="F969" t="inlineStr">
        <is>
          <t>Tienda física</t>
        </is>
      </c>
      <c r="G969" t="inlineStr">
        <is>
          <t>1. Visita</t>
        </is>
      </c>
      <c r="H969" t="n">
        <v>5</v>
      </c>
      <c r="I969" s="73" t="n">
        <v>130000</v>
      </c>
      <c r="J969" s="73" t="n">
        <v>650000</v>
      </c>
      <c r="K969" s="73" t="n">
        <v>463801</v>
      </c>
    </row>
    <row r="970">
      <c r="A970" t="n">
        <v>11286</v>
      </c>
      <c r="B970" s="72" t="n">
        <v>45593.59097222222</v>
      </c>
      <c r="C970" t="inlineStr">
        <is>
          <t>Meta</t>
        </is>
      </c>
      <c r="D970" t="inlineStr">
        <is>
          <t>Villavicencio</t>
        </is>
      </c>
      <c r="E970" t="inlineStr">
        <is>
          <t>Tecnología</t>
        </is>
      </c>
      <c r="F970" t="inlineStr">
        <is>
          <t>Web</t>
        </is>
      </c>
      <c r="G970" t="inlineStr">
        <is>
          <t>1. Visita</t>
        </is>
      </c>
      <c r="H970" t="n">
        <v>4</v>
      </c>
      <c r="I970" s="73" t="n">
        <v>1058800</v>
      </c>
      <c r="J970" s="73" t="n">
        <v>4235200</v>
      </c>
      <c r="K970" s="73" t="n">
        <v>2523588</v>
      </c>
    </row>
    <row r="971">
      <c r="A971" t="n">
        <v>11958</v>
      </c>
      <c r="B971" s="72" t="n">
        <v>45593.82083333333</v>
      </c>
      <c r="C971" t="inlineStr">
        <is>
          <t>Antioquia</t>
        </is>
      </c>
      <c r="D971" t="inlineStr">
        <is>
          <t>Medellín</t>
        </is>
      </c>
      <c r="E971" t="inlineStr">
        <is>
          <t>Tecnología</t>
        </is>
      </c>
      <c r="F971" t="inlineStr">
        <is>
          <t>Web</t>
        </is>
      </c>
      <c r="G971" t="inlineStr">
        <is>
          <t>1. Visita</t>
        </is>
      </c>
      <c r="H971" t="n">
        <v>4</v>
      </c>
      <c r="I971" s="73" t="n">
        <v>1087200</v>
      </c>
      <c r="J971" s="73" t="n">
        <v>4348800</v>
      </c>
      <c r="K971" s="73" t="n">
        <v>2551017</v>
      </c>
    </row>
    <row r="972">
      <c r="A972" t="n">
        <v>11110</v>
      </c>
      <c r="B972" s="72" t="n">
        <v>45594.67847222222</v>
      </c>
      <c r="C972" t="inlineStr">
        <is>
          <t>Bogotá D.C.</t>
        </is>
      </c>
      <c r="D972" t="inlineStr">
        <is>
          <t>Bogotá</t>
        </is>
      </c>
      <c r="E972" t="inlineStr">
        <is>
          <t>Belleza</t>
        </is>
      </c>
      <c r="F972" t="inlineStr">
        <is>
          <t>Web</t>
        </is>
      </c>
      <c r="G972" t="inlineStr">
        <is>
          <t>1. Visita</t>
        </is>
      </c>
      <c r="H972" t="n">
        <v>2</v>
      </c>
      <c r="I972" s="73" t="n">
        <v>79400</v>
      </c>
      <c r="J972" s="73" t="n">
        <v>158800</v>
      </c>
      <c r="K972" s="73" t="n">
        <v>87447</v>
      </c>
    </row>
    <row r="973">
      <c r="A973" t="n">
        <v>10099</v>
      </c>
      <c r="B973" s="72" t="n">
        <v>45594.76388888889</v>
      </c>
      <c r="C973" t="inlineStr">
        <is>
          <t>Antioquia</t>
        </is>
      </c>
      <c r="D973" t="inlineStr">
        <is>
          <t>Medellín</t>
        </is>
      </c>
      <c r="E973" t="inlineStr">
        <is>
          <t>Belleza</t>
        </is>
      </c>
      <c r="F973" t="inlineStr">
        <is>
          <t>Web</t>
        </is>
      </c>
      <c r="G973" t="inlineStr">
        <is>
          <t>2. Carrito</t>
        </is>
      </c>
      <c r="H973" t="n">
        <v>3</v>
      </c>
      <c r="I973" s="73" t="n">
        <v>68000</v>
      </c>
      <c r="J973" s="73" t="n">
        <v>204000</v>
      </c>
      <c r="K973" s="73" t="n">
        <v>139533</v>
      </c>
    </row>
    <row r="974">
      <c r="A974" t="n">
        <v>10563</v>
      </c>
      <c r="B974" s="72" t="n">
        <v>45594.81805555556</v>
      </c>
      <c r="C974" t="inlineStr">
        <is>
          <t>Antioquia</t>
        </is>
      </c>
      <c r="D974" t="inlineStr">
        <is>
          <t>Medellín</t>
        </is>
      </c>
      <c r="E974" t="inlineStr">
        <is>
          <t>Hogar</t>
        </is>
      </c>
      <c r="F974" t="inlineStr">
        <is>
          <t>App</t>
        </is>
      </c>
      <c r="G974" t="inlineStr">
        <is>
          <t>1. Visita</t>
        </is>
      </c>
      <c r="H974" t="n">
        <v>1</v>
      </c>
      <c r="I974" s="73" t="n">
        <v>159800</v>
      </c>
      <c r="J974" s="73" t="n">
        <v>159800</v>
      </c>
      <c r="K974" s="73" t="n">
        <v>89120</v>
      </c>
    </row>
    <row r="975">
      <c r="A975" t="n">
        <v>10167</v>
      </c>
      <c r="B975" s="72" t="n">
        <v>45595.38472222222</v>
      </c>
      <c r="C975" t="inlineStr">
        <is>
          <t>Bogotá D.C.</t>
        </is>
      </c>
      <c r="D975" t="inlineStr">
        <is>
          <t>Bogotá</t>
        </is>
      </c>
      <c r="E975" t="inlineStr">
        <is>
          <t>Juguetes</t>
        </is>
      </c>
      <c r="F975" t="inlineStr">
        <is>
          <t>App</t>
        </is>
      </c>
      <c r="G975" t="inlineStr">
        <is>
          <t>1. Visita</t>
        </is>
      </c>
      <c r="H975" t="n">
        <v>2</v>
      </c>
      <c r="I975" s="73" t="n">
        <v>112000</v>
      </c>
      <c r="J975" s="73" t="n">
        <v>224000</v>
      </c>
      <c r="K975" s="73" t="n">
        <v>151789</v>
      </c>
    </row>
    <row r="976">
      <c r="A976" t="n">
        <v>10251</v>
      </c>
      <c r="B976" s="72" t="n">
        <v>45595.76527777778</v>
      </c>
      <c r="C976" t="inlineStr">
        <is>
          <t>Huila</t>
        </is>
      </c>
      <c r="D976" t="inlineStr">
        <is>
          <t>Neiva</t>
        </is>
      </c>
      <c r="E976" t="inlineStr">
        <is>
          <t>Moda</t>
        </is>
      </c>
      <c r="F976" t="inlineStr">
        <is>
          <t>Web</t>
        </is>
      </c>
      <c r="G976" t="inlineStr">
        <is>
          <t>1. Visita</t>
        </is>
      </c>
      <c r="H976" t="n">
        <v>4</v>
      </c>
      <c r="I976" s="73" t="n">
        <v>99800</v>
      </c>
      <c r="J976" s="73" t="n">
        <v>399200</v>
      </c>
      <c r="K976" s="73" t="n">
        <v>261823</v>
      </c>
    </row>
    <row r="977">
      <c r="A977" t="n">
        <v>10241</v>
      </c>
      <c r="B977" s="72" t="n">
        <v>45595.825</v>
      </c>
      <c r="C977" t="inlineStr">
        <is>
          <t>Atlántico</t>
        </is>
      </c>
      <c r="D977" t="inlineStr">
        <is>
          <t>Barranquilla</t>
        </is>
      </c>
      <c r="E977" t="inlineStr">
        <is>
          <t>Belleza</t>
        </is>
      </c>
      <c r="F977" t="inlineStr">
        <is>
          <t>App</t>
        </is>
      </c>
      <c r="G977" t="inlineStr">
        <is>
          <t>4. Compra</t>
        </is>
      </c>
      <c r="H977" t="n">
        <v>2</v>
      </c>
      <c r="I977" s="73" t="n">
        <v>90500</v>
      </c>
      <c r="J977" s="73" t="n">
        <v>181000</v>
      </c>
      <c r="K977" s="73" t="n">
        <v>133450</v>
      </c>
    </row>
    <row r="978">
      <c r="A978" t="n">
        <v>11034</v>
      </c>
      <c r="B978" s="72" t="n">
        <v>45596.73263888889</v>
      </c>
      <c r="C978" t="inlineStr">
        <is>
          <t>Santander</t>
        </is>
      </c>
      <c r="D978" t="inlineStr">
        <is>
          <t>Bucaramanga</t>
        </is>
      </c>
      <c r="E978" t="inlineStr">
        <is>
          <t>Moda</t>
        </is>
      </c>
      <c r="F978" t="inlineStr">
        <is>
          <t>App</t>
        </is>
      </c>
      <c r="G978" t="inlineStr">
        <is>
          <t>3. Pago</t>
        </is>
      </c>
      <c r="H978" t="n">
        <v>5</v>
      </c>
      <c r="I978" s="73" t="n">
        <v>113700</v>
      </c>
      <c r="J978" s="73" t="n">
        <v>568500</v>
      </c>
      <c r="K978" s="73" t="n">
        <v>411821</v>
      </c>
    </row>
    <row r="979">
      <c r="A979" t="n">
        <v>12280</v>
      </c>
      <c r="B979" s="72" t="n">
        <v>45596.76944444444</v>
      </c>
      <c r="C979" t="inlineStr">
        <is>
          <t>Bogotá D.C.</t>
        </is>
      </c>
      <c r="D979" t="inlineStr">
        <is>
          <t>Bogotá</t>
        </is>
      </c>
      <c r="E979" t="inlineStr">
        <is>
          <t>Deportes</t>
        </is>
      </c>
      <c r="F979" t="inlineStr">
        <is>
          <t>Web</t>
        </is>
      </c>
      <c r="G979" t="inlineStr">
        <is>
          <t>1. Visita</t>
        </is>
      </c>
      <c r="H979" t="n">
        <v>5</v>
      </c>
      <c r="I979" s="73" t="n">
        <v>150700</v>
      </c>
      <c r="J979" s="73" t="n">
        <v>753500</v>
      </c>
      <c r="K979" s="73" t="n">
        <v>518624</v>
      </c>
    </row>
    <row r="980">
      <c r="A980" t="n">
        <v>12279</v>
      </c>
      <c r="B980" s="72" t="n">
        <v>45596.86597222222</v>
      </c>
      <c r="C980" t="inlineStr">
        <is>
          <t>Bogotá D.C.</t>
        </is>
      </c>
      <c r="D980" t="inlineStr">
        <is>
          <t>Bogotá</t>
        </is>
      </c>
      <c r="E980" t="inlineStr">
        <is>
          <t>Belleza</t>
        </is>
      </c>
      <c r="F980" t="inlineStr">
        <is>
          <t>App</t>
        </is>
      </c>
      <c r="G980" t="inlineStr">
        <is>
          <t>1. Visita</t>
        </is>
      </c>
      <c r="H980" t="n">
        <v>5</v>
      </c>
      <c r="I980" s="73" t="n">
        <v>62900</v>
      </c>
      <c r="J980" s="73" t="n">
        <v>314500</v>
      </c>
      <c r="K980" s="73" t="n">
        <v>185908</v>
      </c>
    </row>
    <row r="981">
      <c r="A981" t="n">
        <v>10779</v>
      </c>
      <c r="B981" s="72" t="n">
        <v>45596.87916666667</v>
      </c>
      <c r="C981" t="inlineStr">
        <is>
          <t>Antioquia</t>
        </is>
      </c>
      <c r="D981" t="inlineStr">
        <is>
          <t>Medellín</t>
        </is>
      </c>
      <c r="E981" t="inlineStr">
        <is>
          <t>Belleza</t>
        </is>
      </c>
      <c r="F981" t="inlineStr">
        <is>
          <t>App</t>
        </is>
      </c>
      <c r="G981" t="inlineStr">
        <is>
          <t>1. Visita</t>
        </is>
      </c>
      <c r="H981" t="n">
        <v>2</v>
      </c>
      <c r="I981" s="73" t="n">
        <v>78800</v>
      </c>
      <c r="J981" s="73" t="n">
        <v>157600</v>
      </c>
      <c r="K981" s="73" t="n">
        <v>97169</v>
      </c>
    </row>
    <row r="982">
      <c r="A982" t="n">
        <v>12110</v>
      </c>
      <c r="B982" s="72" t="n">
        <v>45597.31527777778</v>
      </c>
      <c r="C982" t="inlineStr">
        <is>
          <t>Antioquia</t>
        </is>
      </c>
      <c r="D982" t="inlineStr">
        <is>
          <t>Medellín</t>
        </is>
      </c>
      <c r="E982" t="inlineStr">
        <is>
          <t>Juguetes</t>
        </is>
      </c>
      <c r="F982" t="inlineStr">
        <is>
          <t>Web</t>
        </is>
      </c>
      <c r="G982" t="inlineStr">
        <is>
          <t>1. Visita</t>
        </is>
      </c>
      <c r="H982" t="n">
        <v>3</v>
      </c>
      <c r="I982" s="73" t="n">
        <v>80800</v>
      </c>
      <c r="J982" s="73" t="n">
        <v>375720</v>
      </c>
      <c r="K982" s="73" t="n">
        <v>280280</v>
      </c>
    </row>
    <row r="983">
      <c r="A983" t="n">
        <v>10858</v>
      </c>
      <c r="B983" s="72" t="n">
        <v>45597.46458333333</v>
      </c>
      <c r="C983" t="inlineStr">
        <is>
          <t>Meta</t>
        </is>
      </c>
      <c r="D983" t="inlineStr">
        <is>
          <t>Villavicencio</t>
        </is>
      </c>
      <c r="E983" t="inlineStr">
        <is>
          <t>Belleza</t>
        </is>
      </c>
      <c r="F983" t="inlineStr">
        <is>
          <t>App</t>
        </is>
      </c>
      <c r="G983" t="inlineStr">
        <is>
          <t>1. Visita</t>
        </is>
      </c>
      <c r="H983" t="n">
        <v>2</v>
      </c>
      <c r="I983" s="73" t="n">
        <v>58200</v>
      </c>
      <c r="J983" s="73" t="n">
        <v>180420</v>
      </c>
      <c r="K983" s="73" t="n">
        <v>109950</v>
      </c>
    </row>
    <row r="984">
      <c r="A984" t="n">
        <v>11111</v>
      </c>
      <c r="B984" s="72" t="n">
        <v>45597.63819444444</v>
      </c>
      <c r="C984" t="inlineStr">
        <is>
          <t>Huila</t>
        </is>
      </c>
      <c r="D984" t="inlineStr">
        <is>
          <t>Neiva</t>
        </is>
      </c>
      <c r="E984" t="inlineStr">
        <is>
          <t>Deportes</t>
        </is>
      </c>
      <c r="F984" t="inlineStr">
        <is>
          <t>Tienda física</t>
        </is>
      </c>
      <c r="G984" t="inlineStr">
        <is>
          <t>1. Visita</t>
        </is>
      </c>
      <c r="H984" t="n">
        <v>5</v>
      </c>
      <c r="I984" s="73" t="n">
        <v>127300</v>
      </c>
      <c r="J984" s="73" t="n">
        <v>986575</v>
      </c>
      <c r="K984" s="73" t="n">
        <v>675912</v>
      </c>
    </row>
    <row r="985">
      <c r="A985" t="n">
        <v>12132</v>
      </c>
      <c r="B985" s="72" t="n">
        <v>45597.68958333333</v>
      </c>
      <c r="C985" t="inlineStr">
        <is>
          <t>Valle del Cauca</t>
        </is>
      </c>
      <c r="D985" t="inlineStr">
        <is>
          <t>Cali</t>
        </is>
      </c>
      <c r="E985" t="inlineStr">
        <is>
          <t>Deportes</t>
        </is>
      </c>
      <c r="F985" t="inlineStr">
        <is>
          <t>App</t>
        </is>
      </c>
      <c r="G985" t="inlineStr">
        <is>
          <t>3. Pago</t>
        </is>
      </c>
      <c r="H985" t="n">
        <v>2</v>
      </c>
      <c r="I985" s="73" t="n">
        <v>142200</v>
      </c>
      <c r="J985" s="73" t="n">
        <v>440820</v>
      </c>
      <c r="K985" s="73" t="n">
        <v>254251</v>
      </c>
    </row>
    <row r="986">
      <c r="A986" t="n">
        <v>11575</v>
      </c>
      <c r="B986" s="72" t="n">
        <v>45597.7125</v>
      </c>
      <c r="C986" t="inlineStr">
        <is>
          <t>Bogotá D.C.</t>
        </is>
      </c>
      <c r="D986" t="inlineStr">
        <is>
          <t>Bogotá</t>
        </is>
      </c>
      <c r="E986" t="inlineStr">
        <is>
          <t>Moda</t>
        </is>
      </c>
      <c r="F986" t="inlineStr">
        <is>
          <t>Tienda física</t>
        </is>
      </c>
      <c r="G986" t="inlineStr">
        <is>
          <t>2. Carrito</t>
        </is>
      </c>
      <c r="H986" t="n">
        <v>2</v>
      </c>
      <c r="I986" s="73" t="n">
        <v>115000</v>
      </c>
      <c r="J986" s="73" t="n">
        <v>356500</v>
      </c>
      <c r="K986" s="73" t="n">
        <v>248764</v>
      </c>
    </row>
    <row r="987">
      <c r="A987" t="n">
        <v>12156</v>
      </c>
      <c r="B987" s="72" t="n">
        <v>45597.81875</v>
      </c>
      <c r="C987" t="inlineStr">
        <is>
          <t>Nariño</t>
        </is>
      </c>
      <c r="D987" t="inlineStr">
        <is>
          <t>Pasto</t>
        </is>
      </c>
      <c r="E987" t="inlineStr">
        <is>
          <t>Belleza</t>
        </is>
      </c>
      <c r="F987" t="inlineStr">
        <is>
          <t>Tienda física</t>
        </is>
      </c>
      <c r="G987" t="inlineStr">
        <is>
          <t>2. Carrito</t>
        </is>
      </c>
      <c r="H987" t="n">
        <v>2</v>
      </c>
      <c r="I987" s="73" t="n">
        <v>49100</v>
      </c>
      <c r="J987" s="73" t="n">
        <v>152210</v>
      </c>
      <c r="K987" s="73" t="n">
        <v>89981</v>
      </c>
    </row>
    <row r="988">
      <c r="A988" t="n">
        <v>10826</v>
      </c>
      <c r="B988" s="72" t="n">
        <v>45597.91041666667</v>
      </c>
      <c r="C988" t="inlineStr">
        <is>
          <t>Bolívar</t>
        </is>
      </c>
      <c r="D988" t="inlineStr">
        <is>
          <t>Cartagena</t>
        </is>
      </c>
      <c r="E988" t="inlineStr">
        <is>
          <t>Deportes</t>
        </is>
      </c>
      <c r="F988" t="inlineStr">
        <is>
          <t>Tienda física</t>
        </is>
      </c>
      <c r="G988" t="inlineStr">
        <is>
          <t>2. Carrito</t>
        </is>
      </c>
      <c r="H988" t="n">
        <v>2</v>
      </c>
      <c r="I988" s="73" t="n">
        <v>115800</v>
      </c>
      <c r="J988" s="73" t="n">
        <v>358980</v>
      </c>
      <c r="K988" s="73" t="n">
        <v>239373</v>
      </c>
    </row>
    <row r="989">
      <c r="A989" t="n">
        <v>11634</v>
      </c>
      <c r="B989" s="72" t="n">
        <v>45598.03819444445</v>
      </c>
      <c r="C989" t="inlineStr">
        <is>
          <t>Santander</t>
        </is>
      </c>
      <c r="D989" t="inlineStr">
        <is>
          <t>Bucaramanga</t>
        </is>
      </c>
      <c r="E989" t="inlineStr">
        <is>
          <t>Deportes</t>
        </is>
      </c>
      <c r="F989" t="inlineStr">
        <is>
          <t>Tienda física</t>
        </is>
      </c>
      <c r="G989" t="inlineStr">
        <is>
          <t>2. Carrito</t>
        </is>
      </c>
      <c r="H989" t="n">
        <v>1</v>
      </c>
      <c r="I989" s="73" t="n">
        <v>183700</v>
      </c>
      <c r="J989" s="73" t="n">
        <v>284735</v>
      </c>
      <c r="K989" s="73" t="n">
        <v>182153</v>
      </c>
    </row>
    <row r="990">
      <c r="A990" t="n">
        <v>11553</v>
      </c>
      <c r="B990" s="72" t="n">
        <v>45598.38194444445</v>
      </c>
      <c r="C990" t="inlineStr">
        <is>
          <t>Antioquia</t>
        </is>
      </c>
      <c r="D990" t="inlineStr">
        <is>
          <t>Medellín</t>
        </is>
      </c>
      <c r="E990" t="inlineStr">
        <is>
          <t>Hogar</t>
        </is>
      </c>
      <c r="F990" t="inlineStr">
        <is>
          <t>Web</t>
        </is>
      </c>
      <c r="G990" t="inlineStr">
        <is>
          <t>1. Visita</t>
        </is>
      </c>
      <c r="H990" t="n">
        <v>1</v>
      </c>
      <c r="I990" s="73" t="n">
        <v>210300</v>
      </c>
      <c r="J990" s="73" t="n">
        <v>325965</v>
      </c>
      <c r="K990" s="73" t="n">
        <v>240612</v>
      </c>
    </row>
    <row r="991">
      <c r="A991" t="n">
        <v>11788</v>
      </c>
      <c r="B991" s="72" t="n">
        <v>45598.42013888889</v>
      </c>
      <c r="C991" t="inlineStr">
        <is>
          <t>Bolívar</t>
        </is>
      </c>
      <c r="D991" t="inlineStr">
        <is>
          <t>Cartagena</t>
        </is>
      </c>
      <c r="E991" t="inlineStr">
        <is>
          <t>Hogar</t>
        </is>
      </c>
      <c r="F991" t="inlineStr">
        <is>
          <t>Web</t>
        </is>
      </c>
      <c r="G991" t="inlineStr">
        <is>
          <t>1. Visita</t>
        </is>
      </c>
      <c r="H991" t="n">
        <v>4</v>
      </c>
      <c r="I991" s="73" t="n">
        <v>174600</v>
      </c>
      <c r="J991" s="73" t="n">
        <v>1082520</v>
      </c>
      <c r="K991" s="73" t="n">
        <v>810046</v>
      </c>
    </row>
    <row r="992">
      <c r="A992" t="n">
        <v>10139</v>
      </c>
      <c r="B992" s="72" t="n">
        <v>45598.64236111111</v>
      </c>
      <c r="C992" t="inlineStr">
        <is>
          <t>Valle del Cauca</t>
        </is>
      </c>
      <c r="D992" t="inlineStr">
        <is>
          <t>Cali</t>
        </is>
      </c>
      <c r="E992" t="inlineStr">
        <is>
          <t>Juguetes</t>
        </is>
      </c>
      <c r="F992" t="inlineStr">
        <is>
          <t>Web</t>
        </is>
      </c>
      <c r="G992" t="inlineStr">
        <is>
          <t>3. Pago</t>
        </is>
      </c>
      <c r="H992" t="n">
        <v>3</v>
      </c>
      <c r="I992" s="73" t="n">
        <v>114000</v>
      </c>
      <c r="J992" s="73" t="n">
        <v>530100</v>
      </c>
      <c r="K992" s="73" t="n">
        <v>293349</v>
      </c>
    </row>
    <row r="993">
      <c r="A993" t="n">
        <v>10401</v>
      </c>
      <c r="B993" s="72" t="n">
        <v>45598.80486111111</v>
      </c>
      <c r="C993" t="inlineStr">
        <is>
          <t>Risaralda</t>
        </is>
      </c>
      <c r="D993" t="inlineStr">
        <is>
          <t>Pereira</t>
        </is>
      </c>
      <c r="E993" t="inlineStr">
        <is>
          <t>Juguetes</t>
        </is>
      </c>
      <c r="F993" t="inlineStr">
        <is>
          <t>Tienda física</t>
        </is>
      </c>
      <c r="G993" t="inlineStr">
        <is>
          <t>1. Visita</t>
        </is>
      </c>
      <c r="H993" t="n">
        <v>3</v>
      </c>
      <c r="I993" s="73" t="n">
        <v>107300</v>
      </c>
      <c r="J993" s="73" t="n">
        <v>498945</v>
      </c>
      <c r="K993" s="73" t="n">
        <v>288419</v>
      </c>
    </row>
    <row r="994">
      <c r="A994" t="n">
        <v>12131</v>
      </c>
      <c r="B994" s="72" t="n">
        <v>45599.38402777778</v>
      </c>
      <c r="C994" t="inlineStr">
        <is>
          <t>Huila</t>
        </is>
      </c>
      <c r="D994" t="inlineStr">
        <is>
          <t>Neiva</t>
        </is>
      </c>
      <c r="E994" t="inlineStr">
        <is>
          <t>Hogar</t>
        </is>
      </c>
      <c r="F994" t="inlineStr">
        <is>
          <t>Web</t>
        </is>
      </c>
      <c r="G994" t="inlineStr">
        <is>
          <t>1. Visita</t>
        </is>
      </c>
      <c r="H994" t="n">
        <v>4</v>
      </c>
      <c r="I994" s="73" t="n">
        <v>160300</v>
      </c>
      <c r="J994" s="73" t="n">
        <v>993860</v>
      </c>
      <c r="K994" s="73" t="n">
        <v>548536</v>
      </c>
    </row>
    <row r="995">
      <c r="A995" t="n">
        <v>10796</v>
      </c>
      <c r="B995" s="72" t="n">
        <v>45599.56805555556</v>
      </c>
      <c r="C995" t="inlineStr">
        <is>
          <t>Bolívar</t>
        </is>
      </c>
      <c r="D995" t="inlineStr">
        <is>
          <t>Cartagena</t>
        </is>
      </c>
      <c r="E995" t="inlineStr">
        <is>
          <t>Tecnología</t>
        </is>
      </c>
      <c r="F995" t="inlineStr">
        <is>
          <t>Web</t>
        </is>
      </c>
      <c r="G995" t="inlineStr">
        <is>
          <t>4. Compra</t>
        </is>
      </c>
      <c r="H995" t="n">
        <v>3</v>
      </c>
      <c r="I995" s="73" t="n">
        <v>676700</v>
      </c>
      <c r="J995" s="73" t="n">
        <v>3146655</v>
      </c>
      <c r="K995" s="73" t="n">
        <v>1894991</v>
      </c>
    </row>
    <row r="996">
      <c r="A996" t="n">
        <v>11013</v>
      </c>
      <c r="B996" s="72" t="n">
        <v>45599.58472222222</v>
      </c>
      <c r="C996" t="inlineStr">
        <is>
          <t>Santander</t>
        </is>
      </c>
      <c r="D996" t="inlineStr">
        <is>
          <t>Bucaramanga</t>
        </is>
      </c>
      <c r="E996" t="inlineStr">
        <is>
          <t>Belleza</t>
        </is>
      </c>
      <c r="F996" t="inlineStr">
        <is>
          <t>Tienda física</t>
        </is>
      </c>
      <c r="G996" t="inlineStr">
        <is>
          <t>3. Pago</t>
        </is>
      </c>
      <c r="H996" t="n">
        <v>2</v>
      </c>
      <c r="I996" s="73" t="n">
        <v>56000</v>
      </c>
      <c r="J996" s="73" t="n">
        <v>173600</v>
      </c>
      <c r="K996" s="73" t="n">
        <v>105306</v>
      </c>
    </row>
    <row r="997">
      <c r="A997" t="n">
        <v>11015</v>
      </c>
      <c r="B997" s="72" t="n">
        <v>45599.59652777778</v>
      </c>
      <c r="C997" t="inlineStr">
        <is>
          <t>Meta</t>
        </is>
      </c>
      <c r="D997" t="inlineStr">
        <is>
          <t>Villavicencio</t>
        </is>
      </c>
      <c r="E997" t="inlineStr">
        <is>
          <t>Moda</t>
        </is>
      </c>
      <c r="F997" t="inlineStr">
        <is>
          <t>Tienda física</t>
        </is>
      </c>
      <c r="G997" t="inlineStr">
        <is>
          <t>2. Carrito</t>
        </is>
      </c>
      <c r="H997" t="n">
        <v>5</v>
      </c>
      <c r="I997" s="73" t="n">
        <v>91900</v>
      </c>
      <c r="J997" s="73" t="n">
        <v>712225</v>
      </c>
      <c r="K997" s="73" t="n">
        <v>427912</v>
      </c>
    </row>
    <row r="998">
      <c r="A998" t="n">
        <v>11944</v>
      </c>
      <c r="B998" s="72" t="n">
        <v>45599.69236111111</v>
      </c>
      <c r="C998" t="inlineStr">
        <is>
          <t>Atlántico</t>
        </is>
      </c>
      <c r="D998" t="inlineStr">
        <is>
          <t>Barranquilla</t>
        </is>
      </c>
      <c r="E998" t="inlineStr">
        <is>
          <t>Tecnología</t>
        </is>
      </c>
      <c r="F998" t="inlineStr">
        <is>
          <t>Tienda física</t>
        </is>
      </c>
      <c r="G998" t="inlineStr">
        <is>
          <t>1. Visita</t>
        </is>
      </c>
      <c r="H998" t="n">
        <v>5</v>
      </c>
      <c r="I998" s="73" t="n">
        <v>737200</v>
      </c>
      <c r="J998" s="73" t="n">
        <v>5713300</v>
      </c>
      <c r="K998" s="73" t="n">
        <v>3892893</v>
      </c>
    </row>
    <row r="999">
      <c r="A999" t="n">
        <v>10406</v>
      </c>
      <c r="B999" s="72" t="n">
        <v>45599.75069444445</v>
      </c>
      <c r="C999" t="inlineStr">
        <is>
          <t>Valle del Cauca</t>
        </is>
      </c>
      <c r="D999" t="inlineStr">
        <is>
          <t>Cali</t>
        </is>
      </c>
      <c r="E999" t="inlineStr">
        <is>
          <t>Tecnología</t>
        </is>
      </c>
      <c r="F999" t="inlineStr">
        <is>
          <t>Web</t>
        </is>
      </c>
      <c r="G999" t="inlineStr">
        <is>
          <t>1. Visita</t>
        </is>
      </c>
      <c r="H999" t="n">
        <v>1</v>
      </c>
      <c r="I999" s="73" t="n">
        <v>815700</v>
      </c>
      <c r="J999" s="73" t="n">
        <v>1264335</v>
      </c>
      <c r="K999" s="73" t="n">
        <v>828180</v>
      </c>
    </row>
    <row r="1000">
      <c r="A1000" t="n">
        <v>10895</v>
      </c>
      <c r="B1000" s="72" t="n">
        <v>45599.84791666667</v>
      </c>
      <c r="C1000" t="inlineStr">
        <is>
          <t>Atlántico</t>
        </is>
      </c>
      <c r="D1000" t="inlineStr">
        <is>
          <t>Barranquilla</t>
        </is>
      </c>
      <c r="E1000" t="inlineStr">
        <is>
          <t>Moda</t>
        </is>
      </c>
      <c r="F1000" t="inlineStr">
        <is>
          <t>Tienda física</t>
        </is>
      </c>
      <c r="G1000" t="inlineStr">
        <is>
          <t>1. Visita</t>
        </is>
      </c>
      <c r="H1000" t="n">
        <v>3</v>
      </c>
      <c r="I1000" s="73" t="n">
        <v>103800</v>
      </c>
      <c r="J1000" s="73" t="n">
        <v>482670</v>
      </c>
      <c r="K1000" s="73" t="n">
        <v>278331</v>
      </c>
    </row>
    <row r="1001">
      <c r="A1001" t="n">
        <v>10253</v>
      </c>
      <c r="B1001" s="72" t="n">
        <v>45600.21875</v>
      </c>
      <c r="C1001" t="inlineStr">
        <is>
          <t>Atlántico</t>
        </is>
      </c>
      <c r="D1001" t="inlineStr">
        <is>
          <t>Barranquilla</t>
        </is>
      </c>
      <c r="E1001" t="inlineStr">
        <is>
          <t>Belleza</t>
        </is>
      </c>
      <c r="F1001" t="inlineStr">
        <is>
          <t>App</t>
        </is>
      </c>
      <c r="G1001" t="inlineStr">
        <is>
          <t>2. Carrito</t>
        </is>
      </c>
      <c r="H1001" t="n">
        <v>1</v>
      </c>
      <c r="I1001" s="73" t="n">
        <v>74700</v>
      </c>
      <c r="J1001" s="73" t="n">
        <v>104580</v>
      </c>
      <c r="K1001" s="73" t="n">
        <v>58407</v>
      </c>
    </row>
    <row r="1002">
      <c r="A1002" t="n">
        <v>10018</v>
      </c>
      <c r="B1002" s="72" t="n">
        <v>45600.3625</v>
      </c>
      <c r="C1002" t="inlineStr">
        <is>
          <t>Bolívar</t>
        </is>
      </c>
      <c r="D1002" t="inlineStr">
        <is>
          <t>Cartagena</t>
        </is>
      </c>
      <c r="E1002" t="inlineStr">
        <is>
          <t>Juguetes</t>
        </is>
      </c>
      <c r="F1002" t="inlineStr">
        <is>
          <t>App</t>
        </is>
      </c>
      <c r="G1002" t="inlineStr">
        <is>
          <t>1. Visita</t>
        </is>
      </c>
      <c r="H1002" t="n">
        <v>4</v>
      </c>
      <c r="I1002" s="73" t="n">
        <v>70800</v>
      </c>
      <c r="J1002" s="73" t="n">
        <v>396480</v>
      </c>
      <c r="K1002" s="73" t="n">
        <v>281650</v>
      </c>
    </row>
    <row r="1003">
      <c r="A1003" t="n">
        <v>11229</v>
      </c>
      <c r="B1003" s="72" t="n">
        <v>45600.37847222222</v>
      </c>
      <c r="C1003" t="inlineStr">
        <is>
          <t>Bogotá D.C.</t>
        </is>
      </c>
      <c r="D1003" t="inlineStr">
        <is>
          <t>Bogotá</t>
        </is>
      </c>
      <c r="E1003" t="inlineStr">
        <is>
          <t>Juguetes</t>
        </is>
      </c>
      <c r="F1003" t="inlineStr">
        <is>
          <t>Web</t>
        </is>
      </c>
      <c r="G1003" t="inlineStr">
        <is>
          <t>4. Compra</t>
        </is>
      </c>
      <c r="H1003" t="n">
        <v>4</v>
      </c>
      <c r="I1003" s="73" t="n">
        <v>87800</v>
      </c>
      <c r="J1003" s="73" t="n">
        <v>491680</v>
      </c>
      <c r="K1003" s="73" t="n">
        <v>304129</v>
      </c>
    </row>
    <row r="1004">
      <c r="A1004" t="n">
        <v>12200</v>
      </c>
      <c r="B1004" s="72" t="n">
        <v>45600.46736111111</v>
      </c>
      <c r="C1004" t="inlineStr">
        <is>
          <t>Antioquia</t>
        </is>
      </c>
      <c r="D1004" t="inlineStr">
        <is>
          <t>Medellín</t>
        </is>
      </c>
      <c r="E1004" t="inlineStr">
        <is>
          <t>Juguetes</t>
        </is>
      </c>
      <c r="F1004" t="inlineStr">
        <is>
          <t>Tienda física</t>
        </is>
      </c>
      <c r="G1004" t="inlineStr">
        <is>
          <t>1. Visita</t>
        </is>
      </c>
      <c r="H1004" t="n">
        <v>1</v>
      </c>
      <c r="I1004" s="73" t="n">
        <v>93500</v>
      </c>
      <c r="J1004" s="73" t="n">
        <v>130900</v>
      </c>
      <c r="K1004" s="73" t="n">
        <v>88115</v>
      </c>
    </row>
    <row r="1005">
      <c r="A1005" t="n">
        <v>11733</v>
      </c>
      <c r="B1005" s="72" t="n">
        <v>45600.66805555556</v>
      </c>
      <c r="C1005" t="inlineStr">
        <is>
          <t>Antioquia</t>
        </is>
      </c>
      <c r="D1005" t="inlineStr">
        <is>
          <t>Medellín</t>
        </is>
      </c>
      <c r="E1005" t="inlineStr">
        <is>
          <t>Moda</t>
        </is>
      </c>
      <c r="F1005" t="inlineStr">
        <is>
          <t>Web</t>
        </is>
      </c>
      <c r="G1005" t="inlineStr">
        <is>
          <t>1. Visita</t>
        </is>
      </c>
      <c r="H1005" t="n">
        <v>4</v>
      </c>
      <c r="I1005" s="73" t="n">
        <v>85700</v>
      </c>
      <c r="J1005" s="73" t="n">
        <v>479920</v>
      </c>
      <c r="K1005" s="73" t="n">
        <v>304987</v>
      </c>
    </row>
    <row r="1006">
      <c r="A1006" t="n">
        <v>12186</v>
      </c>
      <c r="B1006" s="72" t="n">
        <v>45600.81319444445</v>
      </c>
      <c r="C1006" t="inlineStr">
        <is>
          <t>Valle del Cauca</t>
        </is>
      </c>
      <c r="D1006" t="inlineStr">
        <is>
          <t>Cali</t>
        </is>
      </c>
      <c r="E1006" t="inlineStr">
        <is>
          <t>Tecnología</t>
        </is>
      </c>
      <c r="F1006" t="inlineStr">
        <is>
          <t>Web</t>
        </is>
      </c>
      <c r="G1006" t="inlineStr">
        <is>
          <t>3. Pago</t>
        </is>
      </c>
      <c r="H1006" t="n">
        <v>2</v>
      </c>
      <c r="I1006" s="73" t="n">
        <v>676700</v>
      </c>
      <c r="J1006" s="73" t="n">
        <v>1894760</v>
      </c>
      <c r="K1006" s="73" t="n">
        <v>1387174</v>
      </c>
    </row>
    <row r="1007">
      <c r="A1007" t="n">
        <v>11978</v>
      </c>
      <c r="B1007" s="72" t="n">
        <v>45600.86388888889</v>
      </c>
      <c r="C1007" t="inlineStr">
        <is>
          <t>Huila</t>
        </is>
      </c>
      <c r="D1007" t="inlineStr">
        <is>
          <t>Neiva</t>
        </is>
      </c>
      <c r="E1007" t="inlineStr">
        <is>
          <t>Moda</t>
        </is>
      </c>
      <c r="F1007" t="inlineStr">
        <is>
          <t>Web</t>
        </is>
      </c>
      <c r="G1007" t="inlineStr">
        <is>
          <t>1. Visita</t>
        </is>
      </c>
      <c r="H1007" t="n">
        <v>2</v>
      </c>
      <c r="I1007" s="73" t="n">
        <v>145300</v>
      </c>
      <c r="J1007" s="73" t="n">
        <v>406840</v>
      </c>
      <c r="K1007" s="73" t="n">
        <v>282429</v>
      </c>
    </row>
    <row r="1008">
      <c r="A1008" t="n">
        <v>11394</v>
      </c>
      <c r="B1008" s="72" t="n">
        <v>45601.36736111111</v>
      </c>
      <c r="C1008" t="inlineStr">
        <is>
          <t>Meta</t>
        </is>
      </c>
      <c r="D1008" t="inlineStr">
        <is>
          <t>Villavicencio</t>
        </is>
      </c>
      <c r="E1008" t="inlineStr">
        <is>
          <t>Juguetes</t>
        </is>
      </c>
      <c r="F1008" t="inlineStr">
        <is>
          <t>App</t>
        </is>
      </c>
      <c r="G1008" t="inlineStr">
        <is>
          <t>2. Carrito</t>
        </is>
      </c>
      <c r="H1008" t="n">
        <v>4</v>
      </c>
      <c r="I1008" s="73" t="n">
        <v>78300</v>
      </c>
      <c r="J1008" s="73" t="n">
        <v>438480</v>
      </c>
      <c r="K1008" s="73" t="n">
        <v>303251</v>
      </c>
    </row>
    <row r="1009">
      <c r="A1009" t="n">
        <v>12120</v>
      </c>
      <c r="B1009" s="72" t="n">
        <v>45601.66180555556</v>
      </c>
      <c r="C1009" t="inlineStr">
        <is>
          <t>Bogotá D.C.</t>
        </is>
      </c>
      <c r="D1009" t="inlineStr">
        <is>
          <t>Bogotá</t>
        </is>
      </c>
      <c r="E1009" t="inlineStr">
        <is>
          <t>Hogar</t>
        </is>
      </c>
      <c r="F1009" t="inlineStr">
        <is>
          <t>Tienda física</t>
        </is>
      </c>
      <c r="G1009" t="inlineStr">
        <is>
          <t>2. Carrito</t>
        </is>
      </c>
      <c r="H1009" t="n">
        <v>2</v>
      </c>
      <c r="I1009" s="73" t="n">
        <v>261800</v>
      </c>
      <c r="J1009" s="73" t="n">
        <v>733040</v>
      </c>
      <c r="K1009" s="73" t="n">
        <v>499246</v>
      </c>
    </row>
    <row r="1010">
      <c r="A1010" t="n">
        <v>10266</v>
      </c>
      <c r="B1010" s="72" t="n">
        <v>45601.70416666667</v>
      </c>
      <c r="C1010" t="inlineStr">
        <is>
          <t>Antioquia</t>
        </is>
      </c>
      <c r="D1010" t="inlineStr">
        <is>
          <t>Medellín</t>
        </is>
      </c>
      <c r="E1010" t="inlineStr">
        <is>
          <t>Tecnología</t>
        </is>
      </c>
      <c r="F1010" t="inlineStr">
        <is>
          <t>Tienda física</t>
        </is>
      </c>
      <c r="G1010" t="inlineStr">
        <is>
          <t>1. Visita</t>
        </is>
      </c>
      <c r="H1010" t="n">
        <v>2</v>
      </c>
      <c r="I1010" s="73" t="n">
        <v>666200</v>
      </c>
      <c r="J1010" s="73" t="n">
        <v>1865360</v>
      </c>
      <c r="K1010" s="73" t="n">
        <v>1392428</v>
      </c>
    </row>
    <row r="1011">
      <c r="A1011" t="n">
        <v>10815</v>
      </c>
      <c r="B1011" s="72" t="n">
        <v>45601.71875</v>
      </c>
      <c r="C1011" t="inlineStr">
        <is>
          <t>Atlántico</t>
        </is>
      </c>
      <c r="D1011" t="inlineStr">
        <is>
          <t>Barranquilla</t>
        </is>
      </c>
      <c r="E1011" t="inlineStr">
        <is>
          <t>Moda</t>
        </is>
      </c>
      <c r="F1011" t="inlineStr">
        <is>
          <t>Tienda física</t>
        </is>
      </c>
      <c r="G1011" t="inlineStr">
        <is>
          <t>1. Visita</t>
        </is>
      </c>
      <c r="H1011" t="n">
        <v>1</v>
      </c>
      <c r="I1011" s="73" t="n">
        <v>102900</v>
      </c>
      <c r="J1011" s="73" t="n">
        <v>144060</v>
      </c>
      <c r="K1011" s="73" t="n">
        <v>100841</v>
      </c>
    </row>
    <row r="1012">
      <c r="A1012" t="n">
        <v>10881</v>
      </c>
      <c r="B1012" s="72" t="n">
        <v>45602.35138888889</v>
      </c>
      <c r="C1012" t="inlineStr">
        <is>
          <t>Antioquia</t>
        </is>
      </c>
      <c r="D1012" t="inlineStr">
        <is>
          <t>Medellín</t>
        </is>
      </c>
      <c r="E1012" t="inlineStr">
        <is>
          <t>Moda</t>
        </is>
      </c>
      <c r="F1012" t="inlineStr">
        <is>
          <t>Web</t>
        </is>
      </c>
      <c r="G1012" t="inlineStr">
        <is>
          <t>1. Visita</t>
        </is>
      </c>
      <c r="H1012" t="n">
        <v>2</v>
      </c>
      <c r="I1012" s="73" t="n">
        <v>86100</v>
      </c>
      <c r="J1012" s="73" t="n">
        <v>241080</v>
      </c>
      <c r="K1012" s="73" t="n">
        <v>133624</v>
      </c>
    </row>
    <row r="1013">
      <c r="A1013" t="n">
        <v>10280</v>
      </c>
      <c r="B1013" s="72" t="n">
        <v>45602.40208333333</v>
      </c>
      <c r="C1013" t="inlineStr">
        <is>
          <t>Atlántico</t>
        </is>
      </c>
      <c r="D1013" t="inlineStr">
        <is>
          <t>Barranquilla</t>
        </is>
      </c>
      <c r="E1013" t="inlineStr">
        <is>
          <t>Tecnología</t>
        </is>
      </c>
      <c r="F1013" t="inlineStr">
        <is>
          <t>Web</t>
        </is>
      </c>
      <c r="G1013" t="inlineStr">
        <is>
          <t>4. Compra</t>
        </is>
      </c>
      <c r="H1013" t="n">
        <v>3</v>
      </c>
      <c r="I1013" s="73" t="n">
        <v>953300</v>
      </c>
      <c r="J1013" s="73" t="n">
        <v>4003860</v>
      </c>
      <c r="K1013" s="73" t="n">
        <v>2479470</v>
      </c>
    </row>
    <row r="1014">
      <c r="A1014" t="n">
        <v>10834</v>
      </c>
      <c r="B1014" s="72" t="n">
        <v>45602.56041666667</v>
      </c>
      <c r="C1014" t="inlineStr">
        <is>
          <t>Antioquia</t>
        </is>
      </c>
      <c r="D1014" t="inlineStr">
        <is>
          <t>Medellín</t>
        </is>
      </c>
      <c r="E1014" t="inlineStr">
        <is>
          <t>Moda</t>
        </is>
      </c>
      <c r="F1014" t="inlineStr">
        <is>
          <t>Web</t>
        </is>
      </c>
      <c r="G1014" t="inlineStr">
        <is>
          <t>1. Visita</t>
        </is>
      </c>
      <c r="H1014" t="n">
        <v>1</v>
      </c>
      <c r="I1014" s="73" t="n">
        <v>153700</v>
      </c>
      <c r="J1014" s="73" t="n">
        <v>215180</v>
      </c>
      <c r="K1014" s="73" t="n">
        <v>132030</v>
      </c>
    </row>
    <row r="1015">
      <c r="A1015" t="n">
        <v>11619</v>
      </c>
      <c r="B1015" s="72" t="n">
        <v>45602.73055555556</v>
      </c>
      <c r="C1015" t="inlineStr">
        <is>
          <t>Bogotá D.C.</t>
        </is>
      </c>
      <c r="D1015" t="inlineStr">
        <is>
          <t>Bogotá</t>
        </is>
      </c>
      <c r="E1015" t="inlineStr">
        <is>
          <t>Moda</t>
        </is>
      </c>
      <c r="F1015" t="inlineStr">
        <is>
          <t>App</t>
        </is>
      </c>
      <c r="G1015" t="inlineStr">
        <is>
          <t>1. Visita</t>
        </is>
      </c>
      <c r="H1015" t="n">
        <v>3</v>
      </c>
      <c r="I1015" s="73" t="n">
        <v>144000</v>
      </c>
      <c r="J1015" s="73" t="n">
        <v>604800</v>
      </c>
      <c r="K1015" s="73" t="n">
        <v>406441</v>
      </c>
    </row>
    <row r="1016">
      <c r="A1016" t="n">
        <v>11795</v>
      </c>
      <c r="B1016" s="72" t="n">
        <v>45602.73263888889</v>
      </c>
      <c r="C1016" t="inlineStr">
        <is>
          <t>Antioquia</t>
        </is>
      </c>
      <c r="D1016" t="inlineStr">
        <is>
          <t>Medellín</t>
        </is>
      </c>
      <c r="E1016" t="inlineStr">
        <is>
          <t>Belleza</t>
        </is>
      </c>
      <c r="F1016" t="inlineStr">
        <is>
          <t>App</t>
        </is>
      </c>
      <c r="G1016" t="inlineStr">
        <is>
          <t>3. Pago</t>
        </is>
      </c>
      <c r="H1016" t="n">
        <v>5</v>
      </c>
      <c r="I1016" s="73" t="n">
        <v>89000</v>
      </c>
      <c r="J1016" s="73" t="n">
        <v>623000</v>
      </c>
      <c r="K1016" s="73" t="n">
        <v>465514</v>
      </c>
    </row>
    <row r="1017">
      <c r="A1017" t="n">
        <v>10761</v>
      </c>
      <c r="B1017" s="72" t="n">
        <v>45602.76388888889</v>
      </c>
      <c r="C1017" t="inlineStr">
        <is>
          <t>Bogotá D.C.</t>
        </is>
      </c>
      <c r="D1017" t="inlineStr">
        <is>
          <t>Bogotá</t>
        </is>
      </c>
      <c r="E1017" t="inlineStr">
        <is>
          <t>Juguetes</t>
        </is>
      </c>
      <c r="F1017" t="inlineStr">
        <is>
          <t>Web</t>
        </is>
      </c>
      <c r="G1017" t="inlineStr">
        <is>
          <t>3. Pago</t>
        </is>
      </c>
      <c r="H1017" t="n">
        <v>4</v>
      </c>
      <c r="I1017" s="73" t="n">
        <v>90100</v>
      </c>
      <c r="J1017" s="73" t="n">
        <v>504560</v>
      </c>
      <c r="K1017" s="73" t="n">
        <v>331929</v>
      </c>
    </row>
    <row r="1018">
      <c r="A1018" t="n">
        <v>10718</v>
      </c>
      <c r="B1018" s="72" t="n">
        <v>45602.84097222222</v>
      </c>
      <c r="C1018" t="inlineStr">
        <is>
          <t>Bogotá D.C.</t>
        </is>
      </c>
      <c r="D1018" t="inlineStr">
        <is>
          <t>Bogotá</t>
        </is>
      </c>
      <c r="E1018" t="inlineStr">
        <is>
          <t>Hogar</t>
        </is>
      </c>
      <c r="F1018" t="inlineStr">
        <is>
          <t>Web</t>
        </is>
      </c>
      <c r="G1018" t="inlineStr">
        <is>
          <t>1. Visita</t>
        </is>
      </c>
      <c r="H1018" t="n">
        <v>5</v>
      </c>
      <c r="I1018" s="73" t="n">
        <v>216700</v>
      </c>
      <c r="J1018" s="73" t="n">
        <v>1516900</v>
      </c>
      <c r="K1018" s="73" t="n">
        <v>1037854</v>
      </c>
    </row>
    <row r="1019">
      <c r="A1019" t="n">
        <v>11947</v>
      </c>
      <c r="B1019" s="72" t="n">
        <v>45602.85625</v>
      </c>
      <c r="C1019" t="inlineStr">
        <is>
          <t>Bogotá D.C.</t>
        </is>
      </c>
      <c r="D1019" t="inlineStr">
        <is>
          <t>Bogotá</t>
        </is>
      </c>
      <c r="E1019" t="inlineStr">
        <is>
          <t>Moda</t>
        </is>
      </c>
      <c r="F1019" t="inlineStr">
        <is>
          <t>App</t>
        </is>
      </c>
      <c r="G1019" t="inlineStr">
        <is>
          <t>2. Carrito</t>
        </is>
      </c>
      <c r="H1019" t="n">
        <v>2</v>
      </c>
      <c r="I1019" s="73" t="n">
        <v>104800</v>
      </c>
      <c r="J1019" s="73" t="n">
        <v>293440</v>
      </c>
      <c r="K1019" s="73" t="n">
        <v>199119</v>
      </c>
    </row>
    <row r="1020">
      <c r="A1020" t="n">
        <v>11573</v>
      </c>
      <c r="B1020" s="72" t="n">
        <v>45604.01666666667</v>
      </c>
      <c r="C1020" t="inlineStr">
        <is>
          <t>Nariño</t>
        </is>
      </c>
      <c r="D1020" t="inlineStr">
        <is>
          <t>Pasto</t>
        </is>
      </c>
      <c r="E1020" t="inlineStr">
        <is>
          <t>Juguetes</t>
        </is>
      </c>
      <c r="F1020" t="inlineStr">
        <is>
          <t>Tienda física</t>
        </is>
      </c>
      <c r="G1020" t="inlineStr">
        <is>
          <t>2. Carrito</t>
        </is>
      </c>
      <c r="H1020" t="n">
        <v>1</v>
      </c>
      <c r="I1020" s="73" t="n">
        <v>76600</v>
      </c>
      <c r="J1020" s="73" t="n">
        <v>118730</v>
      </c>
      <c r="K1020" s="73" t="n">
        <v>86497</v>
      </c>
    </row>
    <row r="1021">
      <c r="A1021" t="n">
        <v>10863</v>
      </c>
      <c r="B1021" s="72" t="n">
        <v>45604.39791666667</v>
      </c>
      <c r="C1021" t="inlineStr">
        <is>
          <t>Atlántico</t>
        </is>
      </c>
      <c r="D1021" t="inlineStr">
        <is>
          <t>Barranquilla</t>
        </is>
      </c>
      <c r="E1021" t="inlineStr">
        <is>
          <t>Deportes</t>
        </is>
      </c>
      <c r="F1021" t="inlineStr">
        <is>
          <t>Tienda física</t>
        </is>
      </c>
      <c r="G1021" t="inlineStr">
        <is>
          <t>1. Visita</t>
        </is>
      </c>
      <c r="H1021" t="n">
        <v>4</v>
      </c>
      <c r="I1021" s="73" t="n">
        <v>164100</v>
      </c>
      <c r="J1021" s="73" t="n">
        <v>1017420</v>
      </c>
      <c r="K1021" s="73" t="n">
        <v>752692</v>
      </c>
    </row>
    <row r="1022">
      <c r="A1022" t="n">
        <v>11953</v>
      </c>
      <c r="B1022" s="72" t="n">
        <v>45604.39861111111</v>
      </c>
      <c r="C1022" t="inlineStr">
        <is>
          <t>Antioquia</t>
        </is>
      </c>
      <c r="D1022" t="inlineStr">
        <is>
          <t>Medellín</t>
        </is>
      </c>
      <c r="E1022" t="inlineStr">
        <is>
          <t>Belleza</t>
        </is>
      </c>
      <c r="F1022" t="inlineStr">
        <is>
          <t>Web</t>
        </is>
      </c>
      <c r="G1022" t="inlineStr">
        <is>
          <t>4. Compra</t>
        </is>
      </c>
      <c r="H1022" t="n">
        <v>1</v>
      </c>
      <c r="I1022" s="73" t="n">
        <v>63200</v>
      </c>
      <c r="J1022" s="73" t="n">
        <v>97960</v>
      </c>
      <c r="K1022" s="73" t="n">
        <v>65908</v>
      </c>
    </row>
    <row r="1023">
      <c r="A1023" t="n">
        <v>10945</v>
      </c>
      <c r="B1023" s="72" t="n">
        <v>45604.61458333334</v>
      </c>
      <c r="C1023" t="inlineStr">
        <is>
          <t>Bogotá D.C.</t>
        </is>
      </c>
      <c r="D1023" t="inlineStr">
        <is>
          <t>Bogotá</t>
        </is>
      </c>
      <c r="E1023" t="inlineStr">
        <is>
          <t>Belleza</t>
        </is>
      </c>
      <c r="F1023" t="inlineStr">
        <is>
          <t>Tienda física</t>
        </is>
      </c>
      <c r="G1023" t="inlineStr">
        <is>
          <t>1. Visita</t>
        </is>
      </c>
      <c r="H1023" t="n">
        <v>2</v>
      </c>
      <c r="I1023" s="73" t="n">
        <v>63000</v>
      </c>
      <c r="J1023" s="73" t="n">
        <v>195300</v>
      </c>
      <c r="K1023" s="73" t="n">
        <v>116326</v>
      </c>
    </row>
    <row r="1024">
      <c r="A1024" t="n">
        <v>10974</v>
      </c>
      <c r="B1024" s="72" t="n">
        <v>45605.45486111111</v>
      </c>
      <c r="C1024" t="inlineStr">
        <is>
          <t>Risaralda</t>
        </is>
      </c>
      <c r="D1024" t="inlineStr">
        <is>
          <t>Pereira</t>
        </is>
      </c>
      <c r="E1024" t="inlineStr">
        <is>
          <t>Hogar</t>
        </is>
      </c>
      <c r="F1024" t="inlineStr">
        <is>
          <t>Web</t>
        </is>
      </c>
      <c r="G1024" t="inlineStr">
        <is>
          <t>1. Visita</t>
        </is>
      </c>
      <c r="H1024" t="n">
        <v>4</v>
      </c>
      <c r="I1024" s="73" t="n">
        <v>168300</v>
      </c>
      <c r="J1024" s="73" t="n">
        <v>1043460</v>
      </c>
      <c r="K1024" s="73" t="n">
        <v>682423</v>
      </c>
    </row>
    <row r="1025">
      <c r="A1025" t="n">
        <v>12218</v>
      </c>
      <c r="B1025" s="72" t="n">
        <v>45605.61875</v>
      </c>
      <c r="C1025" t="inlineStr">
        <is>
          <t>Antioquia</t>
        </is>
      </c>
      <c r="D1025" t="inlineStr">
        <is>
          <t>Medellín</t>
        </is>
      </c>
      <c r="E1025" t="inlineStr">
        <is>
          <t>Tecnología</t>
        </is>
      </c>
      <c r="F1025" t="inlineStr">
        <is>
          <t>App</t>
        </is>
      </c>
      <c r="G1025" t="inlineStr">
        <is>
          <t>2. Carrito</t>
        </is>
      </c>
      <c r="H1025" t="n">
        <v>3</v>
      </c>
      <c r="I1025" s="73" t="n">
        <v>692700</v>
      </c>
      <c r="J1025" s="73" t="n">
        <v>3221055</v>
      </c>
      <c r="K1025" s="73" t="n">
        <v>1987769</v>
      </c>
    </row>
    <row r="1026">
      <c r="A1026" t="n">
        <v>10537</v>
      </c>
      <c r="B1026" s="72" t="n">
        <v>45605.71319444444</v>
      </c>
      <c r="C1026" t="inlineStr">
        <is>
          <t>Antioquia</t>
        </is>
      </c>
      <c r="D1026" t="inlineStr">
        <is>
          <t>Medellín</t>
        </is>
      </c>
      <c r="E1026" t="inlineStr">
        <is>
          <t>Juguetes</t>
        </is>
      </c>
      <c r="F1026" t="inlineStr">
        <is>
          <t>App</t>
        </is>
      </c>
      <c r="G1026" t="inlineStr">
        <is>
          <t>1. Visita</t>
        </is>
      </c>
      <c r="H1026" t="n">
        <v>5</v>
      </c>
      <c r="I1026" s="73" t="n">
        <v>72000</v>
      </c>
      <c r="J1026" s="73" t="n">
        <v>558000</v>
      </c>
      <c r="K1026" s="73" t="n">
        <v>326610</v>
      </c>
    </row>
    <row r="1027">
      <c r="A1027" t="n">
        <v>10325</v>
      </c>
      <c r="B1027" s="72" t="n">
        <v>45605.87986111111</v>
      </c>
      <c r="C1027" t="inlineStr">
        <is>
          <t>Nariño</t>
        </is>
      </c>
      <c r="D1027" t="inlineStr">
        <is>
          <t>Pasto</t>
        </is>
      </c>
      <c r="E1027" t="inlineStr">
        <is>
          <t>Hogar</t>
        </is>
      </c>
      <c r="F1027" t="inlineStr">
        <is>
          <t>Web</t>
        </is>
      </c>
      <c r="G1027" t="inlineStr">
        <is>
          <t>2. Carrito</t>
        </is>
      </c>
      <c r="H1027" t="n">
        <v>5</v>
      </c>
      <c r="I1027" s="73" t="n">
        <v>223300</v>
      </c>
      <c r="J1027" s="73" t="n">
        <v>1730575</v>
      </c>
      <c r="K1027" s="73" t="n">
        <v>1181928</v>
      </c>
    </row>
    <row r="1028">
      <c r="A1028" t="n">
        <v>12205</v>
      </c>
      <c r="B1028" s="72" t="n">
        <v>45606.31666666667</v>
      </c>
      <c r="C1028" t="inlineStr">
        <is>
          <t>Risaralda</t>
        </is>
      </c>
      <c r="D1028" t="inlineStr">
        <is>
          <t>Pereira</t>
        </is>
      </c>
      <c r="E1028" t="inlineStr">
        <is>
          <t>Belleza</t>
        </is>
      </c>
      <c r="F1028" t="inlineStr">
        <is>
          <t>Web</t>
        </is>
      </c>
      <c r="G1028" t="inlineStr">
        <is>
          <t>3. Pago</t>
        </is>
      </c>
      <c r="H1028" t="n">
        <v>2</v>
      </c>
      <c r="I1028" s="73" t="n">
        <v>76600</v>
      </c>
      <c r="J1028" s="73" t="n">
        <v>237460</v>
      </c>
      <c r="K1028" s="73" t="n">
        <v>156255</v>
      </c>
    </row>
    <row r="1029">
      <c r="A1029" t="n">
        <v>11495</v>
      </c>
      <c r="B1029" s="72" t="n">
        <v>45606.35277777778</v>
      </c>
      <c r="C1029" t="inlineStr">
        <is>
          <t>Bogotá D.C.</t>
        </is>
      </c>
      <c r="D1029" t="inlineStr">
        <is>
          <t>Bogotá</t>
        </is>
      </c>
      <c r="E1029" t="inlineStr">
        <is>
          <t>Tecnología</t>
        </is>
      </c>
      <c r="F1029" t="inlineStr">
        <is>
          <t>Web</t>
        </is>
      </c>
      <c r="G1029" t="inlineStr">
        <is>
          <t>3. Pago</t>
        </is>
      </c>
      <c r="H1029" t="n">
        <v>2</v>
      </c>
      <c r="I1029" s="73" t="n">
        <v>829100</v>
      </c>
      <c r="J1029" s="73" t="n">
        <v>2570210</v>
      </c>
      <c r="K1029" s="73" t="n">
        <v>1735482</v>
      </c>
    </row>
    <row r="1030">
      <c r="A1030" t="n">
        <v>10113</v>
      </c>
      <c r="B1030" s="72" t="n">
        <v>45606.41805555556</v>
      </c>
      <c r="C1030" t="inlineStr">
        <is>
          <t>Valle del Cauca</t>
        </is>
      </c>
      <c r="D1030" t="inlineStr">
        <is>
          <t>Cali</t>
        </is>
      </c>
      <c r="E1030" t="inlineStr">
        <is>
          <t>Juguetes</t>
        </is>
      </c>
      <c r="F1030" t="inlineStr">
        <is>
          <t>Web</t>
        </is>
      </c>
      <c r="G1030" t="inlineStr">
        <is>
          <t>3. Pago</t>
        </is>
      </c>
      <c r="H1030" t="n">
        <v>1</v>
      </c>
      <c r="I1030" s="73" t="n">
        <v>92500</v>
      </c>
      <c r="J1030" s="73" t="n">
        <v>143375</v>
      </c>
      <c r="K1030" s="73" t="n">
        <v>82526</v>
      </c>
    </row>
    <row r="1031">
      <c r="A1031" t="n">
        <v>11481</v>
      </c>
      <c r="B1031" s="72" t="n">
        <v>45606.73541666667</v>
      </c>
      <c r="C1031" t="inlineStr">
        <is>
          <t>Atlántico</t>
        </is>
      </c>
      <c r="D1031" t="inlineStr">
        <is>
          <t>Barranquilla</t>
        </is>
      </c>
      <c r="E1031" t="inlineStr">
        <is>
          <t>Tecnología</t>
        </is>
      </c>
      <c r="F1031" t="inlineStr">
        <is>
          <t>Tienda física</t>
        </is>
      </c>
      <c r="G1031" t="inlineStr">
        <is>
          <t>1. Visita</t>
        </is>
      </c>
      <c r="H1031" t="n">
        <v>3</v>
      </c>
      <c r="I1031" s="73" t="n">
        <v>1017900</v>
      </c>
      <c r="J1031" s="73" t="n">
        <v>4733235</v>
      </c>
      <c r="K1031" s="73" t="n">
        <v>3516439</v>
      </c>
    </row>
    <row r="1032">
      <c r="A1032" t="n">
        <v>10866</v>
      </c>
      <c r="B1032" s="72" t="n">
        <v>45606.74236111111</v>
      </c>
      <c r="C1032" t="inlineStr">
        <is>
          <t>Bogotá D.C.</t>
        </is>
      </c>
      <c r="D1032" t="inlineStr">
        <is>
          <t>Bogotá</t>
        </is>
      </c>
      <c r="E1032" t="inlineStr">
        <is>
          <t>Hogar</t>
        </is>
      </c>
      <c r="F1032" t="inlineStr">
        <is>
          <t>Marketplace</t>
        </is>
      </c>
      <c r="G1032" t="inlineStr">
        <is>
          <t>3. Pago</t>
        </is>
      </c>
      <c r="H1032" t="n">
        <v>1</v>
      </c>
      <c r="I1032" s="73" t="n">
        <v>234100</v>
      </c>
      <c r="J1032" s="73" t="n">
        <v>362855</v>
      </c>
      <c r="K1032" s="73" t="n">
        <v>215344</v>
      </c>
    </row>
    <row r="1033">
      <c r="A1033" t="n">
        <v>11774</v>
      </c>
      <c r="B1033" s="72" t="n">
        <v>45607.30833333333</v>
      </c>
      <c r="C1033" t="inlineStr">
        <is>
          <t>Antioquia</t>
        </is>
      </c>
      <c r="D1033" t="inlineStr">
        <is>
          <t>Medellín</t>
        </is>
      </c>
      <c r="E1033" t="inlineStr">
        <is>
          <t>Moda</t>
        </is>
      </c>
      <c r="F1033" t="inlineStr">
        <is>
          <t>Web</t>
        </is>
      </c>
      <c r="G1033" t="inlineStr">
        <is>
          <t>1. Visita</t>
        </is>
      </c>
      <c r="H1033" t="n">
        <v>2</v>
      </c>
      <c r="I1033" s="73" t="n">
        <v>86700</v>
      </c>
      <c r="J1033" s="73" t="n">
        <v>242760</v>
      </c>
      <c r="K1033" s="73" t="n">
        <v>146527</v>
      </c>
    </row>
    <row r="1034">
      <c r="A1034" t="n">
        <v>12373</v>
      </c>
      <c r="B1034" s="72" t="n">
        <v>45607.32361111111</v>
      </c>
      <c r="C1034" t="inlineStr">
        <is>
          <t>Antioquia</t>
        </is>
      </c>
      <c r="D1034" t="inlineStr">
        <is>
          <t>Medellín</t>
        </is>
      </c>
      <c r="E1034" t="inlineStr">
        <is>
          <t>Deportes</t>
        </is>
      </c>
      <c r="F1034" t="inlineStr">
        <is>
          <t>Web</t>
        </is>
      </c>
      <c r="G1034" t="inlineStr">
        <is>
          <t>1. Visita</t>
        </is>
      </c>
      <c r="H1034" t="n">
        <v>1</v>
      </c>
      <c r="I1034" s="73" t="n">
        <v>168200</v>
      </c>
      <c r="J1034" s="73" t="n">
        <v>235480</v>
      </c>
      <c r="K1034" s="73" t="n">
        <v>130729</v>
      </c>
    </row>
    <row r="1035">
      <c r="A1035" t="n">
        <v>10305</v>
      </c>
      <c r="B1035" s="72" t="n">
        <v>45607.59861111111</v>
      </c>
      <c r="C1035" t="inlineStr">
        <is>
          <t>Santander</t>
        </is>
      </c>
      <c r="D1035" t="inlineStr">
        <is>
          <t>Bucaramanga</t>
        </is>
      </c>
      <c r="E1035" t="inlineStr">
        <is>
          <t>Belleza</t>
        </is>
      </c>
      <c r="F1035" t="inlineStr">
        <is>
          <t>App</t>
        </is>
      </c>
      <c r="G1035" t="inlineStr">
        <is>
          <t>1. Visita</t>
        </is>
      </c>
      <c r="H1035" t="n">
        <v>3</v>
      </c>
      <c r="I1035" s="73" t="n">
        <v>83800</v>
      </c>
      <c r="J1035" s="73" t="n">
        <v>351960</v>
      </c>
      <c r="K1035" s="73" t="n">
        <v>231294</v>
      </c>
    </row>
    <row r="1036">
      <c r="A1036" t="n">
        <v>12143</v>
      </c>
      <c r="B1036" s="72" t="n">
        <v>45608.40694444445</v>
      </c>
      <c r="C1036" t="inlineStr">
        <is>
          <t>Bogotá D.C.</t>
        </is>
      </c>
      <c r="D1036" t="inlineStr">
        <is>
          <t>Bogotá</t>
        </is>
      </c>
      <c r="E1036" t="inlineStr">
        <is>
          <t>Moda</t>
        </is>
      </c>
      <c r="F1036" t="inlineStr">
        <is>
          <t>App</t>
        </is>
      </c>
      <c r="G1036" t="inlineStr">
        <is>
          <t>2. Carrito</t>
        </is>
      </c>
      <c r="H1036" t="n">
        <v>3</v>
      </c>
      <c r="I1036" s="73" t="n">
        <v>91300</v>
      </c>
      <c r="J1036" s="73" t="n">
        <v>383460</v>
      </c>
      <c r="K1036" s="73" t="n">
        <v>254094</v>
      </c>
    </row>
    <row r="1037">
      <c r="A1037" t="n">
        <v>10924</v>
      </c>
      <c r="B1037" s="72" t="n">
        <v>45608.43125</v>
      </c>
      <c r="C1037" t="inlineStr">
        <is>
          <t>Santander</t>
        </is>
      </c>
      <c r="D1037" t="inlineStr">
        <is>
          <t>Bucaramanga</t>
        </is>
      </c>
      <c r="E1037" t="inlineStr">
        <is>
          <t>Juguetes</t>
        </is>
      </c>
      <c r="F1037" t="inlineStr">
        <is>
          <t>Tienda física</t>
        </is>
      </c>
      <c r="G1037" t="inlineStr">
        <is>
          <t>3. Pago</t>
        </is>
      </c>
      <c r="H1037" t="n">
        <v>2</v>
      </c>
      <c r="I1037" s="73" t="n">
        <v>69900</v>
      </c>
      <c r="J1037" s="73" t="n">
        <v>195720</v>
      </c>
      <c r="K1037" s="73" t="n">
        <v>143280</v>
      </c>
    </row>
    <row r="1038">
      <c r="A1038" t="n">
        <v>10612</v>
      </c>
      <c r="B1038" s="72" t="n">
        <v>45608.59583333333</v>
      </c>
      <c r="C1038" t="inlineStr">
        <is>
          <t>Bogotá D.C.</t>
        </is>
      </c>
      <c r="D1038" t="inlineStr">
        <is>
          <t>Bogotá</t>
        </is>
      </c>
      <c r="E1038" t="inlineStr">
        <is>
          <t>Hogar</t>
        </is>
      </c>
      <c r="F1038" t="inlineStr">
        <is>
          <t>Web</t>
        </is>
      </c>
      <c r="G1038" t="inlineStr">
        <is>
          <t>1. Visita</t>
        </is>
      </c>
      <c r="H1038" t="n">
        <v>1</v>
      </c>
      <c r="I1038" s="73" t="n">
        <v>186000</v>
      </c>
      <c r="J1038" s="73" t="n">
        <v>260400</v>
      </c>
      <c r="K1038" s="73" t="n">
        <v>168180</v>
      </c>
    </row>
    <row r="1039">
      <c r="A1039" t="n">
        <v>10307</v>
      </c>
      <c r="B1039" s="72" t="n">
        <v>45608.65972222222</v>
      </c>
      <c r="C1039" t="inlineStr">
        <is>
          <t>Antioquia</t>
        </is>
      </c>
      <c r="D1039" t="inlineStr">
        <is>
          <t>Medellín</t>
        </is>
      </c>
      <c r="E1039" t="inlineStr">
        <is>
          <t>Juguetes</t>
        </is>
      </c>
      <c r="F1039" t="inlineStr">
        <is>
          <t>Tienda física</t>
        </is>
      </c>
      <c r="G1039" t="inlineStr">
        <is>
          <t>1. Visita</t>
        </is>
      </c>
      <c r="H1039" t="n">
        <v>5</v>
      </c>
      <c r="I1039" s="73" t="n">
        <v>91500</v>
      </c>
      <c r="J1039" s="73" t="n">
        <v>640500</v>
      </c>
      <c r="K1039" s="73" t="n">
        <v>452806</v>
      </c>
    </row>
    <row r="1040">
      <c r="A1040" t="n">
        <v>11279</v>
      </c>
      <c r="B1040" s="72" t="n">
        <v>45608.79097222222</v>
      </c>
      <c r="C1040" t="inlineStr">
        <is>
          <t>Bogotá D.C.</t>
        </is>
      </c>
      <c r="D1040" t="inlineStr">
        <is>
          <t>Bogotá</t>
        </is>
      </c>
      <c r="E1040" t="inlineStr">
        <is>
          <t>Juguetes</t>
        </is>
      </c>
      <c r="F1040" t="inlineStr">
        <is>
          <t>App</t>
        </is>
      </c>
      <c r="G1040" t="inlineStr">
        <is>
          <t>1. Visita</t>
        </is>
      </c>
      <c r="H1040" t="n">
        <v>5</v>
      </c>
      <c r="I1040" s="73" t="n">
        <v>65200</v>
      </c>
      <c r="J1040" s="73" t="n">
        <v>456400</v>
      </c>
      <c r="K1040" s="73" t="n">
        <v>300676</v>
      </c>
    </row>
    <row r="1041">
      <c r="A1041" t="n">
        <v>10598</v>
      </c>
      <c r="B1041" s="72" t="n">
        <v>45609.42777777778</v>
      </c>
      <c r="C1041" t="inlineStr">
        <is>
          <t>Meta</t>
        </is>
      </c>
      <c r="D1041" t="inlineStr">
        <is>
          <t>Villavicencio</t>
        </is>
      </c>
      <c r="E1041" t="inlineStr">
        <is>
          <t>Belleza</t>
        </is>
      </c>
      <c r="F1041" t="inlineStr">
        <is>
          <t>App</t>
        </is>
      </c>
      <c r="G1041" t="inlineStr">
        <is>
          <t>4. Compra</t>
        </is>
      </c>
      <c r="H1041" t="n">
        <v>2</v>
      </c>
      <c r="I1041" s="73" t="n">
        <v>73600</v>
      </c>
      <c r="J1041" s="73" t="n">
        <v>206080</v>
      </c>
      <c r="K1041" s="73" t="n">
        <v>139347</v>
      </c>
    </row>
    <row r="1042">
      <c r="A1042" t="n">
        <v>10235</v>
      </c>
      <c r="B1042" s="72" t="n">
        <v>45609.71388888889</v>
      </c>
      <c r="C1042" t="inlineStr">
        <is>
          <t>Bogotá D.C.</t>
        </is>
      </c>
      <c r="D1042" t="inlineStr">
        <is>
          <t>Bogotá</t>
        </is>
      </c>
      <c r="E1042" t="inlineStr">
        <is>
          <t>Moda</t>
        </is>
      </c>
      <c r="F1042" t="inlineStr">
        <is>
          <t>Tienda física</t>
        </is>
      </c>
      <c r="G1042" t="inlineStr">
        <is>
          <t>1. Visita</t>
        </is>
      </c>
      <c r="H1042" t="n">
        <v>5</v>
      </c>
      <c r="I1042" s="73" t="n">
        <v>125100</v>
      </c>
      <c r="J1042" s="73" t="n">
        <v>875700</v>
      </c>
      <c r="K1042" s="73" t="n">
        <v>547676</v>
      </c>
    </row>
    <row r="1043">
      <c r="A1043" t="n">
        <v>11806</v>
      </c>
      <c r="B1043" s="72" t="n">
        <v>45609.73333333333</v>
      </c>
      <c r="C1043" t="inlineStr">
        <is>
          <t>Bogotá D.C.</t>
        </is>
      </c>
      <c r="D1043" t="inlineStr">
        <is>
          <t>Bogotá</t>
        </is>
      </c>
      <c r="E1043" t="inlineStr">
        <is>
          <t>Juguetes</t>
        </is>
      </c>
      <c r="F1043" t="inlineStr">
        <is>
          <t>Web</t>
        </is>
      </c>
      <c r="G1043" t="inlineStr">
        <is>
          <t>1. Visita</t>
        </is>
      </c>
      <c r="H1043" t="n">
        <v>3</v>
      </c>
      <c r="I1043" s="73" t="n">
        <v>108600</v>
      </c>
      <c r="J1043" s="73" t="n">
        <v>456120</v>
      </c>
      <c r="K1043" s="73" t="n">
        <v>290027</v>
      </c>
    </row>
    <row r="1044">
      <c r="A1044" t="n">
        <v>11206</v>
      </c>
      <c r="B1044" s="72" t="n">
        <v>45609.74652777778</v>
      </c>
      <c r="C1044" t="inlineStr">
        <is>
          <t>Santander</t>
        </is>
      </c>
      <c r="D1044" t="inlineStr">
        <is>
          <t>Bucaramanga</t>
        </is>
      </c>
      <c r="E1044" t="inlineStr">
        <is>
          <t>Hogar</t>
        </is>
      </c>
      <c r="F1044" t="inlineStr">
        <is>
          <t>App</t>
        </is>
      </c>
      <c r="G1044" t="inlineStr">
        <is>
          <t>2. Carrito</t>
        </is>
      </c>
      <c r="H1044" t="n">
        <v>1</v>
      </c>
      <c r="I1044" s="73" t="n">
        <v>262100</v>
      </c>
      <c r="J1044" s="73" t="n">
        <v>366940</v>
      </c>
      <c r="K1044" s="73" t="n">
        <v>258887</v>
      </c>
    </row>
    <row r="1045">
      <c r="A1045" t="n">
        <v>11943</v>
      </c>
      <c r="B1045" s="72" t="n">
        <v>45609.79722222222</v>
      </c>
      <c r="C1045" t="inlineStr">
        <is>
          <t>Antioquia</t>
        </is>
      </c>
      <c r="D1045" t="inlineStr">
        <is>
          <t>Medellín</t>
        </is>
      </c>
      <c r="E1045" t="inlineStr">
        <is>
          <t>Belleza</t>
        </is>
      </c>
      <c r="F1045" t="inlineStr">
        <is>
          <t>Tienda física</t>
        </is>
      </c>
      <c r="G1045" t="inlineStr">
        <is>
          <t>3. Pago</t>
        </is>
      </c>
      <c r="H1045" t="n">
        <v>2</v>
      </c>
      <c r="I1045" s="73" t="n">
        <v>86000</v>
      </c>
      <c r="J1045" s="73" t="n">
        <v>240800</v>
      </c>
      <c r="K1045" s="73" t="n">
        <v>154544</v>
      </c>
    </row>
    <row r="1046">
      <c r="A1046" t="n">
        <v>12254</v>
      </c>
      <c r="B1046" s="72" t="n">
        <v>45609.96666666667</v>
      </c>
      <c r="C1046" t="inlineStr">
        <is>
          <t>Meta</t>
        </is>
      </c>
      <c r="D1046" t="inlineStr">
        <is>
          <t>Villavicencio</t>
        </is>
      </c>
      <c r="E1046" t="inlineStr">
        <is>
          <t>Moda</t>
        </is>
      </c>
      <c r="F1046" t="inlineStr">
        <is>
          <t>Tienda física</t>
        </is>
      </c>
      <c r="G1046" t="inlineStr">
        <is>
          <t>1. Visita</t>
        </is>
      </c>
      <c r="H1046" t="n">
        <v>4</v>
      </c>
      <c r="I1046" s="73" t="n">
        <v>86400</v>
      </c>
      <c r="J1046" s="73" t="n">
        <v>483840</v>
      </c>
      <c r="K1046" s="73" t="n">
        <v>343849</v>
      </c>
    </row>
    <row r="1047">
      <c r="A1047" t="n">
        <v>11002</v>
      </c>
      <c r="B1047" s="72" t="n">
        <v>45610.37916666667</v>
      </c>
      <c r="C1047" t="inlineStr">
        <is>
          <t>Bolívar</t>
        </is>
      </c>
      <c r="D1047" t="inlineStr">
        <is>
          <t>Cartagena</t>
        </is>
      </c>
      <c r="E1047" t="inlineStr">
        <is>
          <t>Tecnología</t>
        </is>
      </c>
      <c r="F1047" t="inlineStr">
        <is>
          <t>App</t>
        </is>
      </c>
      <c r="G1047" t="inlineStr">
        <is>
          <t>3. Pago</t>
        </is>
      </c>
      <c r="H1047" t="n">
        <v>2</v>
      </c>
      <c r="I1047" s="73" t="n">
        <v>918700</v>
      </c>
      <c r="J1047" s="73" t="n">
        <v>2572360</v>
      </c>
      <c r="K1047" s="73" t="n">
        <v>1779689</v>
      </c>
    </row>
    <row r="1048">
      <c r="A1048" t="n">
        <v>11433</v>
      </c>
      <c r="B1048" s="72" t="n">
        <v>45610.54027777778</v>
      </c>
      <c r="C1048" t="inlineStr">
        <is>
          <t>Valle del Cauca</t>
        </is>
      </c>
      <c r="D1048" t="inlineStr">
        <is>
          <t>Cali</t>
        </is>
      </c>
      <c r="E1048" t="inlineStr">
        <is>
          <t>Moda</t>
        </is>
      </c>
      <c r="F1048" t="inlineStr">
        <is>
          <t>Marketplace</t>
        </is>
      </c>
      <c r="G1048" t="inlineStr">
        <is>
          <t>1. Visita</t>
        </is>
      </c>
      <c r="H1048" t="n">
        <v>5</v>
      </c>
      <c r="I1048" s="73" t="n">
        <v>132600</v>
      </c>
      <c r="J1048" s="73" t="n">
        <v>928200</v>
      </c>
      <c r="K1048" s="73" t="n">
        <v>539128</v>
      </c>
    </row>
    <row r="1049">
      <c r="A1049" t="n">
        <v>12228</v>
      </c>
      <c r="B1049" s="72" t="n">
        <v>45610.84305555555</v>
      </c>
      <c r="C1049" t="inlineStr">
        <is>
          <t>Risaralda</t>
        </is>
      </c>
      <c r="D1049" t="inlineStr">
        <is>
          <t>Pereira</t>
        </is>
      </c>
      <c r="E1049" t="inlineStr">
        <is>
          <t>Tecnología</t>
        </is>
      </c>
      <c r="F1049" t="inlineStr">
        <is>
          <t>App</t>
        </is>
      </c>
      <c r="G1049" t="inlineStr">
        <is>
          <t>2. Carrito</t>
        </is>
      </c>
      <c r="H1049" t="n">
        <v>4</v>
      </c>
      <c r="I1049" s="73" t="n">
        <v>787100</v>
      </c>
      <c r="J1049" s="73" t="n">
        <v>4407760</v>
      </c>
      <c r="K1049" s="73" t="n">
        <v>2696224</v>
      </c>
    </row>
    <row r="1050">
      <c r="A1050" t="n">
        <v>12217</v>
      </c>
      <c r="B1050" s="72" t="n">
        <v>45610.88472222222</v>
      </c>
      <c r="C1050" t="inlineStr">
        <is>
          <t>Valle del Cauca</t>
        </is>
      </c>
      <c r="D1050" t="inlineStr">
        <is>
          <t>Cali</t>
        </is>
      </c>
      <c r="E1050" t="inlineStr">
        <is>
          <t>Moda</t>
        </is>
      </c>
      <c r="F1050" t="inlineStr">
        <is>
          <t>Marketplace</t>
        </is>
      </c>
      <c r="G1050" t="inlineStr">
        <is>
          <t>2. Carrito</t>
        </is>
      </c>
      <c r="H1050" t="n">
        <v>3</v>
      </c>
      <c r="I1050" s="73" t="n">
        <v>99500</v>
      </c>
      <c r="J1050" s="73" t="n">
        <v>417900</v>
      </c>
      <c r="K1050" s="73" t="n">
        <v>285818</v>
      </c>
    </row>
    <row r="1051">
      <c r="A1051" t="n">
        <v>10106</v>
      </c>
      <c r="B1051" s="72" t="n">
        <v>45610.97986111111</v>
      </c>
      <c r="C1051" t="inlineStr">
        <is>
          <t>Antioquia</t>
        </is>
      </c>
      <c r="D1051" t="inlineStr">
        <is>
          <t>Medellín</t>
        </is>
      </c>
      <c r="E1051" t="inlineStr">
        <is>
          <t>Moda</t>
        </is>
      </c>
      <c r="F1051" t="inlineStr">
        <is>
          <t>Tienda física</t>
        </is>
      </c>
      <c r="G1051" t="inlineStr">
        <is>
          <t>3. Pago</t>
        </is>
      </c>
      <c r="H1051" t="n">
        <v>2</v>
      </c>
      <c r="I1051" s="73" t="n">
        <v>113300</v>
      </c>
      <c r="J1051" s="73" t="n">
        <v>317240</v>
      </c>
      <c r="K1051" s="73" t="n">
        <v>201343</v>
      </c>
    </row>
    <row r="1052">
      <c r="A1052" t="n">
        <v>11630</v>
      </c>
      <c r="B1052" s="72" t="n">
        <v>45611.63194444445</v>
      </c>
      <c r="C1052" t="inlineStr">
        <is>
          <t>Bolívar</t>
        </is>
      </c>
      <c r="D1052" t="inlineStr">
        <is>
          <t>Cartagena</t>
        </is>
      </c>
      <c r="E1052" t="inlineStr">
        <is>
          <t>Hogar</t>
        </is>
      </c>
      <c r="F1052" t="inlineStr">
        <is>
          <t>Web</t>
        </is>
      </c>
      <c r="G1052" t="inlineStr">
        <is>
          <t>1. Visita</t>
        </is>
      </c>
      <c r="H1052" t="n">
        <v>3</v>
      </c>
      <c r="I1052" s="73" t="n">
        <v>234800</v>
      </c>
      <c r="J1052" s="73" t="n">
        <v>1091820</v>
      </c>
      <c r="K1052" s="73" t="n">
        <v>811138</v>
      </c>
    </row>
    <row r="1053">
      <c r="A1053" t="n">
        <v>12146</v>
      </c>
      <c r="B1053" s="72" t="n">
        <v>45611.70763888889</v>
      </c>
      <c r="C1053" t="inlineStr">
        <is>
          <t>Antioquia</t>
        </is>
      </c>
      <c r="D1053" t="inlineStr">
        <is>
          <t>Medellín</t>
        </is>
      </c>
      <c r="E1053" t="inlineStr">
        <is>
          <t>Belleza</t>
        </is>
      </c>
      <c r="F1053" t="inlineStr">
        <is>
          <t>Tienda física</t>
        </is>
      </c>
      <c r="G1053" t="inlineStr">
        <is>
          <t>1. Visita</t>
        </is>
      </c>
      <c r="H1053" t="n">
        <v>1</v>
      </c>
      <c r="I1053" s="73" t="n">
        <v>65600</v>
      </c>
      <c r="J1053" s="73" t="n">
        <v>101680</v>
      </c>
      <c r="K1053" s="73" t="n">
        <v>74606</v>
      </c>
    </row>
    <row r="1054">
      <c r="A1054" t="n">
        <v>12246</v>
      </c>
      <c r="B1054" s="72" t="n">
        <v>45611.73263888889</v>
      </c>
      <c r="C1054" t="inlineStr">
        <is>
          <t>Santander</t>
        </is>
      </c>
      <c r="D1054" t="inlineStr">
        <is>
          <t>Bucaramanga</t>
        </is>
      </c>
      <c r="E1054" t="inlineStr">
        <is>
          <t>Juguetes</t>
        </is>
      </c>
      <c r="F1054" t="inlineStr">
        <is>
          <t>Web</t>
        </is>
      </c>
      <c r="G1054" t="inlineStr">
        <is>
          <t>3. Pago</t>
        </is>
      </c>
      <c r="H1054" t="n">
        <v>3</v>
      </c>
      <c r="I1054" s="73" t="n">
        <v>95100</v>
      </c>
      <c r="J1054" s="73" t="n">
        <v>442215</v>
      </c>
      <c r="K1054" s="73" t="n">
        <v>305791</v>
      </c>
    </row>
    <row r="1055">
      <c r="A1055" t="n">
        <v>10399</v>
      </c>
      <c r="B1055" s="72" t="n">
        <v>45611.76944444444</v>
      </c>
      <c r="C1055" t="inlineStr">
        <is>
          <t>Bogotá D.C.</t>
        </is>
      </c>
      <c r="D1055" t="inlineStr">
        <is>
          <t>Bogotá</t>
        </is>
      </c>
      <c r="E1055" t="inlineStr">
        <is>
          <t>Deportes</t>
        </is>
      </c>
      <c r="F1055" t="inlineStr">
        <is>
          <t>Tienda física</t>
        </is>
      </c>
      <c r="G1055" t="inlineStr">
        <is>
          <t>1. Visita</t>
        </is>
      </c>
      <c r="H1055" t="n">
        <v>2</v>
      </c>
      <c r="I1055" s="73" t="n">
        <v>143200</v>
      </c>
      <c r="J1055" s="73" t="n">
        <v>443920</v>
      </c>
      <c r="K1055" s="73" t="n">
        <v>273586</v>
      </c>
    </row>
    <row r="1056">
      <c r="A1056" t="n">
        <v>11177</v>
      </c>
      <c r="B1056" s="72" t="n">
        <v>45611.87430555555</v>
      </c>
      <c r="C1056" t="inlineStr">
        <is>
          <t>Bolívar</t>
        </is>
      </c>
      <c r="D1056" t="inlineStr">
        <is>
          <t>Cartagena</t>
        </is>
      </c>
      <c r="E1056" t="inlineStr">
        <is>
          <t>Tecnología</t>
        </is>
      </c>
      <c r="F1056" t="inlineStr">
        <is>
          <t>Web</t>
        </is>
      </c>
      <c r="G1056" t="inlineStr">
        <is>
          <t>2. Carrito</t>
        </is>
      </c>
      <c r="H1056" t="n">
        <v>2</v>
      </c>
      <c r="I1056" s="73" t="n">
        <v>1031500</v>
      </c>
      <c r="J1056" s="73" t="n">
        <v>3197650</v>
      </c>
      <c r="K1056" s="73" t="n">
        <v>2034193</v>
      </c>
    </row>
    <row r="1057">
      <c r="A1057" t="n">
        <v>12335</v>
      </c>
      <c r="B1057" s="72" t="n">
        <v>45612.30486111111</v>
      </c>
      <c r="C1057" t="inlineStr">
        <is>
          <t>Risaralda</t>
        </is>
      </c>
      <c r="D1057" t="inlineStr">
        <is>
          <t>Pereira</t>
        </is>
      </c>
      <c r="E1057" t="inlineStr">
        <is>
          <t>Deportes</t>
        </is>
      </c>
      <c r="F1057" t="inlineStr">
        <is>
          <t>Tienda física</t>
        </is>
      </c>
      <c r="G1057" t="inlineStr">
        <is>
          <t>1. Visita</t>
        </is>
      </c>
      <c r="H1057" t="n">
        <v>2</v>
      </c>
      <c r="I1057" s="73" t="n">
        <v>166700</v>
      </c>
      <c r="J1057" s="73" t="n">
        <v>516770</v>
      </c>
      <c r="K1057" s="73" t="n">
        <v>376792</v>
      </c>
    </row>
    <row r="1058">
      <c r="A1058" t="n">
        <v>12306</v>
      </c>
      <c r="B1058" s="72" t="n">
        <v>45612.60416666666</v>
      </c>
      <c r="C1058" t="inlineStr">
        <is>
          <t>Bogotá D.C.</t>
        </is>
      </c>
      <c r="D1058" t="inlineStr">
        <is>
          <t>Bogotá</t>
        </is>
      </c>
      <c r="E1058" t="inlineStr">
        <is>
          <t>Belleza</t>
        </is>
      </c>
      <c r="F1058" t="inlineStr">
        <is>
          <t>App</t>
        </is>
      </c>
      <c r="G1058" t="inlineStr">
        <is>
          <t>1. Visita</t>
        </is>
      </c>
      <c r="H1058" t="n">
        <v>4</v>
      </c>
      <c r="I1058" s="73" t="n">
        <v>58800</v>
      </c>
      <c r="J1058" s="73" t="n">
        <v>364560</v>
      </c>
      <c r="K1058" s="73" t="n">
        <v>214251</v>
      </c>
    </row>
    <row r="1059">
      <c r="A1059" t="n">
        <v>12396</v>
      </c>
      <c r="B1059" s="72" t="n">
        <v>45612.61805555555</v>
      </c>
      <c r="C1059" t="inlineStr">
        <is>
          <t>Antioquia</t>
        </is>
      </c>
      <c r="D1059" t="inlineStr">
        <is>
          <t>Medellín</t>
        </is>
      </c>
      <c r="E1059" t="inlineStr">
        <is>
          <t>Juguetes</t>
        </is>
      </c>
      <c r="F1059" t="inlineStr">
        <is>
          <t>Marketplace</t>
        </is>
      </c>
      <c r="G1059" t="inlineStr">
        <is>
          <t>1. Visita</t>
        </is>
      </c>
      <c r="H1059" t="n">
        <v>4</v>
      </c>
      <c r="I1059" s="73" t="n">
        <v>92100</v>
      </c>
      <c r="J1059" s="73" t="n">
        <v>571020</v>
      </c>
      <c r="K1059" s="73" t="n">
        <v>347834</v>
      </c>
    </row>
    <row r="1060">
      <c r="A1060" t="n">
        <v>11597</v>
      </c>
      <c r="B1060" s="72" t="n">
        <v>45612.70972222222</v>
      </c>
      <c r="C1060" t="inlineStr">
        <is>
          <t>Meta</t>
        </is>
      </c>
      <c r="D1060" t="inlineStr">
        <is>
          <t>Villavicencio</t>
        </is>
      </c>
      <c r="E1060" t="inlineStr">
        <is>
          <t>Moda</t>
        </is>
      </c>
      <c r="F1060" t="inlineStr">
        <is>
          <t>Web</t>
        </is>
      </c>
      <c r="G1060" t="inlineStr">
        <is>
          <t>2. Carrito</t>
        </is>
      </c>
      <c r="H1060" t="n">
        <v>2</v>
      </c>
      <c r="I1060" s="73" t="n">
        <v>150800</v>
      </c>
      <c r="J1060" s="73" t="n">
        <v>467480</v>
      </c>
      <c r="K1060" s="73" t="n">
        <v>321697</v>
      </c>
    </row>
    <row r="1061">
      <c r="A1061" t="n">
        <v>11417</v>
      </c>
      <c r="B1061" s="72" t="n">
        <v>45612.71736111111</v>
      </c>
      <c r="C1061" t="inlineStr">
        <is>
          <t>Meta</t>
        </is>
      </c>
      <c r="D1061" t="inlineStr">
        <is>
          <t>Villavicencio</t>
        </is>
      </c>
      <c r="E1061" t="inlineStr">
        <is>
          <t>Deportes</t>
        </is>
      </c>
      <c r="F1061" t="inlineStr">
        <is>
          <t>App</t>
        </is>
      </c>
      <c r="G1061" t="inlineStr">
        <is>
          <t>1. Visita</t>
        </is>
      </c>
      <c r="H1061" t="n">
        <v>5</v>
      </c>
      <c r="I1061" s="73" t="n">
        <v>143400</v>
      </c>
      <c r="J1061" s="73" t="n">
        <v>1111350</v>
      </c>
      <c r="K1061" s="73" t="n">
        <v>796759</v>
      </c>
    </row>
    <row r="1062">
      <c r="A1062" t="n">
        <v>10409</v>
      </c>
      <c r="B1062" s="72" t="n">
        <v>45612.84930555556</v>
      </c>
      <c r="C1062" t="inlineStr">
        <is>
          <t>Antioquia</t>
        </is>
      </c>
      <c r="D1062" t="inlineStr">
        <is>
          <t>Medellín</t>
        </is>
      </c>
      <c r="E1062" t="inlineStr">
        <is>
          <t>Belleza</t>
        </is>
      </c>
      <c r="F1062" t="inlineStr">
        <is>
          <t>Tienda física</t>
        </is>
      </c>
      <c r="G1062" t="inlineStr">
        <is>
          <t>4. Compra</t>
        </is>
      </c>
      <c r="H1062" t="n">
        <v>1</v>
      </c>
      <c r="I1062" s="73" t="n">
        <v>54500</v>
      </c>
      <c r="J1062" s="73" t="n">
        <v>84475</v>
      </c>
      <c r="K1062" s="73" t="n">
        <v>59066</v>
      </c>
    </row>
    <row r="1063">
      <c r="A1063" t="n">
        <v>10176</v>
      </c>
      <c r="B1063" s="72" t="n">
        <v>45612.99097222222</v>
      </c>
      <c r="C1063" t="inlineStr">
        <is>
          <t>Bogotá D.C.</t>
        </is>
      </c>
      <c r="D1063" t="inlineStr">
        <is>
          <t>Bogotá</t>
        </is>
      </c>
      <c r="E1063" t="inlineStr">
        <is>
          <t>Deportes</t>
        </is>
      </c>
      <c r="F1063" t="inlineStr">
        <is>
          <t>Web</t>
        </is>
      </c>
      <c r="G1063" t="inlineStr">
        <is>
          <t>1. Visita</t>
        </is>
      </c>
      <c r="H1063" t="n">
        <v>2</v>
      </c>
      <c r="I1063" s="73" t="n">
        <v>119300</v>
      </c>
      <c r="J1063" s="73" t="n">
        <v>369830</v>
      </c>
      <c r="K1063" s="73" t="n">
        <v>221875</v>
      </c>
    </row>
    <row r="1064">
      <c r="A1064" t="n">
        <v>11696</v>
      </c>
      <c r="B1064" s="72" t="n">
        <v>45613.90208333333</v>
      </c>
      <c r="C1064" t="inlineStr">
        <is>
          <t>Antioquia</t>
        </is>
      </c>
      <c r="D1064" t="inlineStr">
        <is>
          <t>Medellín</t>
        </is>
      </c>
      <c r="E1064" t="inlineStr">
        <is>
          <t>Tecnología</t>
        </is>
      </c>
      <c r="F1064" t="inlineStr">
        <is>
          <t>Web</t>
        </is>
      </c>
      <c r="G1064" t="inlineStr">
        <is>
          <t>1. Visita</t>
        </is>
      </c>
      <c r="H1064" t="n">
        <v>5</v>
      </c>
      <c r="I1064" s="73" t="n">
        <v>913800</v>
      </c>
      <c r="J1064" s="73" t="n">
        <v>7081950</v>
      </c>
      <c r="K1064" s="73" t="n">
        <v>4079587</v>
      </c>
    </row>
    <row r="1065">
      <c r="A1065" t="n">
        <v>10798</v>
      </c>
      <c r="B1065" s="72" t="n">
        <v>45615.59444444445</v>
      </c>
      <c r="C1065" t="inlineStr">
        <is>
          <t>Atlántico</t>
        </is>
      </c>
      <c r="D1065" t="inlineStr">
        <is>
          <t>Barranquilla</t>
        </is>
      </c>
      <c r="E1065" t="inlineStr">
        <is>
          <t>Deportes</t>
        </is>
      </c>
      <c r="F1065" t="inlineStr">
        <is>
          <t>Tienda física</t>
        </is>
      </c>
      <c r="G1065" t="inlineStr">
        <is>
          <t>3. Pago</t>
        </is>
      </c>
      <c r="H1065" t="n">
        <v>3</v>
      </c>
      <c r="I1065" s="73" t="n">
        <v>197800</v>
      </c>
      <c r="J1065" s="73" t="n">
        <v>830760</v>
      </c>
      <c r="K1065" s="73" t="n">
        <v>507468</v>
      </c>
    </row>
    <row r="1066">
      <c r="A1066" t="n">
        <v>11888</v>
      </c>
      <c r="B1066" s="72" t="n">
        <v>45615.59722222222</v>
      </c>
      <c r="C1066" t="inlineStr">
        <is>
          <t>Bogotá D.C.</t>
        </is>
      </c>
      <c r="D1066" t="inlineStr">
        <is>
          <t>Bogotá</t>
        </is>
      </c>
      <c r="E1066" t="inlineStr">
        <is>
          <t>Belleza</t>
        </is>
      </c>
      <c r="F1066" t="inlineStr">
        <is>
          <t>Web</t>
        </is>
      </c>
      <c r="G1066" t="inlineStr">
        <is>
          <t>1. Visita</t>
        </is>
      </c>
      <c r="H1066" t="n">
        <v>3</v>
      </c>
      <c r="I1066" s="73" t="n">
        <v>62400</v>
      </c>
      <c r="J1066" s="73" t="n">
        <v>262080</v>
      </c>
      <c r="K1066" s="73" t="n">
        <v>194455</v>
      </c>
    </row>
    <row r="1067">
      <c r="A1067" t="n">
        <v>11360</v>
      </c>
      <c r="B1067" s="72" t="n">
        <v>45615.72777777778</v>
      </c>
      <c r="C1067" t="inlineStr">
        <is>
          <t>Antioquia</t>
        </is>
      </c>
      <c r="D1067" t="inlineStr">
        <is>
          <t>Medellín</t>
        </is>
      </c>
      <c r="E1067" t="inlineStr">
        <is>
          <t>Deportes</t>
        </is>
      </c>
      <c r="F1067" t="inlineStr">
        <is>
          <t>Web</t>
        </is>
      </c>
      <c r="G1067" t="inlineStr">
        <is>
          <t>2. Carrito</t>
        </is>
      </c>
      <c r="H1067" t="n">
        <v>2</v>
      </c>
      <c r="I1067" s="73" t="n">
        <v>186000</v>
      </c>
      <c r="J1067" s="73" t="n">
        <v>520800</v>
      </c>
      <c r="K1067" s="73" t="n">
        <v>305547</v>
      </c>
    </row>
    <row r="1068">
      <c r="A1068" t="n">
        <v>11721</v>
      </c>
      <c r="B1068" s="72" t="n">
        <v>45615.73055555556</v>
      </c>
      <c r="C1068" t="inlineStr">
        <is>
          <t>Antioquia</t>
        </is>
      </c>
      <c r="D1068" t="inlineStr">
        <is>
          <t>Medellín</t>
        </is>
      </c>
      <c r="E1068" t="inlineStr">
        <is>
          <t>Hogar</t>
        </is>
      </c>
      <c r="F1068" t="inlineStr">
        <is>
          <t>App</t>
        </is>
      </c>
      <c r="G1068" t="inlineStr">
        <is>
          <t>1. Visita</t>
        </is>
      </c>
      <c r="H1068" t="n">
        <v>3</v>
      </c>
      <c r="I1068" s="73" t="n">
        <v>246300</v>
      </c>
      <c r="J1068" s="73" t="n">
        <v>1034460</v>
      </c>
      <c r="K1068" s="73" t="n">
        <v>625491</v>
      </c>
    </row>
    <row r="1069">
      <c r="A1069" t="n">
        <v>11274</v>
      </c>
      <c r="B1069" s="72" t="n">
        <v>45615.80972222222</v>
      </c>
      <c r="C1069" t="inlineStr">
        <is>
          <t>Antioquia</t>
        </is>
      </c>
      <c r="D1069" t="inlineStr">
        <is>
          <t>Medellín</t>
        </is>
      </c>
      <c r="E1069" t="inlineStr">
        <is>
          <t>Moda</t>
        </is>
      </c>
      <c r="F1069" t="inlineStr">
        <is>
          <t>App</t>
        </is>
      </c>
      <c r="G1069" t="inlineStr">
        <is>
          <t>2. Carrito</t>
        </is>
      </c>
      <c r="H1069" t="n">
        <v>5</v>
      </c>
      <c r="I1069" s="73" t="n">
        <v>97400</v>
      </c>
      <c r="J1069" s="73" t="n">
        <v>681800</v>
      </c>
      <c r="K1069" s="73" t="n">
        <v>409453</v>
      </c>
    </row>
    <row r="1070">
      <c r="A1070" t="n">
        <v>12244</v>
      </c>
      <c r="B1070" s="72" t="n">
        <v>45615.81319444445</v>
      </c>
      <c r="C1070" t="inlineStr">
        <is>
          <t>Bogotá D.C.</t>
        </is>
      </c>
      <c r="D1070" t="inlineStr">
        <is>
          <t>Bogotá</t>
        </is>
      </c>
      <c r="E1070" t="inlineStr">
        <is>
          <t>Belleza</t>
        </is>
      </c>
      <c r="F1070" t="inlineStr">
        <is>
          <t>Web</t>
        </is>
      </c>
      <c r="G1070" t="inlineStr">
        <is>
          <t>2. Carrito</t>
        </is>
      </c>
      <c r="H1070" t="n">
        <v>3</v>
      </c>
      <c r="I1070" s="73" t="n">
        <v>49100</v>
      </c>
      <c r="J1070" s="73" t="n">
        <v>206220</v>
      </c>
      <c r="K1070" s="73" t="n">
        <v>124194</v>
      </c>
    </row>
    <row r="1071">
      <c r="A1071" t="n">
        <v>11504</v>
      </c>
      <c r="B1071" s="72" t="n">
        <v>45615.85972222222</v>
      </c>
      <c r="C1071" t="inlineStr">
        <is>
          <t>Antioquia</t>
        </is>
      </c>
      <c r="D1071" t="inlineStr">
        <is>
          <t>Medellín</t>
        </is>
      </c>
      <c r="E1071" t="inlineStr">
        <is>
          <t>Deportes</t>
        </is>
      </c>
      <c r="F1071" t="inlineStr">
        <is>
          <t>Web</t>
        </is>
      </c>
      <c r="G1071" t="inlineStr">
        <is>
          <t>2. Carrito</t>
        </is>
      </c>
      <c r="H1071" t="n">
        <v>1</v>
      </c>
      <c r="I1071" s="73" t="n">
        <v>129000</v>
      </c>
      <c r="J1071" s="73" t="n">
        <v>180600</v>
      </c>
      <c r="K1071" s="73" t="n">
        <v>135233</v>
      </c>
    </row>
    <row r="1072">
      <c r="A1072" t="n">
        <v>11586</v>
      </c>
      <c r="B1072" s="72" t="n">
        <v>45616.5625</v>
      </c>
      <c r="C1072" t="inlineStr">
        <is>
          <t>Valle del Cauca</t>
        </is>
      </c>
      <c r="D1072" t="inlineStr">
        <is>
          <t>Cali</t>
        </is>
      </c>
      <c r="E1072" t="inlineStr">
        <is>
          <t>Belleza</t>
        </is>
      </c>
      <c r="F1072" t="inlineStr">
        <is>
          <t>App</t>
        </is>
      </c>
      <c r="G1072" t="inlineStr">
        <is>
          <t>4. Compra</t>
        </is>
      </c>
      <c r="H1072" t="n">
        <v>2</v>
      </c>
      <c r="I1072" s="73" t="n">
        <v>66200</v>
      </c>
      <c r="J1072" s="73" t="n">
        <v>185360</v>
      </c>
      <c r="K1072" s="73" t="n">
        <v>122533</v>
      </c>
    </row>
    <row r="1073">
      <c r="A1073" t="n">
        <v>10120</v>
      </c>
      <c r="B1073" s="72" t="n">
        <v>45616.68125</v>
      </c>
      <c r="C1073" t="inlineStr">
        <is>
          <t>Nariño</t>
        </is>
      </c>
      <c r="D1073" t="inlineStr">
        <is>
          <t>Pasto</t>
        </is>
      </c>
      <c r="E1073" t="inlineStr">
        <is>
          <t>Juguetes</t>
        </is>
      </c>
      <c r="F1073" t="inlineStr">
        <is>
          <t>Tienda física</t>
        </is>
      </c>
      <c r="G1073" t="inlineStr">
        <is>
          <t>3. Pago</t>
        </is>
      </c>
      <c r="H1073" t="n">
        <v>2</v>
      </c>
      <c r="I1073" s="73" t="n">
        <v>112100</v>
      </c>
      <c r="J1073" s="73" t="n">
        <v>313880</v>
      </c>
      <c r="K1073" s="73" t="n">
        <v>215702</v>
      </c>
    </row>
    <row r="1074">
      <c r="A1074" t="n">
        <v>10304</v>
      </c>
      <c r="B1074" s="72" t="n">
        <v>45616.79861111111</v>
      </c>
      <c r="C1074" t="inlineStr">
        <is>
          <t>Antioquia</t>
        </is>
      </c>
      <c r="D1074" t="inlineStr">
        <is>
          <t>Medellín</t>
        </is>
      </c>
      <c r="E1074" t="inlineStr">
        <is>
          <t>Tecnología</t>
        </is>
      </c>
      <c r="F1074" t="inlineStr">
        <is>
          <t>App</t>
        </is>
      </c>
      <c r="G1074" t="inlineStr">
        <is>
          <t>1. Visita</t>
        </is>
      </c>
      <c r="H1074" t="n">
        <v>1</v>
      </c>
      <c r="I1074" s="73" t="n">
        <v>988600</v>
      </c>
      <c r="J1074" s="73" t="n">
        <v>1384040</v>
      </c>
      <c r="K1074" s="73" t="n">
        <v>1035268</v>
      </c>
    </row>
    <row r="1075">
      <c r="A1075" t="n">
        <v>10685</v>
      </c>
      <c r="B1075" s="72" t="n">
        <v>45616.85902777778</v>
      </c>
      <c r="C1075" t="inlineStr">
        <is>
          <t>Valle del Cauca</t>
        </is>
      </c>
      <c r="D1075" t="inlineStr">
        <is>
          <t>Cali</t>
        </is>
      </c>
      <c r="E1075" t="inlineStr">
        <is>
          <t>Juguetes</t>
        </is>
      </c>
      <c r="F1075" t="inlineStr">
        <is>
          <t>Web</t>
        </is>
      </c>
      <c r="G1075" t="inlineStr">
        <is>
          <t>1. Visita</t>
        </is>
      </c>
      <c r="H1075" t="n">
        <v>4</v>
      </c>
      <c r="I1075" s="73" t="n">
        <v>69600</v>
      </c>
      <c r="J1075" s="73" t="n">
        <v>389760</v>
      </c>
      <c r="K1075" s="73" t="n">
        <v>274150</v>
      </c>
    </row>
    <row r="1076">
      <c r="A1076" t="n">
        <v>10170</v>
      </c>
      <c r="B1076" s="72" t="n">
        <v>45616.98680555556</v>
      </c>
      <c r="C1076" t="inlineStr">
        <is>
          <t>Bogotá D.C.</t>
        </is>
      </c>
      <c r="D1076" t="inlineStr">
        <is>
          <t>Bogotá</t>
        </is>
      </c>
      <c r="E1076" t="inlineStr">
        <is>
          <t>Juguetes</t>
        </is>
      </c>
      <c r="F1076" t="inlineStr">
        <is>
          <t>Web</t>
        </is>
      </c>
      <c r="G1076" t="inlineStr">
        <is>
          <t>1. Visita</t>
        </is>
      </c>
      <c r="H1076" t="n">
        <v>4</v>
      </c>
      <c r="I1076" s="73" t="n">
        <v>67500</v>
      </c>
      <c r="J1076" s="73" t="n">
        <v>378000</v>
      </c>
      <c r="K1076" s="73" t="n">
        <v>229064</v>
      </c>
    </row>
    <row r="1077">
      <c r="A1077" t="n">
        <v>10467</v>
      </c>
      <c r="B1077" s="72" t="n">
        <v>45617.43125</v>
      </c>
      <c r="C1077" t="inlineStr">
        <is>
          <t>Bolívar</t>
        </is>
      </c>
      <c r="D1077" t="inlineStr">
        <is>
          <t>Cartagena</t>
        </is>
      </c>
      <c r="E1077" t="inlineStr">
        <is>
          <t>Juguetes</t>
        </is>
      </c>
      <c r="F1077" t="inlineStr">
        <is>
          <t>Web</t>
        </is>
      </c>
      <c r="G1077" t="inlineStr">
        <is>
          <t>1. Visita</t>
        </is>
      </c>
      <c r="H1077" t="n">
        <v>1</v>
      </c>
      <c r="I1077" s="73" t="n">
        <v>113500</v>
      </c>
      <c r="J1077" s="73" t="n">
        <v>158900</v>
      </c>
      <c r="K1077" s="73" t="n">
        <v>112864</v>
      </c>
    </row>
    <row r="1078">
      <c r="A1078" t="n">
        <v>11736</v>
      </c>
      <c r="B1078" s="72" t="n">
        <v>45617.58472222222</v>
      </c>
      <c r="C1078" t="inlineStr">
        <is>
          <t>Atlántico</t>
        </is>
      </c>
      <c r="D1078" t="inlineStr">
        <is>
          <t>Barranquilla</t>
        </is>
      </c>
      <c r="E1078" t="inlineStr">
        <is>
          <t>Belleza</t>
        </is>
      </c>
      <c r="F1078" t="inlineStr">
        <is>
          <t>Web</t>
        </is>
      </c>
      <c r="G1078" t="inlineStr">
        <is>
          <t>1. Visita</t>
        </is>
      </c>
      <c r="H1078" t="n">
        <v>1</v>
      </c>
      <c r="I1078" s="73" t="n">
        <v>63600</v>
      </c>
      <c r="J1078" s="73" t="n">
        <v>89040</v>
      </c>
      <c r="K1078" s="73" t="n">
        <v>50622</v>
      </c>
    </row>
    <row r="1079">
      <c r="A1079" t="n">
        <v>12245</v>
      </c>
      <c r="B1079" s="72" t="n">
        <v>45617.67638888889</v>
      </c>
      <c r="C1079" t="inlineStr">
        <is>
          <t>Risaralda</t>
        </is>
      </c>
      <c r="D1079" t="inlineStr">
        <is>
          <t>Pereira</t>
        </is>
      </c>
      <c r="E1079" t="inlineStr">
        <is>
          <t>Deportes</t>
        </is>
      </c>
      <c r="F1079" t="inlineStr">
        <is>
          <t>App</t>
        </is>
      </c>
      <c r="G1079" t="inlineStr">
        <is>
          <t>2. Carrito</t>
        </is>
      </c>
      <c r="H1079" t="n">
        <v>5</v>
      </c>
      <c r="I1079" s="73" t="n">
        <v>160600</v>
      </c>
      <c r="J1079" s="73" t="n">
        <v>1124200</v>
      </c>
      <c r="K1079" s="73" t="n">
        <v>731588</v>
      </c>
    </row>
    <row r="1080">
      <c r="A1080" t="n">
        <v>10197</v>
      </c>
      <c r="B1080" s="72" t="n">
        <v>45617.69375</v>
      </c>
      <c r="C1080" t="inlineStr">
        <is>
          <t>Valle del Cauca</t>
        </is>
      </c>
      <c r="D1080" t="inlineStr">
        <is>
          <t>Cali</t>
        </is>
      </c>
      <c r="E1080" t="inlineStr">
        <is>
          <t>Deportes</t>
        </is>
      </c>
      <c r="F1080" t="inlineStr">
        <is>
          <t>App</t>
        </is>
      </c>
      <c r="G1080" t="inlineStr">
        <is>
          <t>2. Carrito</t>
        </is>
      </c>
      <c r="H1080" t="n">
        <v>4</v>
      </c>
      <c r="I1080" s="73" t="n">
        <v>170600</v>
      </c>
      <c r="J1080" s="73" t="n">
        <v>955360</v>
      </c>
      <c r="K1080" s="73" t="n">
        <v>544811</v>
      </c>
    </row>
    <row r="1081">
      <c r="A1081" t="n">
        <v>11879</v>
      </c>
      <c r="B1081" s="72" t="n">
        <v>45617.97291666667</v>
      </c>
      <c r="C1081" t="inlineStr">
        <is>
          <t>Meta</t>
        </is>
      </c>
      <c r="D1081" t="inlineStr">
        <is>
          <t>Villavicencio</t>
        </is>
      </c>
      <c r="E1081" t="inlineStr">
        <is>
          <t>Deportes</t>
        </is>
      </c>
      <c r="F1081" t="inlineStr">
        <is>
          <t>App</t>
        </is>
      </c>
      <c r="G1081" t="inlineStr">
        <is>
          <t>3. Pago</t>
        </is>
      </c>
      <c r="H1081" t="n">
        <v>1</v>
      </c>
      <c r="I1081" s="73" t="n">
        <v>120300</v>
      </c>
      <c r="J1081" s="73" t="n">
        <v>168420</v>
      </c>
      <c r="K1081" s="73" t="n">
        <v>93866</v>
      </c>
    </row>
    <row r="1082">
      <c r="A1082" t="n">
        <v>12004</v>
      </c>
      <c r="B1082" s="72" t="n">
        <v>45618.32777777778</v>
      </c>
      <c r="C1082" t="inlineStr">
        <is>
          <t>Antioquia</t>
        </is>
      </c>
      <c r="D1082" t="inlineStr">
        <is>
          <t>Medellín</t>
        </is>
      </c>
      <c r="E1082" t="inlineStr">
        <is>
          <t>Tecnología</t>
        </is>
      </c>
      <c r="F1082" t="inlineStr">
        <is>
          <t>App</t>
        </is>
      </c>
      <c r="G1082" t="inlineStr">
        <is>
          <t>1. Visita</t>
        </is>
      </c>
      <c r="H1082" t="n">
        <v>4</v>
      </c>
      <c r="I1082" s="73" t="n">
        <v>978900</v>
      </c>
      <c r="J1082" s="73" t="n">
        <v>6069180</v>
      </c>
      <c r="K1082" s="73" t="n">
        <v>3478765</v>
      </c>
    </row>
    <row r="1083">
      <c r="A1083" t="n">
        <v>11942</v>
      </c>
      <c r="B1083" s="72" t="n">
        <v>45618.53194444445</v>
      </c>
      <c r="C1083" t="inlineStr">
        <is>
          <t>Bogotá D.C.</t>
        </is>
      </c>
      <c r="D1083" t="inlineStr">
        <is>
          <t>Bogotá</t>
        </is>
      </c>
      <c r="E1083" t="inlineStr">
        <is>
          <t>Hogar</t>
        </is>
      </c>
      <c r="F1083" t="inlineStr">
        <is>
          <t>Web</t>
        </is>
      </c>
      <c r="G1083" t="inlineStr">
        <is>
          <t>1. Visita</t>
        </is>
      </c>
      <c r="H1083" t="n">
        <v>5</v>
      </c>
      <c r="I1083" s="73" t="n">
        <v>169400</v>
      </c>
      <c r="J1083" s="73" t="n">
        <v>1312850</v>
      </c>
      <c r="K1083" s="73" t="n">
        <v>978432</v>
      </c>
    </row>
    <row r="1084">
      <c r="A1084" t="n">
        <v>12092</v>
      </c>
      <c r="B1084" s="72" t="n">
        <v>45618.74236111111</v>
      </c>
      <c r="C1084" t="inlineStr">
        <is>
          <t>Risaralda</t>
        </is>
      </c>
      <c r="D1084" t="inlineStr">
        <is>
          <t>Pereira</t>
        </is>
      </c>
      <c r="E1084" t="inlineStr">
        <is>
          <t>Deportes</t>
        </is>
      </c>
      <c r="F1084" t="inlineStr">
        <is>
          <t>Web</t>
        </is>
      </c>
      <c r="G1084" t="inlineStr">
        <is>
          <t>2. Carrito</t>
        </is>
      </c>
      <c r="H1084" t="n">
        <v>5</v>
      </c>
      <c r="I1084" s="73" t="n">
        <v>189600</v>
      </c>
      <c r="J1084" s="73" t="n">
        <v>1469400</v>
      </c>
      <c r="K1084" s="73" t="n">
        <v>937079</v>
      </c>
    </row>
    <row r="1085">
      <c r="A1085" t="n">
        <v>10996</v>
      </c>
      <c r="B1085" s="72" t="n">
        <v>45618.74930555555</v>
      </c>
      <c r="C1085" t="inlineStr">
        <is>
          <t>Bogotá D.C.</t>
        </is>
      </c>
      <c r="D1085" t="inlineStr">
        <is>
          <t>Bogotá</t>
        </is>
      </c>
      <c r="E1085" t="inlineStr">
        <is>
          <t>Moda</t>
        </is>
      </c>
      <c r="F1085" t="inlineStr">
        <is>
          <t>App</t>
        </is>
      </c>
      <c r="G1085" t="inlineStr">
        <is>
          <t>1. Visita</t>
        </is>
      </c>
      <c r="H1085" t="n">
        <v>3</v>
      </c>
      <c r="I1085" s="73" t="n">
        <v>110400</v>
      </c>
      <c r="J1085" s="73" t="n">
        <v>513360</v>
      </c>
      <c r="K1085" s="73" t="n">
        <v>379586</v>
      </c>
    </row>
    <row r="1086">
      <c r="A1086" t="n">
        <v>10956</v>
      </c>
      <c r="B1086" s="72" t="n">
        <v>45618.75347222222</v>
      </c>
      <c r="C1086" t="inlineStr">
        <is>
          <t>Antioquia</t>
        </is>
      </c>
      <c r="D1086" t="inlineStr">
        <is>
          <t>Medellín</t>
        </is>
      </c>
      <c r="E1086" t="inlineStr">
        <is>
          <t>Juguetes</t>
        </is>
      </c>
      <c r="F1086" t="inlineStr">
        <is>
          <t>Marketplace</t>
        </is>
      </c>
      <c r="G1086" t="inlineStr">
        <is>
          <t>1. Visita</t>
        </is>
      </c>
      <c r="H1086" t="n">
        <v>4</v>
      </c>
      <c r="I1086" s="73" t="n">
        <v>94400</v>
      </c>
      <c r="J1086" s="73" t="n">
        <v>585280</v>
      </c>
      <c r="K1086" s="73" t="n">
        <v>425138</v>
      </c>
    </row>
    <row r="1087">
      <c r="A1087" t="n">
        <v>12353</v>
      </c>
      <c r="B1087" s="72" t="n">
        <v>45618.95625</v>
      </c>
      <c r="C1087" t="inlineStr">
        <is>
          <t>Valle del Cauca</t>
        </is>
      </c>
      <c r="D1087" t="inlineStr">
        <is>
          <t>Cali</t>
        </is>
      </c>
      <c r="E1087" t="inlineStr">
        <is>
          <t>Juguetes</t>
        </is>
      </c>
      <c r="F1087" t="inlineStr">
        <is>
          <t>Web</t>
        </is>
      </c>
      <c r="G1087" t="inlineStr">
        <is>
          <t>3. Pago</t>
        </is>
      </c>
      <c r="H1087" t="n">
        <v>1</v>
      </c>
      <c r="I1087" s="73" t="n">
        <v>111700</v>
      </c>
      <c r="J1087" s="73" t="n">
        <v>173135</v>
      </c>
      <c r="K1087" s="73" t="n">
        <v>114675</v>
      </c>
    </row>
    <row r="1088">
      <c r="A1088" t="n">
        <v>10809</v>
      </c>
      <c r="B1088" s="72" t="n">
        <v>45618.98819444444</v>
      </c>
      <c r="C1088" t="inlineStr">
        <is>
          <t>Antioquia</t>
        </is>
      </c>
      <c r="D1088" t="inlineStr">
        <is>
          <t>Medellín</t>
        </is>
      </c>
      <c r="E1088" t="inlineStr">
        <is>
          <t>Hogar</t>
        </is>
      </c>
      <c r="F1088" t="inlineStr">
        <is>
          <t>App</t>
        </is>
      </c>
      <c r="G1088" t="inlineStr">
        <is>
          <t>1. Visita</t>
        </is>
      </c>
      <c r="H1088" t="n">
        <v>5</v>
      </c>
      <c r="I1088" s="73" t="n">
        <v>205300</v>
      </c>
      <c r="J1088" s="73" t="n">
        <v>1591075</v>
      </c>
      <c r="K1088" s="73" t="n">
        <v>1021403</v>
      </c>
    </row>
    <row r="1089">
      <c r="A1089" t="n">
        <v>10878</v>
      </c>
      <c r="B1089" s="72" t="n">
        <v>45619.79930555556</v>
      </c>
      <c r="C1089" t="inlineStr">
        <is>
          <t>Antioquia</t>
        </is>
      </c>
      <c r="D1089" t="inlineStr">
        <is>
          <t>Medellín</t>
        </is>
      </c>
      <c r="E1089" t="inlineStr">
        <is>
          <t>Juguetes</t>
        </is>
      </c>
      <c r="F1089" t="inlineStr">
        <is>
          <t>Tienda física</t>
        </is>
      </c>
      <c r="G1089" t="inlineStr">
        <is>
          <t>1. Visita</t>
        </is>
      </c>
      <c r="H1089" t="n">
        <v>1</v>
      </c>
      <c r="I1089" s="73" t="n">
        <v>109500</v>
      </c>
      <c r="J1089" s="73" t="n">
        <v>169725</v>
      </c>
      <c r="K1089" s="73" t="n">
        <v>102059</v>
      </c>
    </row>
    <row r="1090">
      <c r="A1090" t="n">
        <v>12341</v>
      </c>
      <c r="B1090" s="72" t="n">
        <v>45619.82152777778</v>
      </c>
      <c r="C1090" t="inlineStr">
        <is>
          <t>Valle del Cauca</t>
        </is>
      </c>
      <c r="D1090" t="inlineStr">
        <is>
          <t>Cali</t>
        </is>
      </c>
      <c r="E1090" t="inlineStr">
        <is>
          <t>Hogar</t>
        </is>
      </c>
      <c r="F1090" t="inlineStr">
        <is>
          <t>App</t>
        </is>
      </c>
      <c r="G1090" t="inlineStr">
        <is>
          <t>1. Visita</t>
        </is>
      </c>
      <c r="H1090" t="n">
        <v>1</v>
      </c>
      <c r="I1090" s="73" t="n">
        <v>237800</v>
      </c>
      <c r="J1090" s="73" t="n">
        <v>368590</v>
      </c>
      <c r="K1090" s="73" t="n">
        <v>238411</v>
      </c>
    </row>
    <row r="1091">
      <c r="A1091" t="n">
        <v>11256</v>
      </c>
      <c r="B1091" s="72" t="n">
        <v>45619.92083333333</v>
      </c>
      <c r="C1091" t="inlineStr">
        <is>
          <t>Antioquia</t>
        </is>
      </c>
      <c r="D1091" t="inlineStr">
        <is>
          <t>Medellín</t>
        </is>
      </c>
      <c r="E1091" t="inlineStr">
        <is>
          <t>Juguetes</t>
        </is>
      </c>
      <c r="F1091" t="inlineStr">
        <is>
          <t>App</t>
        </is>
      </c>
      <c r="G1091" t="inlineStr">
        <is>
          <t>2. Carrito</t>
        </is>
      </c>
      <c r="H1091" t="n">
        <v>4</v>
      </c>
      <c r="I1091" s="73" t="n">
        <v>106300</v>
      </c>
      <c r="J1091" s="73" t="n">
        <v>659060</v>
      </c>
      <c r="K1091" s="73" t="n">
        <v>449993</v>
      </c>
    </row>
    <row r="1092">
      <c r="A1092" t="n">
        <v>11291</v>
      </c>
      <c r="B1092" s="72" t="n">
        <v>45620.52916666667</v>
      </c>
      <c r="C1092" t="inlineStr">
        <is>
          <t>Bolívar</t>
        </is>
      </c>
      <c r="D1092" t="inlineStr">
        <is>
          <t>Cartagena</t>
        </is>
      </c>
      <c r="E1092" t="inlineStr">
        <is>
          <t>Deportes</t>
        </is>
      </c>
      <c r="F1092" t="inlineStr">
        <is>
          <t>App</t>
        </is>
      </c>
      <c r="G1092" t="inlineStr">
        <is>
          <t>2. Carrito</t>
        </is>
      </c>
      <c r="H1092" t="n">
        <v>2</v>
      </c>
      <c r="I1092" s="73" t="n">
        <v>115400</v>
      </c>
      <c r="J1092" s="73" t="n">
        <v>357740</v>
      </c>
      <c r="K1092" s="73" t="n">
        <v>267740</v>
      </c>
    </row>
    <row r="1093">
      <c r="A1093" t="n">
        <v>10107</v>
      </c>
      <c r="B1093" s="72" t="n">
        <v>45620.75</v>
      </c>
      <c r="C1093" t="inlineStr">
        <is>
          <t>Bogotá D.C.</t>
        </is>
      </c>
      <c r="D1093" t="inlineStr">
        <is>
          <t>Bogotá</t>
        </is>
      </c>
      <c r="E1093" t="inlineStr">
        <is>
          <t>Hogar</t>
        </is>
      </c>
      <c r="F1093" t="inlineStr">
        <is>
          <t>App</t>
        </is>
      </c>
      <c r="G1093" t="inlineStr">
        <is>
          <t>1. Visita</t>
        </is>
      </c>
      <c r="H1093" t="n">
        <v>1</v>
      </c>
      <c r="I1093" s="73" t="n">
        <v>226500</v>
      </c>
      <c r="J1093" s="73" t="n">
        <v>351075</v>
      </c>
      <c r="K1093" s="73" t="n">
        <v>211990</v>
      </c>
    </row>
    <row r="1094">
      <c r="A1094" t="n">
        <v>11259</v>
      </c>
      <c r="B1094" s="72" t="n">
        <v>45620.76736111111</v>
      </c>
      <c r="C1094" t="inlineStr">
        <is>
          <t>Huila</t>
        </is>
      </c>
      <c r="D1094" t="inlineStr">
        <is>
          <t>Neiva</t>
        </is>
      </c>
      <c r="E1094" t="inlineStr">
        <is>
          <t>Juguetes</t>
        </is>
      </c>
      <c r="F1094" t="inlineStr">
        <is>
          <t>Tienda física</t>
        </is>
      </c>
      <c r="G1094" t="inlineStr">
        <is>
          <t>1. Visita</t>
        </is>
      </c>
      <c r="H1094" t="n">
        <v>3</v>
      </c>
      <c r="I1094" s="73" t="n">
        <v>67400</v>
      </c>
      <c r="J1094" s="73" t="n">
        <v>313410</v>
      </c>
      <c r="K1094" s="73" t="n">
        <v>186834</v>
      </c>
    </row>
    <row r="1095">
      <c r="A1095" t="n">
        <v>10757</v>
      </c>
      <c r="B1095" s="72" t="n">
        <v>45620.88402777778</v>
      </c>
      <c r="C1095" t="inlineStr">
        <is>
          <t>Meta</t>
        </is>
      </c>
      <c r="D1095" t="inlineStr">
        <is>
          <t>Villavicencio</t>
        </is>
      </c>
      <c r="E1095" t="inlineStr">
        <is>
          <t>Juguetes</t>
        </is>
      </c>
      <c r="F1095" t="inlineStr">
        <is>
          <t>Web</t>
        </is>
      </c>
      <c r="G1095" t="inlineStr">
        <is>
          <t>2. Carrito</t>
        </is>
      </c>
      <c r="H1095" t="n">
        <v>5</v>
      </c>
      <c r="I1095" s="73" t="n">
        <v>75300</v>
      </c>
      <c r="J1095" s="73" t="n">
        <v>583575</v>
      </c>
      <c r="K1095" s="73" t="n">
        <v>416033</v>
      </c>
    </row>
    <row r="1096">
      <c r="A1096" t="n">
        <v>12362</v>
      </c>
      <c r="B1096" s="72" t="n">
        <v>45620.88402777778</v>
      </c>
      <c r="C1096" t="inlineStr">
        <is>
          <t>Bogotá D.C.</t>
        </is>
      </c>
      <c r="D1096" t="inlineStr">
        <is>
          <t>Bogotá</t>
        </is>
      </c>
      <c r="E1096" t="inlineStr">
        <is>
          <t>Juguetes</t>
        </is>
      </c>
      <c r="F1096" t="inlineStr">
        <is>
          <t>Web</t>
        </is>
      </c>
      <c r="G1096" t="inlineStr">
        <is>
          <t>4. Compra</t>
        </is>
      </c>
      <c r="H1096" t="n">
        <v>1</v>
      </c>
      <c r="I1096" s="73" t="n">
        <v>64300</v>
      </c>
      <c r="J1096" s="73" t="n">
        <v>99665</v>
      </c>
      <c r="K1096" s="73" t="n">
        <v>65276</v>
      </c>
    </row>
    <row r="1097">
      <c r="A1097" t="n">
        <v>11849</v>
      </c>
      <c r="B1097" s="72" t="n">
        <v>45620.98263888889</v>
      </c>
      <c r="C1097" t="inlineStr">
        <is>
          <t>Antioquia</t>
        </is>
      </c>
      <c r="D1097" t="inlineStr">
        <is>
          <t>Medellín</t>
        </is>
      </c>
      <c r="E1097" t="inlineStr">
        <is>
          <t>Moda</t>
        </is>
      </c>
      <c r="F1097" t="inlineStr">
        <is>
          <t>App</t>
        </is>
      </c>
      <c r="G1097" t="inlineStr">
        <is>
          <t>1. Visita</t>
        </is>
      </c>
      <c r="H1097" t="n">
        <v>5</v>
      </c>
      <c r="I1097" s="73" t="n">
        <v>148900</v>
      </c>
      <c r="J1097" s="73" t="n">
        <v>1153975</v>
      </c>
      <c r="K1097" s="73" t="n">
        <v>784897</v>
      </c>
    </row>
    <row r="1098">
      <c r="A1098" t="n">
        <v>11851</v>
      </c>
      <c r="B1098" s="72" t="n">
        <v>45621.22291666667</v>
      </c>
      <c r="C1098" t="inlineStr">
        <is>
          <t>Valle del Cauca</t>
        </is>
      </c>
      <c r="D1098" t="inlineStr">
        <is>
          <t>Cali</t>
        </is>
      </c>
      <c r="E1098" t="inlineStr">
        <is>
          <t>Hogar</t>
        </is>
      </c>
      <c r="F1098" t="inlineStr">
        <is>
          <t>Tienda física</t>
        </is>
      </c>
      <c r="G1098" t="inlineStr">
        <is>
          <t>1. Visita</t>
        </is>
      </c>
      <c r="H1098" t="n">
        <v>3</v>
      </c>
      <c r="I1098" s="73" t="n">
        <v>156500</v>
      </c>
      <c r="J1098" s="73" t="n">
        <v>657300</v>
      </c>
      <c r="K1098" s="73" t="n">
        <v>440020</v>
      </c>
    </row>
    <row r="1099">
      <c r="A1099" t="n">
        <v>10497</v>
      </c>
      <c r="B1099" s="72" t="n">
        <v>45621.62152777778</v>
      </c>
      <c r="C1099" t="inlineStr">
        <is>
          <t>Huila</t>
        </is>
      </c>
      <c r="D1099" t="inlineStr">
        <is>
          <t>Neiva</t>
        </is>
      </c>
      <c r="E1099" t="inlineStr">
        <is>
          <t>Juguetes</t>
        </is>
      </c>
      <c r="F1099" t="inlineStr">
        <is>
          <t>App</t>
        </is>
      </c>
      <c r="G1099" t="inlineStr">
        <is>
          <t>4. Compra</t>
        </is>
      </c>
      <c r="H1099" t="n">
        <v>5</v>
      </c>
      <c r="I1099" s="73" t="n">
        <v>85400</v>
      </c>
      <c r="J1099" s="73" t="n">
        <v>597800</v>
      </c>
      <c r="K1099" s="73" t="n">
        <v>435517</v>
      </c>
    </row>
    <row r="1100">
      <c r="A1100" t="n">
        <v>10536</v>
      </c>
      <c r="B1100" s="72" t="n">
        <v>45621.77083333334</v>
      </c>
      <c r="C1100" t="inlineStr">
        <is>
          <t>Santander</t>
        </is>
      </c>
      <c r="D1100" t="inlineStr">
        <is>
          <t>Bucaramanga</t>
        </is>
      </c>
      <c r="E1100" t="inlineStr">
        <is>
          <t>Tecnología</t>
        </is>
      </c>
      <c r="F1100" t="inlineStr">
        <is>
          <t>Web</t>
        </is>
      </c>
      <c r="G1100" t="inlineStr">
        <is>
          <t>1. Visita</t>
        </is>
      </c>
      <c r="H1100" t="n">
        <v>4</v>
      </c>
      <c r="I1100" s="73" t="n">
        <v>911300</v>
      </c>
      <c r="J1100" s="73" t="n">
        <v>5103280</v>
      </c>
      <c r="K1100" s="73" t="n">
        <v>3488492</v>
      </c>
    </row>
    <row r="1101">
      <c r="A1101" t="n">
        <v>11006</v>
      </c>
      <c r="B1101" s="72" t="n">
        <v>45622.49652777778</v>
      </c>
      <c r="C1101" t="inlineStr">
        <is>
          <t>Atlántico</t>
        </is>
      </c>
      <c r="D1101" t="inlineStr">
        <is>
          <t>Barranquilla</t>
        </is>
      </c>
      <c r="E1101" t="inlineStr">
        <is>
          <t>Moda</t>
        </is>
      </c>
      <c r="F1101" t="inlineStr">
        <is>
          <t>Tienda física</t>
        </is>
      </c>
      <c r="G1101" t="inlineStr">
        <is>
          <t>3. Pago</t>
        </is>
      </c>
      <c r="H1101" t="n">
        <v>2</v>
      </c>
      <c r="I1101" s="73" t="n">
        <v>95700</v>
      </c>
      <c r="J1101" s="73" t="n">
        <v>267960</v>
      </c>
      <c r="K1101" s="73" t="n">
        <v>196345</v>
      </c>
    </row>
    <row r="1102">
      <c r="A1102" t="n">
        <v>11729</v>
      </c>
      <c r="B1102" s="72" t="n">
        <v>45622.67986111111</v>
      </c>
      <c r="C1102" t="inlineStr">
        <is>
          <t>Valle del Cauca</t>
        </is>
      </c>
      <c r="D1102" t="inlineStr">
        <is>
          <t>Cali</t>
        </is>
      </c>
      <c r="E1102" t="inlineStr">
        <is>
          <t>Juguetes</t>
        </is>
      </c>
      <c r="F1102" t="inlineStr">
        <is>
          <t>Web</t>
        </is>
      </c>
      <c r="G1102" t="inlineStr">
        <is>
          <t>2. Carrito</t>
        </is>
      </c>
      <c r="H1102" t="n">
        <v>4</v>
      </c>
      <c r="I1102" s="73" t="n">
        <v>93600</v>
      </c>
      <c r="J1102" s="73" t="n">
        <v>524160</v>
      </c>
      <c r="K1102" s="73" t="n">
        <v>314451</v>
      </c>
    </row>
    <row r="1103">
      <c r="A1103" t="n">
        <v>10630</v>
      </c>
      <c r="B1103" s="72" t="n">
        <v>45622.77638888889</v>
      </c>
      <c r="C1103" t="inlineStr">
        <is>
          <t>Atlántico</t>
        </is>
      </c>
      <c r="D1103" t="inlineStr">
        <is>
          <t>Barranquilla</t>
        </is>
      </c>
      <c r="E1103" t="inlineStr">
        <is>
          <t>Deportes</t>
        </is>
      </c>
      <c r="F1103" t="inlineStr">
        <is>
          <t>Web</t>
        </is>
      </c>
      <c r="G1103" t="inlineStr">
        <is>
          <t>1. Visita</t>
        </is>
      </c>
      <c r="H1103" t="n">
        <v>3</v>
      </c>
      <c r="I1103" s="73" t="n">
        <v>140500</v>
      </c>
      <c r="J1103" s="73" t="n">
        <v>590100</v>
      </c>
      <c r="K1103" s="73" t="n">
        <v>326052</v>
      </c>
    </row>
    <row r="1104">
      <c r="A1104" t="n">
        <v>12107</v>
      </c>
      <c r="B1104" s="72" t="n">
        <v>45623.47291666667</v>
      </c>
      <c r="C1104" t="inlineStr">
        <is>
          <t>Bogotá D.C.</t>
        </is>
      </c>
      <c r="D1104" t="inlineStr">
        <is>
          <t>Bogotá</t>
        </is>
      </c>
      <c r="E1104" t="inlineStr">
        <is>
          <t>Juguetes</t>
        </is>
      </c>
      <c r="F1104" t="inlineStr">
        <is>
          <t>Web</t>
        </is>
      </c>
      <c r="G1104" t="inlineStr">
        <is>
          <t>1. Visita</t>
        </is>
      </c>
      <c r="H1104" t="n">
        <v>5</v>
      </c>
      <c r="I1104" s="73" t="n">
        <v>65800</v>
      </c>
      <c r="J1104" s="73" t="n">
        <v>460600</v>
      </c>
      <c r="K1104" s="73" t="n">
        <v>277726</v>
      </c>
    </row>
    <row r="1105">
      <c r="A1105" t="n">
        <v>12058</v>
      </c>
      <c r="B1105" s="72" t="n">
        <v>45623.53333333333</v>
      </c>
      <c r="C1105" t="inlineStr">
        <is>
          <t>Bogotá D.C.</t>
        </is>
      </c>
      <c r="D1105" t="inlineStr">
        <is>
          <t>Bogotá</t>
        </is>
      </c>
      <c r="E1105" t="inlineStr">
        <is>
          <t>Juguetes</t>
        </is>
      </c>
      <c r="F1105" t="inlineStr">
        <is>
          <t>Web</t>
        </is>
      </c>
      <c r="G1105" t="inlineStr">
        <is>
          <t>1. Visita</t>
        </is>
      </c>
      <c r="H1105" t="n">
        <v>4</v>
      </c>
      <c r="I1105" s="73" t="n">
        <v>90300</v>
      </c>
      <c r="J1105" s="73" t="n">
        <v>505680</v>
      </c>
      <c r="K1105" s="73" t="n">
        <v>323559</v>
      </c>
    </row>
    <row r="1106">
      <c r="A1106" t="n">
        <v>10320</v>
      </c>
      <c r="B1106" s="72" t="n">
        <v>45623.65069444444</v>
      </c>
      <c r="C1106" t="inlineStr">
        <is>
          <t>Antioquia</t>
        </is>
      </c>
      <c r="D1106" t="inlineStr">
        <is>
          <t>Medellín</t>
        </is>
      </c>
      <c r="E1106" t="inlineStr">
        <is>
          <t>Juguetes</t>
        </is>
      </c>
      <c r="F1106" t="inlineStr">
        <is>
          <t>Web</t>
        </is>
      </c>
      <c r="G1106" t="inlineStr">
        <is>
          <t>2. Carrito</t>
        </is>
      </c>
      <c r="H1106" t="n">
        <v>2</v>
      </c>
      <c r="I1106" s="73" t="n">
        <v>90400</v>
      </c>
      <c r="J1106" s="73" t="n">
        <v>253120</v>
      </c>
      <c r="K1106" s="73" t="n">
        <v>181720</v>
      </c>
    </row>
    <row r="1107">
      <c r="A1107" t="n">
        <v>11322</v>
      </c>
      <c r="B1107" s="72" t="n">
        <v>45623.69166666667</v>
      </c>
      <c r="C1107" t="inlineStr">
        <is>
          <t>Meta</t>
        </is>
      </c>
      <c r="D1107" t="inlineStr">
        <is>
          <t>Villavicencio</t>
        </is>
      </c>
      <c r="E1107" t="inlineStr">
        <is>
          <t>Tecnología</t>
        </is>
      </c>
      <c r="F1107" t="inlineStr">
        <is>
          <t>Marketplace</t>
        </is>
      </c>
      <c r="G1107" t="inlineStr">
        <is>
          <t>4. Compra</t>
        </is>
      </c>
      <c r="H1107" t="n">
        <v>1</v>
      </c>
      <c r="I1107" s="73" t="n">
        <v>781600</v>
      </c>
      <c r="J1107" s="73" t="n">
        <v>1094240</v>
      </c>
      <c r="K1107" s="73" t="n">
        <v>676905</v>
      </c>
    </row>
    <row r="1108">
      <c r="A1108" t="n">
        <v>11297</v>
      </c>
      <c r="B1108" s="72" t="n">
        <v>45623.83958333333</v>
      </c>
      <c r="C1108" t="inlineStr">
        <is>
          <t>Bogotá D.C.</t>
        </is>
      </c>
      <c r="D1108" t="inlineStr">
        <is>
          <t>Bogotá</t>
        </is>
      </c>
      <c r="E1108" t="inlineStr">
        <is>
          <t>Juguetes</t>
        </is>
      </c>
      <c r="F1108" t="inlineStr">
        <is>
          <t>Marketplace</t>
        </is>
      </c>
      <c r="G1108" t="inlineStr">
        <is>
          <t>3. Pago</t>
        </is>
      </c>
      <c r="H1108" t="n">
        <v>5</v>
      </c>
      <c r="I1108" s="73" t="n">
        <v>97000</v>
      </c>
      <c r="J1108" s="73" t="n">
        <v>679000</v>
      </c>
      <c r="K1108" s="73" t="n">
        <v>434719</v>
      </c>
    </row>
    <row r="1109">
      <c r="A1109" t="n">
        <v>10636</v>
      </c>
      <c r="B1109" s="72" t="n">
        <v>45623.94375</v>
      </c>
      <c r="C1109" t="inlineStr">
        <is>
          <t>Antioquia</t>
        </is>
      </c>
      <c r="D1109" t="inlineStr">
        <is>
          <t>Medellín</t>
        </is>
      </c>
      <c r="E1109" t="inlineStr">
        <is>
          <t>Deportes</t>
        </is>
      </c>
      <c r="F1109" t="inlineStr">
        <is>
          <t>App</t>
        </is>
      </c>
      <c r="G1109" t="inlineStr">
        <is>
          <t>3. Pago</t>
        </is>
      </c>
      <c r="H1109" t="n">
        <v>4</v>
      </c>
      <c r="I1109" s="73" t="n">
        <v>132900</v>
      </c>
      <c r="J1109" s="73" t="n">
        <v>744240</v>
      </c>
      <c r="K1109" s="73" t="n">
        <v>557459</v>
      </c>
    </row>
    <row r="1110">
      <c r="A1110" t="n">
        <v>10959</v>
      </c>
      <c r="B1110" s="72" t="n">
        <v>45623.98541666667</v>
      </c>
      <c r="C1110" t="inlineStr">
        <is>
          <t>Atlántico</t>
        </is>
      </c>
      <c r="D1110" t="inlineStr">
        <is>
          <t>Barranquilla</t>
        </is>
      </c>
      <c r="E1110" t="inlineStr">
        <is>
          <t>Belleza</t>
        </is>
      </c>
      <c r="F1110" t="inlineStr">
        <is>
          <t>Web</t>
        </is>
      </c>
      <c r="G1110" t="inlineStr">
        <is>
          <t>4. Compra</t>
        </is>
      </c>
      <c r="H1110" t="n">
        <v>1</v>
      </c>
      <c r="I1110" s="73" t="n">
        <v>57600</v>
      </c>
      <c r="J1110" s="73" t="n">
        <v>80640</v>
      </c>
      <c r="K1110" s="73" t="n">
        <v>47650</v>
      </c>
    </row>
    <row r="1111">
      <c r="A1111" t="n">
        <v>11650</v>
      </c>
      <c r="B1111" s="72" t="n">
        <v>45624.32569444444</v>
      </c>
      <c r="C1111" t="inlineStr">
        <is>
          <t>Atlántico</t>
        </is>
      </c>
      <c r="D1111" t="inlineStr">
        <is>
          <t>Barranquilla</t>
        </is>
      </c>
      <c r="E1111" t="inlineStr">
        <is>
          <t>Hogar</t>
        </is>
      </c>
      <c r="F1111" t="inlineStr">
        <is>
          <t>Tienda física</t>
        </is>
      </c>
      <c r="G1111" t="inlineStr">
        <is>
          <t>1. Visita</t>
        </is>
      </c>
      <c r="H1111" t="n">
        <v>3</v>
      </c>
      <c r="I1111" s="73" t="n">
        <v>248400</v>
      </c>
      <c r="J1111" s="73" t="n">
        <v>1043280</v>
      </c>
      <c r="K1111" s="73" t="n">
        <v>776003</v>
      </c>
    </row>
    <row r="1112">
      <c r="A1112" t="n">
        <v>10615</v>
      </c>
      <c r="B1112" s="72" t="n">
        <v>45624.45555555556</v>
      </c>
      <c r="C1112" t="inlineStr">
        <is>
          <t>Santander</t>
        </is>
      </c>
      <c r="D1112" t="inlineStr">
        <is>
          <t>Bucaramanga</t>
        </is>
      </c>
      <c r="E1112" t="inlineStr">
        <is>
          <t>Moda</t>
        </is>
      </c>
      <c r="F1112" t="inlineStr">
        <is>
          <t>App</t>
        </is>
      </c>
      <c r="G1112" t="inlineStr">
        <is>
          <t>3. Pago</t>
        </is>
      </c>
      <c r="H1112" t="n">
        <v>2</v>
      </c>
      <c r="I1112" s="73" t="n">
        <v>137400</v>
      </c>
      <c r="J1112" s="73" t="n">
        <v>384720</v>
      </c>
      <c r="K1112" s="73" t="n">
        <v>287786</v>
      </c>
    </row>
    <row r="1113">
      <c r="A1113" t="n">
        <v>10634</v>
      </c>
      <c r="B1113" s="72" t="n">
        <v>45624.59236111111</v>
      </c>
      <c r="C1113" t="inlineStr">
        <is>
          <t>Antioquia</t>
        </is>
      </c>
      <c r="D1113" t="inlineStr">
        <is>
          <t>Medellín</t>
        </is>
      </c>
      <c r="E1113" t="inlineStr">
        <is>
          <t>Deportes</t>
        </is>
      </c>
      <c r="F1113" t="inlineStr">
        <is>
          <t>Marketplace</t>
        </is>
      </c>
      <c r="G1113" t="inlineStr">
        <is>
          <t>4. Compra</t>
        </is>
      </c>
      <c r="H1113" t="n">
        <v>3</v>
      </c>
      <c r="I1113" s="73" t="n">
        <v>166700</v>
      </c>
      <c r="J1113" s="73" t="n">
        <v>700140</v>
      </c>
      <c r="K1113" s="73" t="n">
        <v>477345</v>
      </c>
    </row>
    <row r="1114">
      <c r="A1114" t="n">
        <v>11957</v>
      </c>
      <c r="B1114" s="72" t="n">
        <v>45624.66527777778</v>
      </c>
      <c r="C1114" t="inlineStr">
        <is>
          <t>Bogotá D.C.</t>
        </is>
      </c>
      <c r="D1114" t="inlineStr">
        <is>
          <t>Bogotá</t>
        </is>
      </c>
      <c r="E1114" t="inlineStr">
        <is>
          <t>Belleza</t>
        </is>
      </c>
      <c r="F1114" t="inlineStr">
        <is>
          <t>Marketplace</t>
        </is>
      </c>
      <c r="G1114" t="inlineStr">
        <is>
          <t>4. Compra</t>
        </is>
      </c>
      <c r="H1114" t="n">
        <v>2</v>
      </c>
      <c r="I1114" s="73" t="n">
        <v>86300</v>
      </c>
      <c r="J1114" s="73" t="n">
        <v>241640</v>
      </c>
      <c r="K1114" s="73" t="n">
        <v>137638</v>
      </c>
    </row>
    <row r="1115">
      <c r="A1115" t="n">
        <v>11842</v>
      </c>
      <c r="B1115" s="72" t="n">
        <v>45624.70833333334</v>
      </c>
      <c r="C1115" t="inlineStr">
        <is>
          <t>Valle del Cauca</t>
        </is>
      </c>
      <c r="D1115" t="inlineStr">
        <is>
          <t>Cali</t>
        </is>
      </c>
      <c r="E1115" t="inlineStr">
        <is>
          <t>Tecnología</t>
        </is>
      </c>
      <c r="F1115" t="inlineStr">
        <is>
          <t>Tienda física</t>
        </is>
      </c>
      <c r="G1115" t="inlineStr">
        <is>
          <t>3. Pago</t>
        </is>
      </c>
      <c r="H1115" t="n">
        <v>4</v>
      </c>
      <c r="I1115" s="73" t="n">
        <v>748700</v>
      </c>
      <c r="J1115" s="73" t="n">
        <v>4192720</v>
      </c>
      <c r="K1115" s="73" t="n">
        <v>2691894</v>
      </c>
    </row>
    <row r="1116">
      <c r="A1116" t="n">
        <v>11157</v>
      </c>
      <c r="B1116" s="72" t="n">
        <v>45624.73888888889</v>
      </c>
      <c r="C1116" t="inlineStr">
        <is>
          <t>Bogotá D.C.</t>
        </is>
      </c>
      <c r="D1116" t="inlineStr">
        <is>
          <t>Bogotá</t>
        </is>
      </c>
      <c r="E1116" t="inlineStr">
        <is>
          <t>Hogar</t>
        </is>
      </c>
      <c r="F1116" t="inlineStr">
        <is>
          <t>Tienda física</t>
        </is>
      </c>
      <c r="G1116" t="inlineStr">
        <is>
          <t>2. Carrito</t>
        </is>
      </c>
      <c r="H1116" t="n">
        <v>3</v>
      </c>
      <c r="I1116" s="73" t="n">
        <v>261600</v>
      </c>
      <c r="J1116" s="73" t="n">
        <v>1098720</v>
      </c>
      <c r="K1116" s="73" t="n">
        <v>698673</v>
      </c>
    </row>
    <row r="1117">
      <c r="A1117" t="n">
        <v>11909</v>
      </c>
      <c r="B1117" s="72" t="n">
        <v>45624.86666666667</v>
      </c>
      <c r="C1117" t="inlineStr">
        <is>
          <t>Valle del Cauca</t>
        </is>
      </c>
      <c r="D1117" t="inlineStr">
        <is>
          <t>Cali</t>
        </is>
      </c>
      <c r="E1117" t="inlineStr">
        <is>
          <t>Deportes</t>
        </is>
      </c>
      <c r="F1117" t="inlineStr">
        <is>
          <t>Tienda física</t>
        </is>
      </c>
      <c r="G1117" t="inlineStr">
        <is>
          <t>3. Pago</t>
        </is>
      </c>
      <c r="H1117" t="n">
        <v>2</v>
      </c>
      <c r="I1117" s="73" t="n">
        <v>171800</v>
      </c>
      <c r="J1117" s="73" t="n">
        <v>481040</v>
      </c>
      <c r="K1117" s="73" t="n">
        <v>272944</v>
      </c>
    </row>
    <row r="1118">
      <c r="A1118" t="n">
        <v>10217</v>
      </c>
      <c r="B1118" s="72" t="n">
        <v>45625.32152777778</v>
      </c>
      <c r="C1118" t="inlineStr">
        <is>
          <t>Bolívar</t>
        </is>
      </c>
      <c r="D1118" t="inlineStr">
        <is>
          <t>Cartagena</t>
        </is>
      </c>
      <c r="E1118" t="inlineStr">
        <is>
          <t>Juguetes</t>
        </is>
      </c>
      <c r="F1118" t="inlineStr">
        <is>
          <t>App</t>
        </is>
      </c>
      <c r="G1118" t="inlineStr">
        <is>
          <t>1. Visita</t>
        </is>
      </c>
      <c r="H1118" t="n">
        <v>5</v>
      </c>
      <c r="I1118" s="73" t="n">
        <v>110600</v>
      </c>
      <c r="J1118" s="73" t="n">
        <v>857150</v>
      </c>
      <c r="K1118" s="73" t="n">
        <v>620145</v>
      </c>
    </row>
    <row r="1119">
      <c r="A1119" t="n">
        <v>11072</v>
      </c>
      <c r="B1119" s="72" t="n">
        <v>45625.3625</v>
      </c>
      <c r="C1119" t="inlineStr">
        <is>
          <t>Bogotá D.C.</t>
        </is>
      </c>
      <c r="D1119" t="inlineStr">
        <is>
          <t>Bogotá</t>
        </is>
      </c>
      <c r="E1119" t="inlineStr">
        <is>
          <t>Belleza</t>
        </is>
      </c>
      <c r="F1119" t="inlineStr">
        <is>
          <t>Web</t>
        </is>
      </c>
      <c r="G1119" t="inlineStr">
        <is>
          <t>1. Visita</t>
        </is>
      </c>
      <c r="H1119" t="n">
        <v>3</v>
      </c>
      <c r="I1119" s="73" t="n">
        <v>75000</v>
      </c>
      <c r="J1119" s="73" t="n">
        <v>348750</v>
      </c>
      <c r="K1119" s="73" t="n">
        <v>197284</v>
      </c>
    </row>
    <row r="1120">
      <c r="A1120" t="n">
        <v>12332</v>
      </c>
      <c r="B1120" s="72" t="n">
        <v>45625.45138888889</v>
      </c>
      <c r="C1120" t="inlineStr">
        <is>
          <t>Meta</t>
        </is>
      </c>
      <c r="D1120" t="inlineStr">
        <is>
          <t>Villavicencio</t>
        </is>
      </c>
      <c r="E1120" t="inlineStr">
        <is>
          <t>Hogar</t>
        </is>
      </c>
      <c r="F1120" t="inlineStr">
        <is>
          <t>Tienda física</t>
        </is>
      </c>
      <c r="G1120" t="inlineStr">
        <is>
          <t>1. Visita</t>
        </is>
      </c>
      <c r="H1120" t="n">
        <v>1</v>
      </c>
      <c r="I1120" s="73" t="n">
        <v>240700</v>
      </c>
      <c r="J1120" s="73" t="n">
        <v>373085</v>
      </c>
      <c r="K1120" s="73" t="n">
        <v>219542</v>
      </c>
    </row>
    <row r="1121">
      <c r="A1121" t="n">
        <v>11339</v>
      </c>
      <c r="B1121" s="72" t="n">
        <v>45625.59444444445</v>
      </c>
      <c r="C1121" t="inlineStr">
        <is>
          <t>Nariño</t>
        </is>
      </c>
      <c r="D1121" t="inlineStr">
        <is>
          <t>Pasto</t>
        </is>
      </c>
      <c r="E1121" t="inlineStr">
        <is>
          <t>Deportes</t>
        </is>
      </c>
      <c r="F1121" t="inlineStr">
        <is>
          <t>Tienda física</t>
        </is>
      </c>
      <c r="G1121" t="inlineStr">
        <is>
          <t>1. Visita</t>
        </is>
      </c>
      <c r="H1121" t="n">
        <v>5</v>
      </c>
      <c r="I1121" s="73" t="n">
        <v>207500</v>
      </c>
      <c r="J1121" s="73" t="n">
        <v>1608125</v>
      </c>
      <c r="K1121" s="73" t="n">
        <v>1199810</v>
      </c>
    </row>
    <row r="1122">
      <c r="A1122" t="n">
        <v>11406</v>
      </c>
      <c r="B1122" s="72" t="n">
        <v>45625.63402777778</v>
      </c>
      <c r="C1122" t="inlineStr">
        <is>
          <t>Valle del Cauca</t>
        </is>
      </c>
      <c r="D1122" t="inlineStr">
        <is>
          <t>Cali</t>
        </is>
      </c>
      <c r="E1122" t="inlineStr">
        <is>
          <t>Tecnología</t>
        </is>
      </c>
      <c r="F1122" t="inlineStr">
        <is>
          <t>Marketplace</t>
        </is>
      </c>
      <c r="G1122" t="inlineStr">
        <is>
          <t>2. Carrito</t>
        </is>
      </c>
      <c r="H1122" t="n">
        <v>1</v>
      </c>
      <c r="I1122" s="73" t="n">
        <v>901600</v>
      </c>
      <c r="J1122" s="73" t="n">
        <v>1397480</v>
      </c>
      <c r="K1122" s="73" t="n">
        <v>958719</v>
      </c>
    </row>
    <row r="1123">
      <c r="A1123" t="n">
        <v>12336</v>
      </c>
      <c r="B1123" s="72" t="n">
        <v>45625.86736111111</v>
      </c>
      <c r="C1123" t="inlineStr">
        <is>
          <t>Bogotá D.C.</t>
        </is>
      </c>
      <c r="D1123" t="inlineStr">
        <is>
          <t>Bogotá</t>
        </is>
      </c>
      <c r="E1123" t="inlineStr">
        <is>
          <t>Hogar</t>
        </is>
      </c>
      <c r="F1123" t="inlineStr">
        <is>
          <t>Web</t>
        </is>
      </c>
      <c r="G1123" t="inlineStr">
        <is>
          <t>1. Visita</t>
        </is>
      </c>
      <c r="H1123" t="n">
        <v>5</v>
      </c>
      <c r="I1123" s="73" t="n">
        <v>207900</v>
      </c>
      <c r="J1123" s="73" t="n">
        <v>1611225</v>
      </c>
      <c r="K1123" s="73" t="n">
        <v>1153325</v>
      </c>
    </row>
    <row r="1124">
      <c r="A1124" t="n">
        <v>10516</v>
      </c>
      <c r="B1124" s="72" t="n">
        <v>45626.69513888889</v>
      </c>
      <c r="C1124" t="inlineStr">
        <is>
          <t>Meta</t>
        </is>
      </c>
      <c r="D1124" t="inlineStr">
        <is>
          <t>Villavicencio</t>
        </is>
      </c>
      <c r="E1124" t="inlineStr">
        <is>
          <t>Juguetes</t>
        </is>
      </c>
      <c r="F1124" t="inlineStr">
        <is>
          <t>Tienda física</t>
        </is>
      </c>
      <c r="G1124" t="inlineStr">
        <is>
          <t>1. Visita</t>
        </is>
      </c>
      <c r="H1124" t="n">
        <v>1</v>
      </c>
      <c r="I1124" s="73" t="n">
        <v>84800</v>
      </c>
      <c r="J1124" s="73" t="n">
        <v>131440</v>
      </c>
      <c r="K1124" s="73" t="n">
        <v>75817</v>
      </c>
    </row>
    <row r="1125">
      <c r="A1125" t="n">
        <v>11724</v>
      </c>
      <c r="B1125" s="72" t="n">
        <v>45626.72708333333</v>
      </c>
      <c r="C1125" t="inlineStr">
        <is>
          <t>Bogotá D.C.</t>
        </is>
      </c>
      <c r="D1125" t="inlineStr">
        <is>
          <t>Bogotá</t>
        </is>
      </c>
      <c r="E1125" t="inlineStr">
        <is>
          <t>Moda</t>
        </is>
      </c>
      <c r="F1125" t="inlineStr">
        <is>
          <t>App</t>
        </is>
      </c>
      <c r="G1125" t="inlineStr">
        <is>
          <t>3. Pago</t>
        </is>
      </c>
      <c r="H1125" t="n">
        <v>4</v>
      </c>
      <c r="I1125" s="73" t="n">
        <v>135900</v>
      </c>
      <c r="J1125" s="73" t="n">
        <v>842580</v>
      </c>
      <c r="K1125" s="73" t="n">
        <v>556834</v>
      </c>
    </row>
    <row r="1126">
      <c r="A1126" t="n">
        <v>10111</v>
      </c>
      <c r="B1126" s="72" t="n">
        <v>45626.97152777778</v>
      </c>
      <c r="C1126" t="inlineStr">
        <is>
          <t>Meta</t>
        </is>
      </c>
      <c r="D1126" t="inlineStr">
        <is>
          <t>Villavicencio</t>
        </is>
      </c>
      <c r="E1126" t="inlineStr">
        <is>
          <t>Belleza</t>
        </is>
      </c>
      <c r="F1126" t="inlineStr">
        <is>
          <t>Web</t>
        </is>
      </c>
      <c r="G1126" t="inlineStr">
        <is>
          <t>1. Visita</t>
        </is>
      </c>
      <c r="H1126" t="n">
        <v>4</v>
      </c>
      <c r="I1126" s="73" t="n">
        <v>54600</v>
      </c>
      <c r="J1126" s="73" t="n">
        <v>338520</v>
      </c>
      <c r="K1126" s="73" t="n">
        <v>250128</v>
      </c>
    </row>
    <row r="1127">
      <c r="A1127" t="n">
        <v>10259</v>
      </c>
      <c r="B1127" s="72" t="n">
        <v>45627.50763888889</v>
      </c>
      <c r="C1127" t="inlineStr">
        <is>
          <t>Risaralda</t>
        </is>
      </c>
      <c r="D1127" t="inlineStr">
        <is>
          <t>Pereira</t>
        </is>
      </c>
      <c r="E1127" t="inlineStr">
        <is>
          <t>Juguetes</t>
        </is>
      </c>
      <c r="F1127" t="inlineStr">
        <is>
          <t>Tienda física</t>
        </is>
      </c>
      <c r="G1127" t="inlineStr">
        <is>
          <t>1. Visita</t>
        </is>
      </c>
      <c r="H1127" t="n">
        <v>3</v>
      </c>
      <c r="I1127" s="73" t="n">
        <v>69800</v>
      </c>
      <c r="J1127" s="73" t="n">
        <v>324570</v>
      </c>
      <c r="K1127" s="73" t="n">
        <v>211952</v>
      </c>
    </row>
    <row r="1128">
      <c r="A1128" t="n">
        <v>11735</v>
      </c>
      <c r="B1128" s="72" t="n">
        <v>45627.60208333333</v>
      </c>
      <c r="C1128" t="inlineStr">
        <is>
          <t>Bogotá D.C.</t>
        </is>
      </c>
      <c r="D1128" t="inlineStr">
        <is>
          <t>Bogotá</t>
        </is>
      </c>
      <c r="E1128" t="inlineStr">
        <is>
          <t>Juguetes</t>
        </is>
      </c>
      <c r="F1128" t="inlineStr">
        <is>
          <t>Marketplace</t>
        </is>
      </c>
      <c r="G1128" t="inlineStr">
        <is>
          <t>1. Visita</t>
        </is>
      </c>
      <c r="H1128" t="n">
        <v>3</v>
      </c>
      <c r="I1128" s="73" t="n">
        <v>89000</v>
      </c>
      <c r="J1128" s="73" t="n">
        <v>413850</v>
      </c>
      <c r="K1128" s="73" t="n">
        <v>305114</v>
      </c>
    </row>
    <row r="1129">
      <c r="A1129" t="n">
        <v>10283</v>
      </c>
      <c r="B1129" s="72" t="n">
        <v>45627.70069444444</v>
      </c>
      <c r="C1129" t="inlineStr">
        <is>
          <t>Nariño</t>
        </is>
      </c>
      <c r="D1129" t="inlineStr">
        <is>
          <t>Pasto</t>
        </is>
      </c>
      <c r="E1129" t="inlineStr">
        <is>
          <t>Hogar</t>
        </is>
      </c>
      <c r="F1129" t="inlineStr">
        <is>
          <t>Tienda física</t>
        </is>
      </c>
      <c r="G1129" t="inlineStr">
        <is>
          <t>2. Carrito</t>
        </is>
      </c>
      <c r="H1129" t="n">
        <v>4</v>
      </c>
      <c r="I1129" s="73" t="n">
        <v>193200</v>
      </c>
      <c r="J1129" s="73" t="n">
        <v>1197840</v>
      </c>
      <c r="K1129" s="73" t="n">
        <v>822479</v>
      </c>
    </row>
    <row r="1130">
      <c r="A1130" t="n">
        <v>10234</v>
      </c>
      <c r="B1130" s="72" t="n">
        <v>45628.43819444445</v>
      </c>
      <c r="C1130" t="inlineStr">
        <is>
          <t>Valle del Cauca</t>
        </is>
      </c>
      <c r="D1130" t="inlineStr">
        <is>
          <t>Cali</t>
        </is>
      </c>
      <c r="E1130" t="inlineStr">
        <is>
          <t>Belleza</t>
        </is>
      </c>
      <c r="F1130" t="inlineStr">
        <is>
          <t>Web</t>
        </is>
      </c>
      <c r="G1130" t="inlineStr">
        <is>
          <t>2. Carrito</t>
        </is>
      </c>
      <c r="H1130" t="n">
        <v>5</v>
      </c>
      <c r="I1130" s="73" t="n">
        <v>52100</v>
      </c>
      <c r="J1130" s="73" t="n">
        <v>364700</v>
      </c>
      <c r="K1130" s="73" t="n">
        <v>203951</v>
      </c>
    </row>
    <row r="1131">
      <c r="A1131" t="n">
        <v>10621</v>
      </c>
      <c r="B1131" s="72" t="n">
        <v>45628.63888888889</v>
      </c>
      <c r="C1131" t="inlineStr">
        <is>
          <t>Bogotá D.C.</t>
        </is>
      </c>
      <c r="D1131" t="inlineStr">
        <is>
          <t>Bogotá</t>
        </is>
      </c>
      <c r="E1131" t="inlineStr">
        <is>
          <t>Deportes</t>
        </is>
      </c>
      <c r="F1131" t="inlineStr">
        <is>
          <t>App</t>
        </is>
      </c>
      <c r="G1131" t="inlineStr">
        <is>
          <t>3. Pago</t>
        </is>
      </c>
      <c r="H1131" t="n">
        <v>4</v>
      </c>
      <c r="I1131" s="73" t="n">
        <v>126700</v>
      </c>
      <c r="J1131" s="73" t="n">
        <v>709520</v>
      </c>
      <c r="K1131" s="73" t="n">
        <v>430791</v>
      </c>
    </row>
    <row r="1132">
      <c r="A1132" t="n">
        <v>10997</v>
      </c>
      <c r="B1132" s="72" t="n">
        <v>45628.64513888889</v>
      </c>
      <c r="C1132" t="inlineStr">
        <is>
          <t>Antioquia</t>
        </is>
      </c>
      <c r="D1132" t="inlineStr">
        <is>
          <t>Medellín</t>
        </is>
      </c>
      <c r="E1132" t="inlineStr">
        <is>
          <t>Tecnología</t>
        </is>
      </c>
      <c r="F1132" t="inlineStr">
        <is>
          <t>App</t>
        </is>
      </c>
      <c r="G1132" t="inlineStr">
        <is>
          <t>1. Visita</t>
        </is>
      </c>
      <c r="H1132" t="n">
        <v>2</v>
      </c>
      <c r="I1132" s="73" t="n">
        <v>699100</v>
      </c>
      <c r="J1132" s="73" t="n">
        <v>1957480</v>
      </c>
      <c r="K1132" s="73" t="n">
        <v>1195459</v>
      </c>
    </row>
    <row r="1133">
      <c r="A1133" t="n">
        <v>10374</v>
      </c>
      <c r="B1133" s="72" t="n">
        <v>45628.85694444444</v>
      </c>
      <c r="C1133" t="inlineStr">
        <is>
          <t>Antioquia</t>
        </is>
      </c>
      <c r="D1133" t="inlineStr">
        <is>
          <t>Medellín</t>
        </is>
      </c>
      <c r="E1133" t="inlineStr">
        <is>
          <t>Moda</t>
        </is>
      </c>
      <c r="F1133" t="inlineStr">
        <is>
          <t>Web</t>
        </is>
      </c>
      <c r="G1133" t="inlineStr">
        <is>
          <t>1. Visita</t>
        </is>
      </c>
      <c r="H1133" t="n">
        <v>4</v>
      </c>
      <c r="I1133" s="73" t="n">
        <v>100200</v>
      </c>
      <c r="J1133" s="73" t="n">
        <v>561120</v>
      </c>
      <c r="K1133" s="73" t="n">
        <v>326993</v>
      </c>
    </row>
    <row r="1134">
      <c r="A1134" t="n">
        <v>10800</v>
      </c>
      <c r="B1134" s="72" t="n">
        <v>45629.79305555556</v>
      </c>
      <c r="C1134" t="inlineStr">
        <is>
          <t>Valle del Cauca</t>
        </is>
      </c>
      <c r="D1134" t="inlineStr">
        <is>
          <t>Cali</t>
        </is>
      </c>
      <c r="E1134" t="inlineStr">
        <is>
          <t>Belleza</t>
        </is>
      </c>
      <c r="F1134" t="inlineStr">
        <is>
          <t>App</t>
        </is>
      </c>
      <c r="G1134" t="inlineStr">
        <is>
          <t>1. Visita</t>
        </is>
      </c>
      <c r="H1134" t="n">
        <v>3</v>
      </c>
      <c r="I1134" s="73" t="n">
        <v>60300</v>
      </c>
      <c r="J1134" s="73" t="n">
        <v>253260</v>
      </c>
      <c r="K1134" s="73" t="n">
        <v>157616</v>
      </c>
    </row>
    <row r="1135">
      <c r="A1135" t="n">
        <v>10084</v>
      </c>
      <c r="B1135" s="72" t="n">
        <v>45630.76388888889</v>
      </c>
      <c r="C1135" t="inlineStr">
        <is>
          <t>Valle del Cauca</t>
        </is>
      </c>
      <c r="D1135" t="inlineStr">
        <is>
          <t>Cali</t>
        </is>
      </c>
      <c r="E1135" t="inlineStr">
        <is>
          <t>Juguetes</t>
        </is>
      </c>
      <c r="F1135" t="inlineStr">
        <is>
          <t>Web</t>
        </is>
      </c>
      <c r="G1135" t="inlineStr">
        <is>
          <t>3. Pago</t>
        </is>
      </c>
      <c r="H1135" t="n">
        <v>3</v>
      </c>
      <c r="I1135" s="73" t="n">
        <v>69100</v>
      </c>
      <c r="J1135" s="73" t="n">
        <v>290220</v>
      </c>
      <c r="K1135" s="73" t="n">
        <v>216039</v>
      </c>
    </row>
    <row r="1136">
      <c r="A1136" t="n">
        <v>11155</v>
      </c>
      <c r="B1136" s="72" t="n">
        <v>45630.80833333333</v>
      </c>
      <c r="C1136" t="inlineStr">
        <is>
          <t>Bolívar</t>
        </is>
      </c>
      <c r="D1136" t="inlineStr">
        <is>
          <t>Cartagena</t>
        </is>
      </c>
      <c r="E1136" t="inlineStr">
        <is>
          <t>Hogar</t>
        </is>
      </c>
      <c r="F1136" t="inlineStr">
        <is>
          <t>App</t>
        </is>
      </c>
      <c r="G1136" t="inlineStr">
        <is>
          <t>2. Carrito</t>
        </is>
      </c>
      <c r="H1136" t="n">
        <v>1</v>
      </c>
      <c r="I1136" s="73" t="n">
        <v>230900</v>
      </c>
      <c r="J1136" s="73" t="n">
        <v>323260</v>
      </c>
      <c r="K1136" s="73" t="n">
        <v>194701</v>
      </c>
    </row>
    <row r="1137">
      <c r="A1137" t="n">
        <v>11466</v>
      </c>
      <c r="B1137" s="72" t="n">
        <v>45630.95694444444</v>
      </c>
      <c r="C1137" t="inlineStr">
        <is>
          <t>Bogotá D.C.</t>
        </is>
      </c>
      <c r="D1137" t="inlineStr">
        <is>
          <t>Bogotá</t>
        </is>
      </c>
      <c r="E1137" t="inlineStr">
        <is>
          <t>Deportes</t>
        </is>
      </c>
      <c r="F1137" t="inlineStr">
        <is>
          <t>Web</t>
        </is>
      </c>
      <c r="G1137" t="inlineStr">
        <is>
          <t>1. Visita</t>
        </is>
      </c>
      <c r="H1137" t="n">
        <v>3</v>
      </c>
      <c r="I1137" s="73" t="n">
        <v>190400</v>
      </c>
      <c r="J1137" s="73" t="n">
        <v>799680</v>
      </c>
      <c r="K1137" s="73" t="n">
        <v>466861</v>
      </c>
    </row>
    <row r="1138">
      <c r="A1138" t="n">
        <v>11914</v>
      </c>
      <c r="B1138" s="72" t="n">
        <v>45631.43611111111</v>
      </c>
      <c r="C1138" t="inlineStr">
        <is>
          <t>Valle del Cauca</t>
        </is>
      </c>
      <c r="D1138" t="inlineStr">
        <is>
          <t>Cali</t>
        </is>
      </c>
      <c r="E1138" t="inlineStr">
        <is>
          <t>Hogar</t>
        </is>
      </c>
      <c r="F1138" t="inlineStr">
        <is>
          <t>App</t>
        </is>
      </c>
      <c r="G1138" t="inlineStr">
        <is>
          <t>1. Visita</t>
        </is>
      </c>
      <c r="H1138" t="n">
        <v>3</v>
      </c>
      <c r="I1138" s="73" t="n">
        <v>168000</v>
      </c>
      <c r="J1138" s="73" t="n">
        <v>705600</v>
      </c>
      <c r="K1138" s="73" t="n">
        <v>487913</v>
      </c>
    </row>
    <row r="1139">
      <c r="A1139" t="n">
        <v>12351</v>
      </c>
      <c r="B1139" s="72" t="n">
        <v>45631.54583333333</v>
      </c>
      <c r="C1139" t="inlineStr">
        <is>
          <t>Bogotá D.C.</t>
        </is>
      </c>
      <c r="D1139" t="inlineStr">
        <is>
          <t>Bogotá</t>
        </is>
      </c>
      <c r="E1139" t="inlineStr">
        <is>
          <t>Juguetes</t>
        </is>
      </c>
      <c r="F1139" t="inlineStr">
        <is>
          <t>Tienda física</t>
        </is>
      </c>
      <c r="G1139" t="inlineStr">
        <is>
          <t>2. Carrito</t>
        </is>
      </c>
      <c r="H1139" t="n">
        <v>3</v>
      </c>
      <c r="I1139" s="73" t="n">
        <v>77200</v>
      </c>
      <c r="J1139" s="73" t="n">
        <v>324240</v>
      </c>
      <c r="K1139" s="73" t="n">
        <v>192719</v>
      </c>
    </row>
    <row r="1140">
      <c r="A1140" t="n">
        <v>11313</v>
      </c>
      <c r="B1140" s="72" t="n">
        <v>45631.57847222222</v>
      </c>
      <c r="C1140" t="inlineStr">
        <is>
          <t>Bogotá D.C.</t>
        </is>
      </c>
      <c r="D1140" t="inlineStr">
        <is>
          <t>Bogotá</t>
        </is>
      </c>
      <c r="E1140" t="inlineStr">
        <is>
          <t>Hogar</t>
        </is>
      </c>
      <c r="F1140" t="inlineStr">
        <is>
          <t>Web</t>
        </is>
      </c>
      <c r="G1140" t="inlineStr">
        <is>
          <t>2. Carrito</t>
        </is>
      </c>
      <c r="H1140" t="n">
        <v>1</v>
      </c>
      <c r="I1140" s="73" t="n">
        <v>190300</v>
      </c>
      <c r="J1140" s="73" t="n">
        <v>266420</v>
      </c>
      <c r="K1140" s="73" t="n">
        <v>168025</v>
      </c>
    </row>
    <row r="1141">
      <c r="A1141" t="n">
        <v>10415</v>
      </c>
      <c r="B1141" s="72" t="n">
        <v>45631.59305555555</v>
      </c>
      <c r="C1141" t="inlineStr">
        <is>
          <t>Valle del Cauca</t>
        </is>
      </c>
      <c r="D1141" t="inlineStr">
        <is>
          <t>Cali</t>
        </is>
      </c>
      <c r="E1141" t="inlineStr">
        <is>
          <t>Moda</t>
        </is>
      </c>
      <c r="F1141" t="inlineStr">
        <is>
          <t>Web</t>
        </is>
      </c>
      <c r="G1141" t="inlineStr">
        <is>
          <t>1. Visita</t>
        </is>
      </c>
      <c r="H1141" t="n">
        <v>4</v>
      </c>
      <c r="I1141" s="73" t="n">
        <v>120800</v>
      </c>
      <c r="J1141" s="73" t="n">
        <v>676480</v>
      </c>
      <c r="K1141" s="73" t="n">
        <v>418065</v>
      </c>
    </row>
    <row r="1142">
      <c r="A1142" t="n">
        <v>12076</v>
      </c>
      <c r="B1142" s="72" t="n">
        <v>45631.8</v>
      </c>
      <c r="C1142" t="inlineStr">
        <is>
          <t>Bolívar</t>
        </is>
      </c>
      <c r="D1142" t="inlineStr">
        <is>
          <t>Cartagena</t>
        </is>
      </c>
      <c r="E1142" t="inlineStr">
        <is>
          <t>Juguetes</t>
        </is>
      </c>
      <c r="F1142" t="inlineStr">
        <is>
          <t>Web</t>
        </is>
      </c>
      <c r="G1142" t="inlineStr">
        <is>
          <t>3. Pago</t>
        </is>
      </c>
      <c r="H1142" t="n">
        <v>1</v>
      </c>
      <c r="I1142" s="73" t="n">
        <v>80600</v>
      </c>
      <c r="J1142" s="73" t="n">
        <v>112840</v>
      </c>
      <c r="K1142" s="73" t="n">
        <v>83562</v>
      </c>
    </row>
    <row r="1143">
      <c r="A1143" t="n">
        <v>12252</v>
      </c>
      <c r="B1143" s="72" t="n">
        <v>45631.80763888889</v>
      </c>
      <c r="C1143" t="inlineStr">
        <is>
          <t>Bogotá D.C.</t>
        </is>
      </c>
      <c r="D1143" t="inlineStr">
        <is>
          <t>Bogotá</t>
        </is>
      </c>
      <c r="E1143" t="inlineStr">
        <is>
          <t>Belleza</t>
        </is>
      </c>
      <c r="F1143" t="inlineStr">
        <is>
          <t>Web</t>
        </is>
      </c>
      <c r="G1143" t="inlineStr">
        <is>
          <t>1. Visita</t>
        </is>
      </c>
      <c r="H1143" t="n">
        <v>2</v>
      </c>
      <c r="I1143" s="73" t="n">
        <v>58800</v>
      </c>
      <c r="J1143" s="73" t="n">
        <v>164640</v>
      </c>
      <c r="K1143" s="73" t="n">
        <v>121886</v>
      </c>
    </row>
    <row r="1144">
      <c r="A1144" t="n">
        <v>10958</v>
      </c>
      <c r="B1144" s="72" t="n">
        <v>45631.83402777778</v>
      </c>
      <c r="C1144" t="inlineStr">
        <is>
          <t>Bolívar</t>
        </is>
      </c>
      <c r="D1144" t="inlineStr">
        <is>
          <t>Cartagena</t>
        </is>
      </c>
      <c r="E1144" t="inlineStr">
        <is>
          <t>Tecnología</t>
        </is>
      </c>
      <c r="F1144" t="inlineStr">
        <is>
          <t>Tienda física</t>
        </is>
      </c>
      <c r="G1144" t="inlineStr">
        <is>
          <t>1. Visita</t>
        </is>
      </c>
      <c r="H1144" t="n">
        <v>2</v>
      </c>
      <c r="I1144" s="73" t="n">
        <v>740500</v>
      </c>
      <c r="J1144" s="73" t="n">
        <v>2073400</v>
      </c>
      <c r="K1144" s="73" t="n">
        <v>1204490</v>
      </c>
    </row>
    <row r="1145">
      <c r="A1145" t="n">
        <v>10707</v>
      </c>
      <c r="B1145" s="72" t="n">
        <v>45632.38819444444</v>
      </c>
      <c r="C1145" t="inlineStr">
        <is>
          <t>Santander</t>
        </is>
      </c>
      <c r="D1145" t="inlineStr">
        <is>
          <t>Bucaramanga</t>
        </is>
      </c>
      <c r="E1145" t="inlineStr">
        <is>
          <t>Moda</t>
        </is>
      </c>
      <c r="F1145" t="inlineStr">
        <is>
          <t>App</t>
        </is>
      </c>
      <c r="G1145" t="inlineStr">
        <is>
          <t>1. Visita</t>
        </is>
      </c>
      <c r="H1145" t="n">
        <v>5</v>
      </c>
      <c r="I1145" s="73" t="n">
        <v>99200</v>
      </c>
      <c r="J1145" s="73" t="n">
        <v>768800</v>
      </c>
      <c r="K1145" s="73" t="n">
        <v>528196</v>
      </c>
    </row>
    <row r="1146">
      <c r="A1146" t="n">
        <v>10450</v>
      </c>
      <c r="B1146" s="72" t="n">
        <v>45632.38888888889</v>
      </c>
      <c r="C1146" t="inlineStr">
        <is>
          <t>Santander</t>
        </is>
      </c>
      <c r="D1146" t="inlineStr">
        <is>
          <t>Bucaramanga</t>
        </is>
      </c>
      <c r="E1146" t="inlineStr">
        <is>
          <t>Moda</t>
        </is>
      </c>
      <c r="F1146" t="inlineStr">
        <is>
          <t>Web</t>
        </is>
      </c>
      <c r="G1146" t="inlineStr">
        <is>
          <t>4. Compra</t>
        </is>
      </c>
      <c r="H1146" t="n">
        <v>4</v>
      </c>
      <c r="I1146" s="73" t="n">
        <v>112300</v>
      </c>
      <c r="J1146" s="73" t="n">
        <v>696260</v>
      </c>
      <c r="K1146" s="73" t="n">
        <v>395064</v>
      </c>
    </row>
    <row r="1147">
      <c r="A1147" t="n">
        <v>12223</v>
      </c>
      <c r="B1147" s="72" t="n">
        <v>45632.47013888889</v>
      </c>
      <c r="C1147" t="inlineStr">
        <is>
          <t>Bogotá D.C.</t>
        </is>
      </c>
      <c r="D1147" t="inlineStr">
        <is>
          <t>Bogotá</t>
        </is>
      </c>
      <c r="E1147" t="inlineStr">
        <is>
          <t>Moda</t>
        </is>
      </c>
      <c r="F1147" t="inlineStr">
        <is>
          <t>Web</t>
        </is>
      </c>
      <c r="G1147" t="inlineStr">
        <is>
          <t>1. Visita</t>
        </is>
      </c>
      <c r="H1147" t="n">
        <v>1</v>
      </c>
      <c r="I1147" s="73" t="n">
        <v>132100</v>
      </c>
      <c r="J1147" s="73" t="n">
        <v>204755</v>
      </c>
      <c r="K1147" s="73" t="n">
        <v>124391</v>
      </c>
    </row>
    <row r="1148">
      <c r="A1148" t="n">
        <v>10432</v>
      </c>
      <c r="B1148" s="72" t="n">
        <v>45632.49722222222</v>
      </c>
      <c r="C1148" t="inlineStr">
        <is>
          <t>Valle del Cauca</t>
        </is>
      </c>
      <c r="D1148" t="inlineStr">
        <is>
          <t>Cali</t>
        </is>
      </c>
      <c r="E1148" t="inlineStr">
        <is>
          <t>Deportes</t>
        </is>
      </c>
      <c r="F1148" t="inlineStr">
        <is>
          <t>Marketplace</t>
        </is>
      </c>
      <c r="G1148" t="inlineStr">
        <is>
          <t>1. Visita</t>
        </is>
      </c>
      <c r="H1148" t="n">
        <v>3</v>
      </c>
      <c r="I1148" s="73" t="n">
        <v>125400</v>
      </c>
      <c r="J1148" s="73" t="n">
        <v>583110</v>
      </c>
      <c r="K1148" s="73" t="n">
        <v>376636</v>
      </c>
    </row>
    <row r="1149">
      <c r="A1149" t="n">
        <v>11224</v>
      </c>
      <c r="B1149" s="72" t="n">
        <v>45632.56041666667</v>
      </c>
      <c r="C1149" t="inlineStr">
        <is>
          <t>Atlántico</t>
        </is>
      </c>
      <c r="D1149" t="inlineStr">
        <is>
          <t>Barranquilla</t>
        </is>
      </c>
      <c r="E1149" t="inlineStr">
        <is>
          <t>Belleza</t>
        </is>
      </c>
      <c r="F1149" t="inlineStr">
        <is>
          <t>App</t>
        </is>
      </c>
      <c r="G1149" t="inlineStr">
        <is>
          <t>4. Compra</t>
        </is>
      </c>
      <c r="H1149" t="n">
        <v>1</v>
      </c>
      <c r="I1149" s="73" t="n">
        <v>50000</v>
      </c>
      <c r="J1149" s="73" t="n">
        <v>77500</v>
      </c>
      <c r="K1149" s="73" t="n">
        <v>56473</v>
      </c>
    </row>
    <row r="1150">
      <c r="A1150" t="n">
        <v>11023</v>
      </c>
      <c r="B1150" s="72" t="n">
        <v>45632.61458333334</v>
      </c>
      <c r="C1150" t="inlineStr">
        <is>
          <t>Antioquia</t>
        </is>
      </c>
      <c r="D1150" t="inlineStr">
        <is>
          <t>Medellín</t>
        </is>
      </c>
      <c r="E1150" t="inlineStr">
        <is>
          <t>Hogar</t>
        </is>
      </c>
      <c r="F1150" t="inlineStr">
        <is>
          <t>App</t>
        </is>
      </c>
      <c r="G1150" t="inlineStr">
        <is>
          <t>1. Visita</t>
        </is>
      </c>
      <c r="H1150" t="n">
        <v>3</v>
      </c>
      <c r="I1150" s="73" t="n">
        <v>181100</v>
      </c>
      <c r="J1150" s="73" t="n">
        <v>842115</v>
      </c>
      <c r="K1150" s="73" t="n">
        <v>616766</v>
      </c>
    </row>
    <row r="1151">
      <c r="A1151" t="n">
        <v>10089</v>
      </c>
      <c r="B1151" s="72" t="n">
        <v>45632.65833333333</v>
      </c>
      <c r="C1151" t="inlineStr">
        <is>
          <t>Santander</t>
        </is>
      </c>
      <c r="D1151" t="inlineStr">
        <is>
          <t>Bucaramanga</t>
        </is>
      </c>
      <c r="E1151" t="inlineStr">
        <is>
          <t>Tecnología</t>
        </is>
      </c>
      <c r="F1151" t="inlineStr">
        <is>
          <t>App</t>
        </is>
      </c>
      <c r="G1151" t="inlineStr">
        <is>
          <t>1. Visita</t>
        </is>
      </c>
      <c r="H1151" t="n">
        <v>5</v>
      </c>
      <c r="I1151" s="73" t="n">
        <v>907100</v>
      </c>
      <c r="J1151" s="73" t="n">
        <v>7030025</v>
      </c>
      <c r="K1151" s="73" t="n">
        <v>5148794</v>
      </c>
    </row>
    <row r="1152">
      <c r="A1152" t="n">
        <v>10710</v>
      </c>
      <c r="B1152" s="72" t="n">
        <v>45632.65972222222</v>
      </c>
      <c r="C1152" t="inlineStr">
        <is>
          <t>Antioquia</t>
        </is>
      </c>
      <c r="D1152" t="inlineStr">
        <is>
          <t>Medellín</t>
        </is>
      </c>
      <c r="E1152" t="inlineStr">
        <is>
          <t>Juguetes</t>
        </is>
      </c>
      <c r="F1152" t="inlineStr">
        <is>
          <t>App</t>
        </is>
      </c>
      <c r="G1152" t="inlineStr">
        <is>
          <t>2. Carrito</t>
        </is>
      </c>
      <c r="H1152" t="n">
        <v>4</v>
      </c>
      <c r="I1152" s="73" t="n">
        <v>96400</v>
      </c>
      <c r="J1152" s="73" t="n">
        <v>597680</v>
      </c>
      <c r="K1152" s="73" t="n">
        <v>357396</v>
      </c>
    </row>
    <row r="1153">
      <c r="A1153" t="n">
        <v>10313</v>
      </c>
      <c r="B1153" s="72" t="n">
        <v>45632.79444444444</v>
      </c>
      <c r="C1153" t="inlineStr">
        <is>
          <t>Bogotá D.C.</t>
        </is>
      </c>
      <c r="D1153" t="inlineStr">
        <is>
          <t>Bogotá</t>
        </is>
      </c>
      <c r="E1153" t="inlineStr">
        <is>
          <t>Belleza</t>
        </is>
      </c>
      <c r="F1153" t="inlineStr">
        <is>
          <t>Tienda física</t>
        </is>
      </c>
      <c r="G1153" t="inlineStr">
        <is>
          <t>1. Visita</t>
        </is>
      </c>
      <c r="H1153" t="n">
        <v>3</v>
      </c>
      <c r="I1153" s="73" t="n">
        <v>79300</v>
      </c>
      <c r="J1153" s="73" t="n">
        <v>368745</v>
      </c>
      <c r="K1153" s="73" t="n">
        <v>207287</v>
      </c>
    </row>
    <row r="1154">
      <c r="A1154" t="n">
        <v>10504</v>
      </c>
      <c r="B1154" s="72" t="n">
        <v>45633.50208333333</v>
      </c>
      <c r="C1154" t="inlineStr">
        <is>
          <t>Antioquia</t>
        </is>
      </c>
      <c r="D1154" t="inlineStr">
        <is>
          <t>Medellín</t>
        </is>
      </c>
      <c r="E1154" t="inlineStr">
        <is>
          <t>Belleza</t>
        </is>
      </c>
      <c r="F1154" t="inlineStr">
        <is>
          <t>Marketplace</t>
        </is>
      </c>
      <c r="G1154" t="inlineStr">
        <is>
          <t>1. Visita</t>
        </is>
      </c>
      <c r="H1154" t="n">
        <v>2</v>
      </c>
      <c r="I1154" s="73" t="n">
        <v>88400</v>
      </c>
      <c r="J1154" s="73" t="n">
        <v>274040</v>
      </c>
      <c r="K1154" s="73" t="n">
        <v>166922</v>
      </c>
    </row>
    <row r="1155">
      <c r="A1155" t="n">
        <v>10503</v>
      </c>
      <c r="B1155" s="72" t="n">
        <v>45633.56805555556</v>
      </c>
      <c r="C1155" t="inlineStr">
        <is>
          <t>Santander</t>
        </is>
      </c>
      <c r="D1155" t="inlineStr">
        <is>
          <t>Bucaramanga</t>
        </is>
      </c>
      <c r="E1155" t="inlineStr">
        <is>
          <t>Deportes</t>
        </is>
      </c>
      <c r="F1155" t="inlineStr">
        <is>
          <t>Web</t>
        </is>
      </c>
      <c r="G1155" t="inlineStr">
        <is>
          <t>4. Compra</t>
        </is>
      </c>
      <c r="H1155" t="n">
        <v>2</v>
      </c>
      <c r="I1155" s="73" t="n">
        <v>146800</v>
      </c>
      <c r="J1155" s="73" t="n">
        <v>455080</v>
      </c>
      <c r="K1155" s="73" t="n">
        <v>261170</v>
      </c>
    </row>
    <row r="1156">
      <c r="A1156" t="n">
        <v>12181</v>
      </c>
      <c r="B1156" s="72" t="n">
        <v>45633.57152777778</v>
      </c>
      <c r="C1156" t="inlineStr">
        <is>
          <t>Meta</t>
        </is>
      </c>
      <c r="D1156" t="inlineStr">
        <is>
          <t>Villavicencio</t>
        </is>
      </c>
      <c r="E1156" t="inlineStr">
        <is>
          <t>Belleza</t>
        </is>
      </c>
      <c r="F1156" t="inlineStr">
        <is>
          <t>App</t>
        </is>
      </c>
      <c r="G1156" t="inlineStr">
        <is>
          <t>1. Visita</t>
        </is>
      </c>
      <c r="H1156" t="n">
        <v>2</v>
      </c>
      <c r="I1156" s="73" t="n">
        <v>60200</v>
      </c>
      <c r="J1156" s="73" t="n">
        <v>186620</v>
      </c>
      <c r="K1156" s="73" t="n">
        <v>108784</v>
      </c>
    </row>
    <row r="1157">
      <c r="A1157" t="n">
        <v>10407</v>
      </c>
      <c r="B1157" s="72" t="n">
        <v>45633.57847222222</v>
      </c>
      <c r="C1157" t="inlineStr">
        <is>
          <t>Antioquia</t>
        </is>
      </c>
      <c r="D1157" t="inlineStr">
        <is>
          <t>Medellín</t>
        </is>
      </c>
      <c r="E1157" t="inlineStr">
        <is>
          <t>Hogar</t>
        </is>
      </c>
      <c r="F1157" t="inlineStr">
        <is>
          <t>Web</t>
        </is>
      </c>
      <c r="G1157" t="inlineStr">
        <is>
          <t>1. Visita</t>
        </is>
      </c>
      <c r="H1157" t="n">
        <v>5</v>
      </c>
      <c r="I1157" s="73" t="n">
        <v>227300</v>
      </c>
      <c r="J1157" s="73" t="n">
        <v>1761575</v>
      </c>
      <c r="K1157" s="73" t="n">
        <v>1103104</v>
      </c>
    </row>
    <row r="1158">
      <c r="A1158" t="n">
        <v>10639</v>
      </c>
      <c r="B1158" s="72" t="n">
        <v>45633.75277777778</v>
      </c>
      <c r="C1158" t="inlineStr">
        <is>
          <t>Bogotá D.C.</t>
        </is>
      </c>
      <c r="D1158" t="inlineStr">
        <is>
          <t>Bogotá</t>
        </is>
      </c>
      <c r="E1158" t="inlineStr">
        <is>
          <t>Tecnología</t>
        </is>
      </c>
      <c r="F1158" t="inlineStr">
        <is>
          <t>Tienda física</t>
        </is>
      </c>
      <c r="G1158" t="inlineStr">
        <is>
          <t>3. Pago</t>
        </is>
      </c>
      <c r="H1158" t="n">
        <v>5</v>
      </c>
      <c r="I1158" s="73" t="n">
        <v>883400</v>
      </c>
      <c r="J1158" s="73" t="n">
        <v>6846350</v>
      </c>
      <c r="K1158" s="73" t="n">
        <v>4732209</v>
      </c>
    </row>
    <row r="1159">
      <c r="A1159" t="n">
        <v>11587</v>
      </c>
      <c r="B1159" s="72" t="n">
        <v>45633.92847222222</v>
      </c>
      <c r="C1159" t="inlineStr">
        <is>
          <t>Antioquia</t>
        </is>
      </c>
      <c r="D1159" t="inlineStr">
        <is>
          <t>Medellín</t>
        </is>
      </c>
      <c r="E1159" t="inlineStr">
        <is>
          <t>Tecnología</t>
        </is>
      </c>
      <c r="F1159" t="inlineStr">
        <is>
          <t>App</t>
        </is>
      </c>
      <c r="G1159" t="inlineStr">
        <is>
          <t>3. Pago</t>
        </is>
      </c>
      <c r="H1159" t="n">
        <v>1</v>
      </c>
      <c r="I1159" s="73" t="n">
        <v>815700</v>
      </c>
      <c r="J1159" s="73" t="n">
        <v>1264335</v>
      </c>
      <c r="K1159" s="73" t="n">
        <v>742940</v>
      </c>
    </row>
    <row r="1160">
      <c r="A1160" t="n">
        <v>10434</v>
      </c>
      <c r="B1160" s="72" t="n">
        <v>45634.07847222222</v>
      </c>
      <c r="C1160" t="inlineStr">
        <is>
          <t>Bogotá D.C.</t>
        </is>
      </c>
      <c r="D1160" t="inlineStr">
        <is>
          <t>Bogotá</t>
        </is>
      </c>
      <c r="E1160" t="inlineStr">
        <is>
          <t>Belleza</t>
        </is>
      </c>
      <c r="F1160" t="inlineStr">
        <is>
          <t>Marketplace</t>
        </is>
      </c>
      <c r="G1160" t="inlineStr">
        <is>
          <t>2. Carrito</t>
        </is>
      </c>
      <c r="H1160" t="n">
        <v>2</v>
      </c>
      <c r="I1160" s="73" t="n">
        <v>52700</v>
      </c>
      <c r="J1160" s="73" t="n">
        <v>163370</v>
      </c>
      <c r="K1160" s="73" t="n">
        <v>109954</v>
      </c>
    </row>
    <row r="1161">
      <c r="A1161" t="n">
        <v>10402</v>
      </c>
      <c r="B1161" s="72" t="n">
        <v>45635.33819444444</v>
      </c>
      <c r="C1161" t="inlineStr">
        <is>
          <t>Bolívar</t>
        </is>
      </c>
      <c r="D1161" t="inlineStr">
        <is>
          <t>Cartagena</t>
        </is>
      </c>
      <c r="E1161" t="inlineStr">
        <is>
          <t>Tecnología</t>
        </is>
      </c>
      <c r="F1161" t="inlineStr">
        <is>
          <t>App</t>
        </is>
      </c>
      <c r="G1161" t="inlineStr">
        <is>
          <t>1. Visita</t>
        </is>
      </c>
      <c r="H1161" t="n">
        <v>2</v>
      </c>
      <c r="I1161" s="73" t="n">
        <v>667200</v>
      </c>
      <c r="J1161" s="73" t="n">
        <v>1868160</v>
      </c>
      <c r="K1161" s="73" t="n">
        <v>1045272</v>
      </c>
    </row>
    <row r="1162">
      <c r="A1162" t="n">
        <v>10888</v>
      </c>
      <c r="B1162" s="72" t="n">
        <v>45635.39861111111</v>
      </c>
      <c r="C1162" t="inlineStr">
        <is>
          <t>Antioquia</t>
        </is>
      </c>
      <c r="D1162" t="inlineStr">
        <is>
          <t>Medellín</t>
        </is>
      </c>
      <c r="E1162" t="inlineStr">
        <is>
          <t>Tecnología</t>
        </is>
      </c>
      <c r="F1162" t="inlineStr">
        <is>
          <t>Web</t>
        </is>
      </c>
      <c r="G1162" t="inlineStr">
        <is>
          <t>1. Visita</t>
        </is>
      </c>
      <c r="H1162" t="n">
        <v>1</v>
      </c>
      <c r="I1162" s="73" t="n">
        <v>648500</v>
      </c>
      <c r="J1162" s="73" t="n">
        <v>907900</v>
      </c>
      <c r="K1162" s="73" t="n">
        <v>546906</v>
      </c>
    </row>
    <row r="1163">
      <c r="A1163" t="n">
        <v>11453</v>
      </c>
      <c r="B1163" s="72" t="n">
        <v>45635.46666666667</v>
      </c>
      <c r="C1163" t="inlineStr">
        <is>
          <t>Valle del Cauca</t>
        </is>
      </c>
      <c r="D1163" t="inlineStr">
        <is>
          <t>Cali</t>
        </is>
      </c>
      <c r="E1163" t="inlineStr">
        <is>
          <t>Belleza</t>
        </is>
      </c>
      <c r="F1163" t="inlineStr">
        <is>
          <t>Web</t>
        </is>
      </c>
      <c r="G1163" t="inlineStr">
        <is>
          <t>1. Visita</t>
        </is>
      </c>
      <c r="H1163" t="n">
        <v>2</v>
      </c>
      <c r="I1163" s="73" t="n">
        <v>78800</v>
      </c>
      <c r="J1163" s="73" t="n">
        <v>220640</v>
      </c>
      <c r="K1163" s="73" t="n">
        <v>162305</v>
      </c>
    </row>
    <row r="1164">
      <c r="A1164" t="n">
        <v>12394</v>
      </c>
      <c r="B1164" s="72" t="n">
        <v>45635.55486111111</v>
      </c>
      <c r="C1164" t="inlineStr">
        <is>
          <t>Bogotá D.C.</t>
        </is>
      </c>
      <c r="D1164" t="inlineStr">
        <is>
          <t>Bogotá</t>
        </is>
      </c>
      <c r="E1164" t="inlineStr">
        <is>
          <t>Moda</t>
        </is>
      </c>
      <c r="F1164" t="inlineStr">
        <is>
          <t>Tienda física</t>
        </is>
      </c>
      <c r="G1164" t="inlineStr">
        <is>
          <t>1. Visita</t>
        </is>
      </c>
      <c r="H1164" t="n">
        <v>2</v>
      </c>
      <c r="I1164" s="73" t="n">
        <v>144800</v>
      </c>
      <c r="J1164" s="73" t="n">
        <v>405440</v>
      </c>
      <c r="K1164" s="73" t="n">
        <v>259754</v>
      </c>
    </row>
    <row r="1165">
      <c r="A1165" t="n">
        <v>11620</v>
      </c>
      <c r="B1165" s="72" t="n">
        <v>45635.63194444445</v>
      </c>
      <c r="C1165" t="inlineStr">
        <is>
          <t>Valle del Cauca</t>
        </is>
      </c>
      <c r="D1165" t="inlineStr">
        <is>
          <t>Cali</t>
        </is>
      </c>
      <c r="E1165" t="inlineStr">
        <is>
          <t>Tecnología</t>
        </is>
      </c>
      <c r="F1165" t="inlineStr">
        <is>
          <t>Web</t>
        </is>
      </c>
      <c r="G1165" t="inlineStr">
        <is>
          <t>4. Compra</t>
        </is>
      </c>
      <c r="H1165" t="n">
        <v>1</v>
      </c>
      <c r="I1165" s="73" t="n">
        <v>1018000</v>
      </c>
      <c r="J1165" s="73" t="n">
        <v>1425200</v>
      </c>
      <c r="K1165" s="73" t="n">
        <v>794096</v>
      </c>
    </row>
    <row r="1166">
      <c r="A1166" t="n">
        <v>11768</v>
      </c>
      <c r="B1166" s="72" t="n">
        <v>45636.45555555556</v>
      </c>
      <c r="C1166" t="inlineStr">
        <is>
          <t>Antioquia</t>
        </is>
      </c>
      <c r="D1166" t="inlineStr">
        <is>
          <t>Medellín</t>
        </is>
      </c>
      <c r="E1166" t="inlineStr">
        <is>
          <t>Deportes</t>
        </is>
      </c>
      <c r="F1166" t="inlineStr">
        <is>
          <t>Tienda física</t>
        </is>
      </c>
      <c r="G1166" t="inlineStr">
        <is>
          <t>1. Visita</t>
        </is>
      </c>
      <c r="H1166" t="n">
        <v>2</v>
      </c>
      <c r="I1166" s="73" t="n">
        <v>132700</v>
      </c>
      <c r="J1166" s="73" t="n">
        <v>371560</v>
      </c>
      <c r="K1166" s="73" t="n">
        <v>232960</v>
      </c>
    </row>
    <row r="1167">
      <c r="A1167" t="n">
        <v>11988</v>
      </c>
      <c r="B1167" s="72" t="n">
        <v>45636.75694444445</v>
      </c>
      <c r="C1167" t="inlineStr">
        <is>
          <t>Valle del Cauca</t>
        </is>
      </c>
      <c r="D1167" t="inlineStr">
        <is>
          <t>Cali</t>
        </is>
      </c>
      <c r="E1167" t="inlineStr">
        <is>
          <t>Belleza</t>
        </is>
      </c>
      <c r="F1167" t="inlineStr">
        <is>
          <t>Web</t>
        </is>
      </c>
      <c r="G1167" t="inlineStr">
        <is>
          <t>2. Carrito</t>
        </is>
      </c>
      <c r="H1167" t="n">
        <v>4</v>
      </c>
      <c r="I1167" s="73" t="n">
        <v>76600</v>
      </c>
      <c r="J1167" s="73" t="n">
        <v>428960</v>
      </c>
      <c r="K1167" s="73" t="n">
        <v>319679</v>
      </c>
    </row>
    <row r="1168">
      <c r="A1168" t="n">
        <v>11102</v>
      </c>
      <c r="B1168" s="72" t="n">
        <v>45636.82222222222</v>
      </c>
      <c r="C1168" t="inlineStr">
        <is>
          <t>Risaralda</t>
        </is>
      </c>
      <c r="D1168" t="inlineStr">
        <is>
          <t>Pereira</t>
        </is>
      </c>
      <c r="E1168" t="inlineStr">
        <is>
          <t>Deportes</t>
        </is>
      </c>
      <c r="F1168" t="inlineStr">
        <is>
          <t>Web</t>
        </is>
      </c>
      <c r="G1168" t="inlineStr">
        <is>
          <t>4. Compra</t>
        </is>
      </c>
      <c r="H1168" t="n">
        <v>2</v>
      </c>
      <c r="I1168" s="73" t="n">
        <v>189900</v>
      </c>
      <c r="J1168" s="73" t="n">
        <v>531720</v>
      </c>
      <c r="K1168" s="73" t="n">
        <v>378140</v>
      </c>
    </row>
    <row r="1169">
      <c r="A1169" t="n">
        <v>10789</v>
      </c>
      <c r="B1169" s="72" t="n">
        <v>45636.86527777778</v>
      </c>
      <c r="C1169" t="inlineStr">
        <is>
          <t>Valle del Cauca</t>
        </is>
      </c>
      <c r="D1169" t="inlineStr">
        <is>
          <t>Cali</t>
        </is>
      </c>
      <c r="E1169" t="inlineStr">
        <is>
          <t>Hogar</t>
        </is>
      </c>
      <c r="F1169" t="inlineStr">
        <is>
          <t>Marketplace</t>
        </is>
      </c>
      <c r="G1169" t="inlineStr">
        <is>
          <t>2. Carrito</t>
        </is>
      </c>
      <c r="H1169" t="n">
        <v>2</v>
      </c>
      <c r="I1169" s="73" t="n">
        <v>150100</v>
      </c>
      <c r="J1169" s="73" t="n">
        <v>420280</v>
      </c>
      <c r="K1169" s="73" t="n">
        <v>310310</v>
      </c>
    </row>
    <row r="1170">
      <c r="A1170" t="n">
        <v>12258</v>
      </c>
      <c r="B1170" s="72" t="n">
        <v>45636.90902777778</v>
      </c>
      <c r="C1170" t="inlineStr">
        <is>
          <t>Valle del Cauca</t>
        </is>
      </c>
      <c r="D1170" t="inlineStr">
        <is>
          <t>Cali</t>
        </is>
      </c>
      <c r="E1170" t="inlineStr">
        <is>
          <t>Juguetes</t>
        </is>
      </c>
      <c r="F1170" t="inlineStr">
        <is>
          <t>App</t>
        </is>
      </c>
      <c r="G1170" t="inlineStr">
        <is>
          <t>2. Carrito</t>
        </is>
      </c>
      <c r="H1170" t="n">
        <v>2</v>
      </c>
      <c r="I1170" s="73" t="n">
        <v>106400</v>
      </c>
      <c r="J1170" s="73" t="n">
        <v>297920</v>
      </c>
      <c r="K1170" s="73" t="n">
        <v>202767</v>
      </c>
    </row>
    <row r="1171">
      <c r="A1171" t="n">
        <v>11638</v>
      </c>
      <c r="B1171" s="72" t="n">
        <v>45637.04444444444</v>
      </c>
      <c r="C1171" t="inlineStr">
        <is>
          <t>Bogotá D.C.</t>
        </is>
      </c>
      <c r="D1171" t="inlineStr">
        <is>
          <t>Bogotá</t>
        </is>
      </c>
      <c r="E1171" t="inlineStr">
        <is>
          <t>Moda</t>
        </is>
      </c>
      <c r="F1171" t="inlineStr">
        <is>
          <t>Tienda física</t>
        </is>
      </c>
      <c r="G1171" t="inlineStr">
        <is>
          <t>4. Compra</t>
        </is>
      </c>
      <c r="H1171" t="n">
        <v>3</v>
      </c>
      <c r="I1171" s="73" t="n">
        <v>118200</v>
      </c>
      <c r="J1171" s="73" t="n">
        <v>496440</v>
      </c>
      <c r="K1171" s="73" t="n">
        <v>316522</v>
      </c>
    </row>
    <row r="1172">
      <c r="A1172" t="n">
        <v>11726</v>
      </c>
      <c r="B1172" s="72" t="n">
        <v>45637.33402777778</v>
      </c>
      <c r="C1172" t="inlineStr">
        <is>
          <t>Bogotá D.C.</t>
        </is>
      </c>
      <c r="D1172" t="inlineStr">
        <is>
          <t>Bogotá</t>
        </is>
      </c>
      <c r="E1172" t="inlineStr">
        <is>
          <t>Deportes</t>
        </is>
      </c>
      <c r="F1172" t="inlineStr">
        <is>
          <t>Marketplace</t>
        </is>
      </c>
      <c r="G1172" t="inlineStr">
        <is>
          <t>2. Carrito</t>
        </is>
      </c>
      <c r="H1172" t="n">
        <v>2</v>
      </c>
      <c r="I1172" s="73" t="n">
        <v>180000</v>
      </c>
      <c r="J1172" s="73" t="n">
        <v>504000</v>
      </c>
      <c r="K1172" s="73" t="n">
        <v>343017</v>
      </c>
    </row>
    <row r="1173">
      <c r="A1173" t="n">
        <v>11610</v>
      </c>
      <c r="B1173" s="72" t="n">
        <v>45637.55486111111</v>
      </c>
      <c r="C1173" t="inlineStr">
        <is>
          <t>Atlántico</t>
        </is>
      </c>
      <c r="D1173" t="inlineStr">
        <is>
          <t>Barranquilla</t>
        </is>
      </c>
      <c r="E1173" t="inlineStr">
        <is>
          <t>Moda</t>
        </is>
      </c>
      <c r="F1173" t="inlineStr">
        <is>
          <t>Web</t>
        </is>
      </c>
      <c r="G1173" t="inlineStr">
        <is>
          <t>1. Visita</t>
        </is>
      </c>
      <c r="H1173" t="n">
        <v>3</v>
      </c>
      <c r="I1173" s="73" t="n">
        <v>97900</v>
      </c>
      <c r="J1173" s="73" t="n">
        <v>411180</v>
      </c>
      <c r="K1173" s="73" t="n">
        <v>287890</v>
      </c>
    </row>
    <row r="1174">
      <c r="A1174" t="n">
        <v>11779</v>
      </c>
      <c r="B1174" s="72" t="n">
        <v>45637.74444444444</v>
      </c>
      <c r="C1174" t="inlineStr">
        <is>
          <t>Bogotá D.C.</t>
        </is>
      </c>
      <c r="D1174" t="inlineStr">
        <is>
          <t>Bogotá</t>
        </is>
      </c>
      <c r="E1174" t="inlineStr">
        <is>
          <t>Deportes</t>
        </is>
      </c>
      <c r="F1174" t="inlineStr">
        <is>
          <t>Web</t>
        </is>
      </c>
      <c r="G1174" t="inlineStr">
        <is>
          <t>2. Carrito</t>
        </is>
      </c>
      <c r="H1174" t="n">
        <v>2</v>
      </c>
      <c r="I1174" s="73" t="n">
        <v>179200</v>
      </c>
      <c r="J1174" s="73" t="n">
        <v>501760</v>
      </c>
      <c r="K1174" s="73" t="n">
        <v>367146</v>
      </c>
    </row>
    <row r="1175">
      <c r="A1175" t="n">
        <v>11797</v>
      </c>
      <c r="B1175" s="72" t="n">
        <v>45637.84236111111</v>
      </c>
      <c r="C1175" t="inlineStr">
        <is>
          <t>Meta</t>
        </is>
      </c>
      <c r="D1175" t="inlineStr">
        <is>
          <t>Villavicencio</t>
        </is>
      </c>
      <c r="E1175" t="inlineStr">
        <is>
          <t>Deportes</t>
        </is>
      </c>
      <c r="F1175" t="inlineStr">
        <is>
          <t>App</t>
        </is>
      </c>
      <c r="G1175" t="inlineStr">
        <is>
          <t>3. Pago</t>
        </is>
      </c>
      <c r="H1175" t="n">
        <v>2</v>
      </c>
      <c r="I1175" s="73" t="n">
        <v>136200</v>
      </c>
      <c r="J1175" s="73" t="n">
        <v>381360</v>
      </c>
      <c r="K1175" s="73" t="n">
        <v>230695</v>
      </c>
    </row>
    <row r="1176">
      <c r="A1176" t="n">
        <v>10062</v>
      </c>
      <c r="B1176" s="72" t="n">
        <v>45638.29166666666</v>
      </c>
      <c r="C1176" t="inlineStr">
        <is>
          <t>Risaralda</t>
        </is>
      </c>
      <c r="D1176" t="inlineStr">
        <is>
          <t>Pereira</t>
        </is>
      </c>
      <c r="E1176" t="inlineStr">
        <is>
          <t>Deportes</t>
        </is>
      </c>
      <c r="F1176" t="inlineStr">
        <is>
          <t>Marketplace</t>
        </is>
      </c>
      <c r="G1176" t="inlineStr">
        <is>
          <t>1. Visita</t>
        </is>
      </c>
      <c r="H1176" t="n">
        <v>4</v>
      </c>
      <c r="I1176" s="73" t="n">
        <v>181900</v>
      </c>
      <c r="J1176" s="73" t="n">
        <v>1018640</v>
      </c>
      <c r="K1176" s="73" t="n">
        <v>747682</v>
      </c>
    </row>
    <row r="1177">
      <c r="A1177" t="n">
        <v>10277</v>
      </c>
      <c r="B1177" s="72" t="n">
        <v>45638.57916666667</v>
      </c>
      <c r="C1177" t="inlineStr">
        <is>
          <t>Bolívar</t>
        </is>
      </c>
      <c r="D1177" t="inlineStr">
        <is>
          <t>Cartagena</t>
        </is>
      </c>
      <c r="E1177" t="inlineStr">
        <is>
          <t>Hogar</t>
        </is>
      </c>
      <c r="F1177" t="inlineStr">
        <is>
          <t>Web</t>
        </is>
      </c>
      <c r="G1177" t="inlineStr">
        <is>
          <t>1. Visita</t>
        </is>
      </c>
      <c r="H1177" t="n">
        <v>2</v>
      </c>
      <c r="I1177" s="73" t="n">
        <v>216100</v>
      </c>
      <c r="J1177" s="73" t="n">
        <v>605080</v>
      </c>
      <c r="K1177" s="73" t="n">
        <v>372633</v>
      </c>
    </row>
    <row r="1178">
      <c r="A1178" t="n">
        <v>10791</v>
      </c>
      <c r="B1178" s="72" t="n">
        <v>45638.68680555555</v>
      </c>
      <c r="C1178" t="inlineStr">
        <is>
          <t>Antioquia</t>
        </is>
      </c>
      <c r="D1178" t="inlineStr">
        <is>
          <t>Medellín</t>
        </is>
      </c>
      <c r="E1178" t="inlineStr">
        <is>
          <t>Hogar</t>
        </is>
      </c>
      <c r="F1178" t="inlineStr">
        <is>
          <t>Web</t>
        </is>
      </c>
      <c r="G1178" t="inlineStr">
        <is>
          <t>2. Carrito</t>
        </is>
      </c>
      <c r="H1178" t="n">
        <v>5</v>
      </c>
      <c r="I1178" s="73" t="n">
        <v>191400</v>
      </c>
      <c r="J1178" s="73" t="n">
        <v>1339800</v>
      </c>
      <c r="K1178" s="73" t="n">
        <v>775350</v>
      </c>
    </row>
    <row r="1179">
      <c r="A1179" t="n">
        <v>11269</v>
      </c>
      <c r="B1179" s="72" t="n">
        <v>45638.77013888889</v>
      </c>
      <c r="C1179" t="inlineStr">
        <is>
          <t>Bogotá D.C.</t>
        </is>
      </c>
      <c r="D1179" t="inlineStr">
        <is>
          <t>Bogotá</t>
        </is>
      </c>
      <c r="E1179" t="inlineStr">
        <is>
          <t>Deportes</t>
        </is>
      </c>
      <c r="F1179" t="inlineStr">
        <is>
          <t>App</t>
        </is>
      </c>
      <c r="G1179" t="inlineStr">
        <is>
          <t>4. Compra</t>
        </is>
      </c>
      <c r="H1179" t="n">
        <v>5</v>
      </c>
      <c r="I1179" s="73" t="n">
        <v>112800</v>
      </c>
      <c r="J1179" s="73" t="n">
        <v>789600</v>
      </c>
      <c r="K1179" s="73" t="n">
        <v>493599</v>
      </c>
    </row>
    <row r="1180">
      <c r="A1180" t="n">
        <v>11351</v>
      </c>
      <c r="B1180" s="72" t="n">
        <v>45639.39722222222</v>
      </c>
      <c r="C1180" t="inlineStr">
        <is>
          <t>Antioquia</t>
        </is>
      </c>
      <c r="D1180" t="inlineStr">
        <is>
          <t>Medellín</t>
        </is>
      </c>
      <c r="E1180" t="inlineStr">
        <is>
          <t>Hogar</t>
        </is>
      </c>
      <c r="F1180" t="inlineStr">
        <is>
          <t>App</t>
        </is>
      </c>
      <c r="G1180" t="inlineStr">
        <is>
          <t>1. Visita</t>
        </is>
      </c>
      <c r="H1180" t="n">
        <v>1</v>
      </c>
      <c r="I1180" s="73" t="n">
        <v>156300</v>
      </c>
      <c r="J1180" s="73" t="n">
        <v>242265</v>
      </c>
      <c r="K1180" s="73" t="n">
        <v>145876</v>
      </c>
    </row>
    <row r="1181">
      <c r="A1181" t="n">
        <v>12214</v>
      </c>
      <c r="B1181" s="72" t="n">
        <v>45639.47152777778</v>
      </c>
      <c r="C1181" t="inlineStr">
        <is>
          <t>Antioquia</t>
        </is>
      </c>
      <c r="D1181" t="inlineStr">
        <is>
          <t>Medellín</t>
        </is>
      </c>
      <c r="E1181" t="inlineStr">
        <is>
          <t>Belleza</t>
        </is>
      </c>
      <c r="F1181" t="inlineStr">
        <is>
          <t>App</t>
        </is>
      </c>
      <c r="G1181" t="inlineStr">
        <is>
          <t>1. Visita</t>
        </is>
      </c>
      <c r="H1181" t="n">
        <v>4</v>
      </c>
      <c r="I1181" s="73" t="n">
        <v>82800</v>
      </c>
      <c r="J1181" s="73" t="n">
        <v>513360</v>
      </c>
      <c r="K1181" s="73" t="n">
        <v>315871</v>
      </c>
    </row>
    <row r="1182">
      <c r="A1182" t="n">
        <v>10067</v>
      </c>
      <c r="B1182" s="72" t="n">
        <v>45639.72152777778</v>
      </c>
      <c r="C1182" t="inlineStr">
        <is>
          <t>Risaralda</t>
        </is>
      </c>
      <c r="D1182" t="inlineStr">
        <is>
          <t>Pereira</t>
        </is>
      </c>
      <c r="E1182" t="inlineStr">
        <is>
          <t>Juguetes</t>
        </is>
      </c>
      <c r="F1182" t="inlineStr">
        <is>
          <t>Marketplace</t>
        </is>
      </c>
      <c r="G1182" t="inlineStr">
        <is>
          <t>1. Visita</t>
        </is>
      </c>
      <c r="H1182" t="n">
        <v>4</v>
      </c>
      <c r="I1182" s="73" t="n">
        <v>96500</v>
      </c>
      <c r="J1182" s="73" t="n">
        <v>598300</v>
      </c>
      <c r="K1182" s="73" t="n">
        <v>341270</v>
      </c>
    </row>
    <row r="1183">
      <c r="A1183" t="n">
        <v>11883</v>
      </c>
      <c r="B1183" s="72" t="n">
        <v>45639.75</v>
      </c>
      <c r="C1183" t="inlineStr">
        <is>
          <t>Valle del Cauca</t>
        </is>
      </c>
      <c r="D1183" t="inlineStr">
        <is>
          <t>Cali</t>
        </is>
      </c>
      <c r="E1183" t="inlineStr">
        <is>
          <t>Juguetes</t>
        </is>
      </c>
      <c r="F1183" t="inlineStr">
        <is>
          <t>Marketplace</t>
        </is>
      </c>
      <c r="G1183" t="inlineStr">
        <is>
          <t>2. Carrito</t>
        </is>
      </c>
      <c r="H1183" t="n">
        <v>1</v>
      </c>
      <c r="I1183" s="73" t="n">
        <v>64000</v>
      </c>
      <c r="J1183" s="73" t="n">
        <v>99200</v>
      </c>
      <c r="K1183" s="73" t="n">
        <v>58991</v>
      </c>
    </row>
    <row r="1184">
      <c r="A1184" t="n">
        <v>11661</v>
      </c>
      <c r="B1184" s="72" t="n">
        <v>45639.875</v>
      </c>
      <c r="C1184" t="inlineStr">
        <is>
          <t>Risaralda</t>
        </is>
      </c>
      <c r="D1184" t="inlineStr">
        <is>
          <t>Pereira</t>
        </is>
      </c>
      <c r="E1184" t="inlineStr">
        <is>
          <t>Tecnología</t>
        </is>
      </c>
      <c r="F1184" t="inlineStr">
        <is>
          <t>App</t>
        </is>
      </c>
      <c r="G1184" t="inlineStr">
        <is>
          <t>2. Carrito</t>
        </is>
      </c>
      <c r="H1184" t="n">
        <v>3</v>
      </c>
      <c r="I1184" s="73" t="n">
        <v>651800</v>
      </c>
      <c r="J1184" s="73" t="n">
        <v>3030870</v>
      </c>
      <c r="K1184" s="73" t="n">
        <v>2124803</v>
      </c>
    </row>
    <row r="1185">
      <c r="A1185" t="n">
        <v>10654</v>
      </c>
      <c r="B1185" s="72" t="n">
        <v>45640.53680555556</v>
      </c>
      <c r="C1185" t="inlineStr">
        <is>
          <t>Atlántico</t>
        </is>
      </c>
      <c r="D1185" t="inlineStr">
        <is>
          <t>Barranquilla</t>
        </is>
      </c>
      <c r="E1185" t="inlineStr">
        <is>
          <t>Hogar</t>
        </is>
      </c>
      <c r="F1185" t="inlineStr">
        <is>
          <t>Tienda física</t>
        </is>
      </c>
      <c r="G1185" t="inlineStr">
        <is>
          <t>4. Compra</t>
        </is>
      </c>
      <c r="H1185" t="n">
        <v>4</v>
      </c>
      <c r="I1185" s="73" t="n">
        <v>198800</v>
      </c>
      <c r="J1185" s="73" t="n">
        <v>1232560</v>
      </c>
      <c r="K1185" s="73" t="n">
        <v>707525</v>
      </c>
    </row>
    <row r="1186">
      <c r="A1186" t="n">
        <v>10671</v>
      </c>
      <c r="B1186" s="72" t="n">
        <v>45640.64583333334</v>
      </c>
      <c r="C1186" t="inlineStr">
        <is>
          <t>Valle del Cauca</t>
        </is>
      </c>
      <c r="D1186" t="inlineStr">
        <is>
          <t>Cali</t>
        </is>
      </c>
      <c r="E1186" t="inlineStr">
        <is>
          <t>Juguetes</t>
        </is>
      </c>
      <c r="F1186" t="inlineStr">
        <is>
          <t>App</t>
        </is>
      </c>
      <c r="G1186" t="inlineStr">
        <is>
          <t>1. Visita</t>
        </is>
      </c>
      <c r="H1186" t="n">
        <v>5</v>
      </c>
      <c r="I1186" s="73" t="n">
        <v>83700</v>
      </c>
      <c r="J1186" s="73" t="n">
        <v>648675</v>
      </c>
      <c r="K1186" s="73" t="n">
        <v>407979</v>
      </c>
    </row>
    <row r="1187">
      <c r="A1187" t="n">
        <v>12072</v>
      </c>
      <c r="B1187" s="72" t="n">
        <v>45640.72916666666</v>
      </c>
      <c r="C1187" t="inlineStr">
        <is>
          <t>Bogotá D.C.</t>
        </is>
      </c>
      <c r="D1187" t="inlineStr">
        <is>
          <t>Bogotá</t>
        </is>
      </c>
      <c r="E1187" t="inlineStr">
        <is>
          <t>Hogar</t>
        </is>
      </c>
      <c r="F1187" t="inlineStr">
        <is>
          <t>App</t>
        </is>
      </c>
      <c r="G1187" t="inlineStr">
        <is>
          <t>1. Visita</t>
        </is>
      </c>
      <c r="H1187" t="n">
        <v>2</v>
      </c>
      <c r="I1187" s="73" t="n">
        <v>163300</v>
      </c>
      <c r="J1187" s="73" t="n">
        <v>506230</v>
      </c>
      <c r="K1187" s="73" t="n">
        <v>298072</v>
      </c>
    </row>
    <row r="1188">
      <c r="A1188" t="n">
        <v>10887</v>
      </c>
      <c r="B1188" s="72" t="n">
        <v>45640.74513888889</v>
      </c>
      <c r="C1188" t="inlineStr">
        <is>
          <t>Antioquia</t>
        </is>
      </c>
      <c r="D1188" t="inlineStr">
        <is>
          <t>Medellín</t>
        </is>
      </c>
      <c r="E1188" t="inlineStr">
        <is>
          <t>Hogar</t>
        </is>
      </c>
      <c r="F1188" t="inlineStr">
        <is>
          <t>Web</t>
        </is>
      </c>
      <c r="G1188" t="inlineStr">
        <is>
          <t>1. Visita</t>
        </is>
      </c>
      <c r="H1188" t="n">
        <v>2</v>
      </c>
      <c r="I1188" s="73" t="n">
        <v>170100</v>
      </c>
      <c r="J1188" s="73" t="n">
        <v>527310</v>
      </c>
      <c r="K1188" s="73" t="n">
        <v>336924</v>
      </c>
    </row>
    <row r="1189">
      <c r="A1189" t="n">
        <v>12183</v>
      </c>
      <c r="B1189" s="72" t="n">
        <v>45640.79652777778</v>
      </c>
      <c r="C1189" t="inlineStr">
        <is>
          <t>Bolívar</t>
        </is>
      </c>
      <c r="D1189" t="inlineStr">
        <is>
          <t>Cartagena</t>
        </is>
      </c>
      <c r="E1189" t="inlineStr">
        <is>
          <t>Juguetes</t>
        </is>
      </c>
      <c r="F1189" t="inlineStr">
        <is>
          <t>Web</t>
        </is>
      </c>
      <c r="G1189" t="inlineStr">
        <is>
          <t>2. Carrito</t>
        </is>
      </c>
      <c r="H1189" t="n">
        <v>1</v>
      </c>
      <c r="I1189" s="73" t="n">
        <v>111500</v>
      </c>
      <c r="J1189" s="73" t="n">
        <v>172825</v>
      </c>
      <c r="K1189" s="73" t="n">
        <v>127373</v>
      </c>
    </row>
    <row r="1190">
      <c r="A1190" t="n">
        <v>11927</v>
      </c>
      <c r="B1190" s="72" t="n">
        <v>45640.84583333333</v>
      </c>
      <c r="C1190" t="inlineStr">
        <is>
          <t>Valle del Cauca</t>
        </is>
      </c>
      <c r="D1190" t="inlineStr">
        <is>
          <t>Cali</t>
        </is>
      </c>
      <c r="E1190" t="inlineStr">
        <is>
          <t>Juguetes</t>
        </is>
      </c>
      <c r="F1190" t="inlineStr">
        <is>
          <t>App</t>
        </is>
      </c>
      <c r="G1190" t="inlineStr">
        <is>
          <t>1. Visita</t>
        </is>
      </c>
      <c r="H1190" t="n">
        <v>2</v>
      </c>
      <c r="I1190" s="73" t="n">
        <v>86500</v>
      </c>
      <c r="J1190" s="73" t="n">
        <v>268150</v>
      </c>
      <c r="K1190" s="73" t="n">
        <v>150048</v>
      </c>
    </row>
    <row r="1191">
      <c r="A1191" t="n">
        <v>10011</v>
      </c>
      <c r="B1191" s="72" t="n">
        <v>45640.96875</v>
      </c>
      <c r="C1191" t="inlineStr">
        <is>
          <t>Meta</t>
        </is>
      </c>
      <c r="D1191" t="inlineStr">
        <is>
          <t>Villavicencio</t>
        </is>
      </c>
      <c r="E1191" t="inlineStr">
        <is>
          <t>Deportes</t>
        </is>
      </c>
      <c r="F1191" t="inlineStr">
        <is>
          <t>Web</t>
        </is>
      </c>
      <c r="G1191" t="inlineStr">
        <is>
          <t>3. Pago</t>
        </is>
      </c>
      <c r="H1191" t="n">
        <v>2</v>
      </c>
      <c r="I1191" s="73" t="n">
        <v>153900</v>
      </c>
      <c r="J1191" s="73" t="n">
        <v>477090</v>
      </c>
      <c r="K1191" s="73" t="n">
        <v>266217</v>
      </c>
    </row>
    <row r="1192">
      <c r="A1192" t="n">
        <v>12276</v>
      </c>
      <c r="B1192" s="72" t="n">
        <v>45641.49583333333</v>
      </c>
      <c r="C1192" t="inlineStr">
        <is>
          <t>Atlántico</t>
        </is>
      </c>
      <c r="D1192" t="inlineStr">
        <is>
          <t>Barranquilla</t>
        </is>
      </c>
      <c r="E1192" t="inlineStr">
        <is>
          <t>Belleza</t>
        </is>
      </c>
      <c r="F1192" t="inlineStr">
        <is>
          <t>Web</t>
        </is>
      </c>
      <c r="G1192" t="inlineStr">
        <is>
          <t>1. Visita</t>
        </is>
      </c>
      <c r="H1192" t="n">
        <v>3</v>
      </c>
      <c r="I1192" s="73" t="n">
        <v>72500</v>
      </c>
      <c r="J1192" s="73" t="n">
        <v>337125</v>
      </c>
      <c r="K1192" s="73" t="n">
        <v>251464</v>
      </c>
    </row>
    <row r="1193">
      <c r="A1193" t="n">
        <v>11131</v>
      </c>
      <c r="B1193" s="72" t="n">
        <v>45641.59236111111</v>
      </c>
      <c r="C1193" t="inlineStr">
        <is>
          <t>Meta</t>
        </is>
      </c>
      <c r="D1193" t="inlineStr">
        <is>
          <t>Villavicencio</t>
        </is>
      </c>
      <c r="E1193" t="inlineStr">
        <is>
          <t>Moda</t>
        </is>
      </c>
      <c r="F1193" t="inlineStr">
        <is>
          <t>App</t>
        </is>
      </c>
      <c r="G1193" t="inlineStr">
        <is>
          <t>1. Visita</t>
        </is>
      </c>
      <c r="H1193" t="n">
        <v>1</v>
      </c>
      <c r="I1193" s="73" t="n">
        <v>92800</v>
      </c>
      <c r="J1193" s="73" t="n">
        <v>143840</v>
      </c>
      <c r="K1193" s="73" t="n">
        <v>104213</v>
      </c>
    </row>
    <row r="1194">
      <c r="A1194" t="n">
        <v>10743</v>
      </c>
      <c r="B1194" s="72" t="n">
        <v>45641.63333333333</v>
      </c>
      <c r="C1194" t="inlineStr">
        <is>
          <t>Valle del Cauca</t>
        </is>
      </c>
      <c r="D1194" t="inlineStr">
        <is>
          <t>Cali</t>
        </is>
      </c>
      <c r="E1194" t="inlineStr">
        <is>
          <t>Deportes</t>
        </is>
      </c>
      <c r="F1194" t="inlineStr">
        <is>
          <t>App</t>
        </is>
      </c>
      <c r="G1194" t="inlineStr">
        <is>
          <t>1. Visita</t>
        </is>
      </c>
      <c r="H1194" t="n">
        <v>1</v>
      </c>
      <c r="I1194" s="73" t="n">
        <v>120200</v>
      </c>
      <c r="J1194" s="73" t="n">
        <v>186310</v>
      </c>
      <c r="K1194" s="73" t="n">
        <v>127195</v>
      </c>
    </row>
    <row r="1195">
      <c r="A1195" t="n">
        <v>10123</v>
      </c>
      <c r="B1195" s="72" t="n">
        <v>45641.67986111111</v>
      </c>
      <c r="C1195" t="inlineStr">
        <is>
          <t>Bogotá D.C.</t>
        </is>
      </c>
      <c r="D1195" t="inlineStr">
        <is>
          <t>Bogotá</t>
        </is>
      </c>
      <c r="E1195" t="inlineStr">
        <is>
          <t>Juguetes</t>
        </is>
      </c>
      <c r="F1195" t="inlineStr">
        <is>
          <t>App</t>
        </is>
      </c>
      <c r="G1195" t="inlineStr">
        <is>
          <t>3. Pago</t>
        </is>
      </c>
      <c r="H1195" t="n">
        <v>2</v>
      </c>
      <c r="I1195" s="73" t="n">
        <v>104500</v>
      </c>
      <c r="J1195" s="73" t="n">
        <v>323950</v>
      </c>
      <c r="K1195" s="73" t="n">
        <v>194014</v>
      </c>
    </row>
    <row r="1196">
      <c r="A1196" t="n">
        <v>10430</v>
      </c>
      <c r="B1196" s="72" t="n">
        <v>45642.05138888889</v>
      </c>
      <c r="C1196" t="inlineStr">
        <is>
          <t>Santander</t>
        </is>
      </c>
      <c r="D1196" t="inlineStr">
        <is>
          <t>Bucaramanga</t>
        </is>
      </c>
      <c r="E1196" t="inlineStr">
        <is>
          <t>Belleza</t>
        </is>
      </c>
      <c r="F1196" t="inlineStr">
        <is>
          <t>App</t>
        </is>
      </c>
      <c r="G1196" t="inlineStr">
        <is>
          <t>2. Carrito</t>
        </is>
      </c>
      <c r="H1196" t="n">
        <v>5</v>
      </c>
      <c r="I1196" s="73" t="n">
        <v>49600</v>
      </c>
      <c r="J1196" s="73" t="n">
        <v>347200</v>
      </c>
      <c r="K1196" s="73" t="n">
        <v>229508</v>
      </c>
    </row>
    <row r="1197">
      <c r="A1197" t="n">
        <v>12088</v>
      </c>
      <c r="B1197" s="72" t="n">
        <v>45642.33402777778</v>
      </c>
      <c r="C1197" t="inlineStr">
        <is>
          <t>Meta</t>
        </is>
      </c>
      <c r="D1197" t="inlineStr">
        <is>
          <t>Villavicencio</t>
        </is>
      </c>
      <c r="E1197" t="inlineStr">
        <is>
          <t>Deportes</t>
        </is>
      </c>
      <c r="F1197" t="inlineStr">
        <is>
          <t>Web</t>
        </is>
      </c>
      <c r="G1197" t="inlineStr">
        <is>
          <t>4. Compra</t>
        </is>
      </c>
      <c r="H1197" t="n">
        <v>2</v>
      </c>
      <c r="I1197" s="73" t="n">
        <v>126200</v>
      </c>
      <c r="J1197" s="73" t="n">
        <v>353360</v>
      </c>
      <c r="K1197" s="73" t="n">
        <v>253891</v>
      </c>
    </row>
    <row r="1198">
      <c r="A1198" t="n">
        <v>11464</v>
      </c>
      <c r="B1198" s="72" t="n">
        <v>45642.43958333333</v>
      </c>
      <c r="C1198" t="inlineStr">
        <is>
          <t>Bogotá D.C.</t>
        </is>
      </c>
      <c r="D1198" t="inlineStr">
        <is>
          <t>Bogotá</t>
        </is>
      </c>
      <c r="E1198" t="inlineStr">
        <is>
          <t>Juguetes</t>
        </is>
      </c>
      <c r="F1198" t="inlineStr">
        <is>
          <t>Marketplace</t>
        </is>
      </c>
      <c r="G1198" t="inlineStr">
        <is>
          <t>4. Compra</t>
        </is>
      </c>
      <c r="H1198" t="n">
        <v>1</v>
      </c>
      <c r="I1198" s="73" t="n">
        <v>94200</v>
      </c>
      <c r="J1198" s="73" t="n">
        <v>131880</v>
      </c>
      <c r="K1198" s="73" t="n">
        <v>81393</v>
      </c>
    </row>
    <row r="1199">
      <c r="A1199" t="n">
        <v>11490</v>
      </c>
      <c r="B1199" s="72" t="n">
        <v>45642.46875</v>
      </c>
      <c r="C1199" t="inlineStr">
        <is>
          <t>Bogotá D.C.</t>
        </is>
      </c>
      <c r="D1199" t="inlineStr">
        <is>
          <t>Bogotá</t>
        </is>
      </c>
      <c r="E1199" t="inlineStr">
        <is>
          <t>Tecnología</t>
        </is>
      </c>
      <c r="F1199" t="inlineStr">
        <is>
          <t>App</t>
        </is>
      </c>
      <c r="G1199" t="inlineStr">
        <is>
          <t>1. Visita</t>
        </is>
      </c>
      <c r="H1199" t="n">
        <v>1</v>
      </c>
      <c r="I1199" s="73" t="n">
        <v>940300</v>
      </c>
      <c r="J1199" s="73" t="n">
        <v>1316420</v>
      </c>
      <c r="K1199" s="73" t="n">
        <v>731369</v>
      </c>
    </row>
    <row r="1200">
      <c r="A1200" t="n">
        <v>12194</v>
      </c>
      <c r="B1200" s="72" t="n">
        <v>45642.47291666667</v>
      </c>
      <c r="C1200" t="inlineStr">
        <is>
          <t>Antioquia</t>
        </is>
      </c>
      <c r="D1200" t="inlineStr">
        <is>
          <t>Medellín</t>
        </is>
      </c>
      <c r="E1200" t="inlineStr">
        <is>
          <t>Belleza</t>
        </is>
      </c>
      <c r="F1200" t="inlineStr">
        <is>
          <t>Web</t>
        </is>
      </c>
      <c r="G1200" t="inlineStr">
        <is>
          <t>1. Visita</t>
        </is>
      </c>
      <c r="H1200" t="n">
        <v>5</v>
      </c>
      <c r="I1200" s="73" t="n">
        <v>87800</v>
      </c>
      <c r="J1200" s="73" t="n">
        <v>614600</v>
      </c>
      <c r="K1200" s="73" t="n">
        <v>424168</v>
      </c>
    </row>
    <row r="1201">
      <c r="A1201" t="n">
        <v>12162</v>
      </c>
      <c r="B1201" s="72" t="n">
        <v>45642.76875</v>
      </c>
      <c r="C1201" t="inlineStr">
        <is>
          <t>Bogotá D.C.</t>
        </is>
      </c>
      <c r="D1201" t="inlineStr">
        <is>
          <t>Bogotá</t>
        </is>
      </c>
      <c r="E1201" t="inlineStr">
        <is>
          <t>Deportes</t>
        </is>
      </c>
      <c r="F1201" t="inlineStr">
        <is>
          <t>Web</t>
        </is>
      </c>
      <c r="G1201" t="inlineStr">
        <is>
          <t>1. Visita</t>
        </is>
      </c>
      <c r="H1201" t="n">
        <v>1</v>
      </c>
      <c r="I1201" s="73" t="n">
        <v>154700</v>
      </c>
      <c r="J1201" s="73" t="n">
        <v>216580</v>
      </c>
      <c r="K1201" s="73" t="n">
        <v>122592</v>
      </c>
    </row>
    <row r="1202">
      <c r="A1202" t="n">
        <v>11738</v>
      </c>
      <c r="B1202" s="72" t="n">
        <v>45642.85833333333</v>
      </c>
      <c r="C1202" t="inlineStr">
        <is>
          <t>Bogotá D.C.</t>
        </is>
      </c>
      <c r="D1202" t="inlineStr">
        <is>
          <t>Bogotá</t>
        </is>
      </c>
      <c r="E1202" t="inlineStr">
        <is>
          <t>Moda</t>
        </is>
      </c>
      <c r="F1202" t="inlineStr">
        <is>
          <t>Marketplace</t>
        </is>
      </c>
      <c r="G1202" t="inlineStr">
        <is>
          <t>4. Compra</t>
        </is>
      </c>
      <c r="H1202" t="n">
        <v>5</v>
      </c>
      <c r="I1202" s="73" t="n">
        <v>127800</v>
      </c>
      <c r="J1202" s="73" t="n">
        <v>894600</v>
      </c>
      <c r="K1202" s="73" t="n">
        <v>657677</v>
      </c>
    </row>
    <row r="1203">
      <c r="A1203" t="n">
        <v>10797</v>
      </c>
      <c r="B1203" s="72" t="n">
        <v>45643.48263888889</v>
      </c>
      <c r="C1203" t="inlineStr">
        <is>
          <t>Bogotá D.C.</t>
        </is>
      </c>
      <c r="D1203" t="inlineStr">
        <is>
          <t>Bogotá</t>
        </is>
      </c>
      <c r="E1203" t="inlineStr">
        <is>
          <t>Deportes</t>
        </is>
      </c>
      <c r="F1203" t="inlineStr">
        <is>
          <t>Web</t>
        </is>
      </c>
      <c r="G1203" t="inlineStr">
        <is>
          <t>1. Visita</t>
        </is>
      </c>
      <c r="H1203" t="n">
        <v>2</v>
      </c>
      <c r="I1203" s="73" t="n">
        <v>113400</v>
      </c>
      <c r="J1203" s="73" t="n">
        <v>317520</v>
      </c>
      <c r="K1203" s="73" t="n">
        <v>220749</v>
      </c>
    </row>
    <row r="1204">
      <c r="A1204" t="n">
        <v>11963</v>
      </c>
      <c r="B1204" s="72" t="n">
        <v>45643.53472222222</v>
      </c>
      <c r="C1204" t="inlineStr">
        <is>
          <t>Antioquia</t>
        </is>
      </c>
      <c r="D1204" t="inlineStr">
        <is>
          <t>Medellín</t>
        </is>
      </c>
      <c r="E1204" t="inlineStr">
        <is>
          <t>Deportes</t>
        </is>
      </c>
      <c r="F1204" t="inlineStr">
        <is>
          <t>App</t>
        </is>
      </c>
      <c r="G1204" t="inlineStr">
        <is>
          <t>3. Pago</t>
        </is>
      </c>
      <c r="H1204" t="n">
        <v>3</v>
      </c>
      <c r="I1204" s="73" t="n">
        <v>125800</v>
      </c>
      <c r="J1204" s="73" t="n">
        <v>528360</v>
      </c>
      <c r="K1204" s="73" t="n">
        <v>291165</v>
      </c>
    </row>
    <row r="1205">
      <c r="A1205" t="n">
        <v>10764</v>
      </c>
      <c r="B1205" s="72" t="n">
        <v>45643.68125</v>
      </c>
      <c r="C1205" t="inlineStr">
        <is>
          <t>Bolívar</t>
        </is>
      </c>
      <c r="D1205" t="inlineStr">
        <is>
          <t>Cartagena</t>
        </is>
      </c>
      <c r="E1205" t="inlineStr">
        <is>
          <t>Juguetes</t>
        </is>
      </c>
      <c r="F1205" t="inlineStr">
        <is>
          <t>Web</t>
        </is>
      </c>
      <c r="G1205" t="inlineStr">
        <is>
          <t>1. Visita</t>
        </is>
      </c>
      <c r="H1205" t="n">
        <v>2</v>
      </c>
      <c r="I1205" s="73" t="n">
        <v>99400</v>
      </c>
      <c r="J1205" s="73" t="n">
        <v>278320</v>
      </c>
      <c r="K1205" s="73" t="n">
        <v>200961</v>
      </c>
    </row>
    <row r="1206">
      <c r="A1206" t="n">
        <v>10939</v>
      </c>
      <c r="B1206" s="72" t="n">
        <v>45643.81666666667</v>
      </c>
      <c r="C1206" t="inlineStr">
        <is>
          <t>Valle del Cauca</t>
        </is>
      </c>
      <c r="D1206" t="inlineStr">
        <is>
          <t>Cali</t>
        </is>
      </c>
      <c r="E1206" t="inlineStr">
        <is>
          <t>Juguetes</t>
        </is>
      </c>
      <c r="F1206" t="inlineStr">
        <is>
          <t>Tienda física</t>
        </is>
      </c>
      <c r="G1206" t="inlineStr">
        <is>
          <t>3. Pago</t>
        </is>
      </c>
      <c r="H1206" t="n">
        <v>3</v>
      </c>
      <c r="I1206" s="73" t="n">
        <v>116200</v>
      </c>
      <c r="J1206" s="73" t="n">
        <v>488040</v>
      </c>
      <c r="K1206" s="73" t="n">
        <v>331712</v>
      </c>
    </row>
    <row r="1207">
      <c r="A1207" t="n">
        <v>12126</v>
      </c>
      <c r="B1207" s="72" t="n">
        <v>45643.94236111111</v>
      </c>
      <c r="C1207" t="inlineStr">
        <is>
          <t>Bogotá D.C.</t>
        </is>
      </c>
      <c r="D1207" t="inlineStr">
        <is>
          <t>Bogotá</t>
        </is>
      </c>
      <c r="E1207" t="inlineStr">
        <is>
          <t>Moda</t>
        </is>
      </c>
      <c r="F1207" t="inlineStr">
        <is>
          <t>Web</t>
        </is>
      </c>
      <c r="G1207" t="inlineStr">
        <is>
          <t>3. Pago</t>
        </is>
      </c>
      <c r="H1207" t="n">
        <v>3</v>
      </c>
      <c r="I1207" s="73" t="n">
        <v>141600</v>
      </c>
      <c r="J1207" s="73" t="n">
        <v>594720</v>
      </c>
      <c r="K1207" s="73" t="n">
        <v>389514</v>
      </c>
    </row>
    <row r="1208">
      <c r="A1208" t="n">
        <v>11951</v>
      </c>
      <c r="B1208" s="72" t="n">
        <v>45643.97916666666</v>
      </c>
      <c r="C1208" t="inlineStr">
        <is>
          <t>Nariño</t>
        </is>
      </c>
      <c r="D1208" t="inlineStr">
        <is>
          <t>Pasto</t>
        </is>
      </c>
      <c r="E1208" t="inlineStr">
        <is>
          <t>Belleza</t>
        </is>
      </c>
      <c r="F1208" t="inlineStr">
        <is>
          <t>Marketplace</t>
        </is>
      </c>
      <c r="G1208" t="inlineStr">
        <is>
          <t>3. Pago</t>
        </is>
      </c>
      <c r="H1208" t="n">
        <v>2</v>
      </c>
      <c r="I1208" s="73" t="n">
        <v>78600</v>
      </c>
      <c r="J1208" s="73" t="n">
        <v>220080</v>
      </c>
      <c r="K1208" s="73" t="n">
        <v>140745</v>
      </c>
    </row>
    <row r="1209">
      <c r="A1209" t="n">
        <v>11956</v>
      </c>
      <c r="B1209" s="72" t="n">
        <v>45644.32777777778</v>
      </c>
      <c r="C1209" t="inlineStr">
        <is>
          <t>Valle del Cauca</t>
        </is>
      </c>
      <c r="D1209" t="inlineStr">
        <is>
          <t>Cali</t>
        </is>
      </c>
      <c r="E1209" t="inlineStr">
        <is>
          <t>Moda</t>
        </is>
      </c>
      <c r="F1209" t="inlineStr">
        <is>
          <t>Tienda física</t>
        </is>
      </c>
      <c r="G1209" t="inlineStr">
        <is>
          <t>4. Compra</t>
        </is>
      </c>
      <c r="H1209" t="n">
        <v>5</v>
      </c>
      <c r="I1209" s="73" t="n">
        <v>122000</v>
      </c>
      <c r="J1209" s="73" t="n">
        <v>854000</v>
      </c>
      <c r="K1209" s="73" t="n">
        <v>513614</v>
      </c>
    </row>
    <row r="1210">
      <c r="A1210" t="n">
        <v>11972</v>
      </c>
      <c r="B1210" s="72" t="n">
        <v>45644.40138888889</v>
      </c>
      <c r="C1210" t="inlineStr">
        <is>
          <t>Valle del Cauca</t>
        </is>
      </c>
      <c r="D1210" t="inlineStr">
        <is>
          <t>Cali</t>
        </is>
      </c>
      <c r="E1210" t="inlineStr">
        <is>
          <t>Juguetes</t>
        </is>
      </c>
      <c r="F1210" t="inlineStr">
        <is>
          <t>Web</t>
        </is>
      </c>
      <c r="G1210" t="inlineStr">
        <is>
          <t>1. Visita</t>
        </is>
      </c>
      <c r="H1210" t="n">
        <v>2</v>
      </c>
      <c r="I1210" s="73" t="n">
        <v>101700</v>
      </c>
      <c r="J1210" s="73" t="n">
        <v>284760</v>
      </c>
      <c r="K1210" s="73" t="n">
        <v>200021</v>
      </c>
    </row>
    <row r="1211">
      <c r="A1211" t="n">
        <v>11317</v>
      </c>
      <c r="B1211" s="72" t="n">
        <v>45644.57847222222</v>
      </c>
      <c r="C1211" t="inlineStr">
        <is>
          <t>Bogotá D.C.</t>
        </is>
      </c>
      <c r="D1211" t="inlineStr">
        <is>
          <t>Bogotá</t>
        </is>
      </c>
      <c r="E1211" t="inlineStr">
        <is>
          <t>Deportes</t>
        </is>
      </c>
      <c r="F1211" t="inlineStr">
        <is>
          <t>Web</t>
        </is>
      </c>
      <c r="G1211" t="inlineStr">
        <is>
          <t>1. Visita</t>
        </is>
      </c>
      <c r="H1211" t="n">
        <v>4</v>
      </c>
      <c r="I1211" s="73" t="n">
        <v>119700</v>
      </c>
      <c r="J1211" s="73" t="n">
        <v>670320</v>
      </c>
      <c r="K1211" s="73" t="n">
        <v>479316</v>
      </c>
    </row>
    <row r="1212">
      <c r="A1212" t="n">
        <v>11677</v>
      </c>
      <c r="B1212" s="72" t="n">
        <v>45644.73125</v>
      </c>
      <c r="C1212" t="inlineStr">
        <is>
          <t>Meta</t>
        </is>
      </c>
      <c r="D1212" t="inlineStr">
        <is>
          <t>Villavicencio</t>
        </is>
      </c>
      <c r="E1212" t="inlineStr">
        <is>
          <t>Hogar</t>
        </is>
      </c>
      <c r="F1212" t="inlineStr">
        <is>
          <t>Tienda física</t>
        </is>
      </c>
      <c r="G1212" t="inlineStr">
        <is>
          <t>2. Carrito</t>
        </is>
      </c>
      <c r="H1212" t="n">
        <v>3</v>
      </c>
      <c r="I1212" s="73" t="n">
        <v>225700</v>
      </c>
      <c r="J1212" s="73" t="n">
        <v>947940</v>
      </c>
      <c r="K1212" s="73" t="n">
        <v>561874</v>
      </c>
    </row>
    <row r="1213">
      <c r="A1213" t="n">
        <v>12278</v>
      </c>
      <c r="B1213" s="72" t="n">
        <v>45644.76597222222</v>
      </c>
      <c r="C1213" t="inlineStr">
        <is>
          <t>Risaralda</t>
        </is>
      </c>
      <c r="D1213" t="inlineStr">
        <is>
          <t>Pereira</t>
        </is>
      </c>
      <c r="E1213" t="inlineStr">
        <is>
          <t>Deportes</t>
        </is>
      </c>
      <c r="F1213" t="inlineStr">
        <is>
          <t>Tienda física</t>
        </is>
      </c>
      <c r="G1213" t="inlineStr">
        <is>
          <t>3. Pago</t>
        </is>
      </c>
      <c r="H1213" t="n">
        <v>3</v>
      </c>
      <c r="I1213" s="73" t="n">
        <v>149600</v>
      </c>
      <c r="J1213" s="73" t="n">
        <v>628320</v>
      </c>
      <c r="K1213" s="73" t="n">
        <v>374353</v>
      </c>
    </row>
    <row r="1214">
      <c r="A1214" t="n">
        <v>11566</v>
      </c>
      <c r="B1214" s="72" t="n">
        <v>45644.825</v>
      </c>
      <c r="C1214" t="inlineStr">
        <is>
          <t>Valle del Cauca</t>
        </is>
      </c>
      <c r="D1214" t="inlineStr">
        <is>
          <t>Cali</t>
        </is>
      </c>
      <c r="E1214" t="inlineStr">
        <is>
          <t>Moda</t>
        </is>
      </c>
      <c r="F1214" t="inlineStr">
        <is>
          <t>Web</t>
        </is>
      </c>
      <c r="G1214" t="inlineStr">
        <is>
          <t>2. Carrito</t>
        </is>
      </c>
      <c r="H1214" t="n">
        <v>1</v>
      </c>
      <c r="I1214" s="73" t="n">
        <v>84300</v>
      </c>
      <c r="J1214" s="73" t="n">
        <v>118020</v>
      </c>
      <c r="K1214" s="73" t="n">
        <v>74522</v>
      </c>
    </row>
    <row r="1215">
      <c r="A1215" t="n">
        <v>10403</v>
      </c>
      <c r="B1215" s="72" t="n">
        <v>45644.85</v>
      </c>
      <c r="C1215" t="inlineStr">
        <is>
          <t>Santander</t>
        </is>
      </c>
      <c r="D1215" t="inlineStr">
        <is>
          <t>Bucaramanga</t>
        </is>
      </c>
      <c r="E1215" t="inlineStr">
        <is>
          <t>Juguetes</t>
        </is>
      </c>
      <c r="F1215" t="inlineStr">
        <is>
          <t>Marketplace</t>
        </is>
      </c>
      <c r="G1215" t="inlineStr">
        <is>
          <t>1. Visita</t>
        </is>
      </c>
      <c r="H1215" t="n">
        <v>5</v>
      </c>
      <c r="I1215" s="73" t="n">
        <v>88600</v>
      </c>
      <c r="J1215" s="73" t="n">
        <v>620200</v>
      </c>
      <c r="K1215" s="73" t="n">
        <v>401845</v>
      </c>
    </row>
    <row r="1216">
      <c r="A1216" t="n">
        <v>10965</v>
      </c>
      <c r="B1216" s="72" t="n">
        <v>45645.25763888889</v>
      </c>
      <c r="C1216" t="inlineStr">
        <is>
          <t>Meta</t>
        </is>
      </c>
      <c r="D1216" t="inlineStr">
        <is>
          <t>Villavicencio</t>
        </is>
      </c>
      <c r="E1216" t="inlineStr">
        <is>
          <t>Deportes</t>
        </is>
      </c>
      <c r="F1216" t="inlineStr">
        <is>
          <t>Web</t>
        </is>
      </c>
      <c r="G1216" t="inlineStr">
        <is>
          <t>2. Carrito</t>
        </is>
      </c>
      <c r="H1216" t="n">
        <v>2</v>
      </c>
      <c r="I1216" s="73" t="n">
        <v>206200</v>
      </c>
      <c r="J1216" s="73" t="n">
        <v>577360</v>
      </c>
      <c r="K1216" s="73" t="n">
        <v>427034</v>
      </c>
    </row>
    <row r="1217">
      <c r="A1217" t="n">
        <v>12376</v>
      </c>
      <c r="B1217" s="72" t="n">
        <v>45645.46527777778</v>
      </c>
      <c r="C1217" t="inlineStr">
        <is>
          <t>Risaralda</t>
        </is>
      </c>
      <c r="D1217" t="inlineStr">
        <is>
          <t>Pereira</t>
        </is>
      </c>
      <c r="E1217" t="inlineStr">
        <is>
          <t>Hogar</t>
        </is>
      </c>
      <c r="F1217" t="inlineStr">
        <is>
          <t>Tienda física</t>
        </is>
      </c>
      <c r="G1217" t="inlineStr">
        <is>
          <t>4. Compra</t>
        </is>
      </c>
      <c r="H1217" t="n">
        <v>5</v>
      </c>
      <c r="I1217" s="73" t="n">
        <v>268200</v>
      </c>
      <c r="J1217" s="73" t="n">
        <v>1877400</v>
      </c>
      <c r="K1217" s="73" t="n">
        <v>1103118</v>
      </c>
    </row>
    <row r="1218">
      <c r="A1218" t="n">
        <v>10813</v>
      </c>
      <c r="B1218" s="72" t="n">
        <v>45645.48263888889</v>
      </c>
      <c r="C1218" t="inlineStr">
        <is>
          <t>Antioquia</t>
        </is>
      </c>
      <c r="D1218" t="inlineStr">
        <is>
          <t>Medellín</t>
        </is>
      </c>
      <c r="E1218" t="inlineStr">
        <is>
          <t>Moda</t>
        </is>
      </c>
      <c r="F1218" t="inlineStr">
        <is>
          <t>Web</t>
        </is>
      </c>
      <c r="G1218" t="inlineStr">
        <is>
          <t>2. Carrito</t>
        </is>
      </c>
      <c r="H1218" t="n">
        <v>2</v>
      </c>
      <c r="I1218" s="73" t="n">
        <v>134900</v>
      </c>
      <c r="J1218" s="73" t="n">
        <v>377720</v>
      </c>
      <c r="K1218" s="73" t="n">
        <v>227630</v>
      </c>
    </row>
    <row r="1219">
      <c r="A1219" t="n">
        <v>11859</v>
      </c>
      <c r="B1219" s="72" t="n">
        <v>45645.55</v>
      </c>
      <c r="C1219" t="inlineStr">
        <is>
          <t>Bogotá D.C.</t>
        </is>
      </c>
      <c r="D1219" t="inlineStr">
        <is>
          <t>Bogotá</t>
        </is>
      </c>
      <c r="E1219" t="inlineStr">
        <is>
          <t>Deportes</t>
        </is>
      </c>
      <c r="F1219" t="inlineStr">
        <is>
          <t>Tienda física</t>
        </is>
      </c>
      <c r="G1219" t="inlineStr">
        <is>
          <t>2. Carrito</t>
        </is>
      </c>
      <c r="H1219" t="n">
        <v>5</v>
      </c>
      <c r="I1219" s="73" t="n">
        <v>128700</v>
      </c>
      <c r="J1219" s="73" t="n">
        <v>900900</v>
      </c>
      <c r="K1219" s="73" t="n">
        <v>543252</v>
      </c>
    </row>
    <row r="1220">
      <c r="A1220" t="n">
        <v>11373</v>
      </c>
      <c r="B1220" s="72" t="n">
        <v>45645.94861111111</v>
      </c>
      <c r="C1220" t="inlineStr">
        <is>
          <t>Risaralda</t>
        </is>
      </c>
      <c r="D1220" t="inlineStr">
        <is>
          <t>Pereira</t>
        </is>
      </c>
      <c r="E1220" t="inlineStr">
        <is>
          <t>Tecnología</t>
        </is>
      </c>
      <c r="F1220" t="inlineStr">
        <is>
          <t>Marketplace</t>
        </is>
      </c>
      <c r="G1220" t="inlineStr">
        <is>
          <t>2. Carrito</t>
        </is>
      </c>
      <c r="H1220" t="n">
        <v>3</v>
      </c>
      <c r="I1220" s="73" t="n">
        <v>1100000</v>
      </c>
      <c r="J1220" s="73" t="n">
        <v>4620000</v>
      </c>
      <c r="K1220" s="73" t="n">
        <v>3224165</v>
      </c>
    </row>
    <row r="1221">
      <c r="A1221" t="n">
        <v>11254</v>
      </c>
      <c r="B1221" s="72" t="n">
        <v>45646.36736111111</v>
      </c>
      <c r="C1221" t="inlineStr">
        <is>
          <t>Valle del Cauca</t>
        </is>
      </c>
      <c r="D1221" t="inlineStr">
        <is>
          <t>Cali</t>
        </is>
      </c>
      <c r="E1221" t="inlineStr">
        <is>
          <t>Moda</t>
        </is>
      </c>
      <c r="F1221" t="inlineStr">
        <is>
          <t>Web</t>
        </is>
      </c>
      <c r="G1221" t="inlineStr">
        <is>
          <t>1. Visita</t>
        </is>
      </c>
      <c r="H1221" t="n">
        <v>1</v>
      </c>
      <c r="I1221" s="73" t="n">
        <v>97000</v>
      </c>
      <c r="J1221" s="73" t="n">
        <v>150350</v>
      </c>
      <c r="K1221" s="73" t="n">
        <v>87676</v>
      </c>
    </row>
    <row r="1222">
      <c r="A1222" t="n">
        <v>11377</v>
      </c>
      <c r="B1222" s="72" t="n">
        <v>45646.50486111111</v>
      </c>
      <c r="C1222" t="inlineStr">
        <is>
          <t>Huila</t>
        </is>
      </c>
      <c r="D1222" t="inlineStr">
        <is>
          <t>Neiva</t>
        </is>
      </c>
      <c r="E1222" t="inlineStr">
        <is>
          <t>Moda</t>
        </is>
      </c>
      <c r="F1222" t="inlineStr">
        <is>
          <t>App</t>
        </is>
      </c>
      <c r="G1222" t="inlineStr">
        <is>
          <t>3. Pago</t>
        </is>
      </c>
      <c r="H1222" t="n">
        <v>2</v>
      </c>
      <c r="I1222" s="73" t="n">
        <v>136200</v>
      </c>
      <c r="J1222" s="73" t="n">
        <v>422220</v>
      </c>
      <c r="K1222" s="73" t="n">
        <v>255466</v>
      </c>
    </row>
    <row r="1223">
      <c r="A1223" t="n">
        <v>10461</v>
      </c>
      <c r="B1223" s="72" t="n">
        <v>45646.53541666667</v>
      </c>
      <c r="C1223" t="inlineStr">
        <is>
          <t>Valle del Cauca</t>
        </is>
      </c>
      <c r="D1223" t="inlineStr">
        <is>
          <t>Cali</t>
        </is>
      </c>
      <c r="E1223" t="inlineStr">
        <is>
          <t>Moda</t>
        </is>
      </c>
      <c r="F1223" t="inlineStr">
        <is>
          <t>App</t>
        </is>
      </c>
      <c r="G1223" t="inlineStr">
        <is>
          <t>1. Visita</t>
        </is>
      </c>
      <c r="H1223" t="n">
        <v>3</v>
      </c>
      <c r="I1223" s="73" t="n">
        <v>111700</v>
      </c>
      <c r="J1223" s="73" t="n">
        <v>519405</v>
      </c>
      <c r="K1223" s="73" t="n">
        <v>379127</v>
      </c>
    </row>
    <row r="1224">
      <c r="A1224" t="n">
        <v>10451</v>
      </c>
      <c r="B1224" s="72" t="n">
        <v>45646.6375</v>
      </c>
      <c r="C1224" t="inlineStr">
        <is>
          <t>Valle del Cauca</t>
        </is>
      </c>
      <c r="D1224" t="inlineStr">
        <is>
          <t>Cali</t>
        </is>
      </c>
      <c r="E1224" t="inlineStr">
        <is>
          <t>Tecnología</t>
        </is>
      </c>
      <c r="F1224" t="inlineStr">
        <is>
          <t>Web</t>
        </is>
      </c>
      <c r="G1224" t="inlineStr">
        <is>
          <t>2. Carrito</t>
        </is>
      </c>
      <c r="H1224" t="n">
        <v>2</v>
      </c>
      <c r="I1224" s="73" t="n">
        <v>898000</v>
      </c>
      <c r="J1224" s="73" t="n">
        <v>2783800</v>
      </c>
      <c r="K1224" s="73" t="n">
        <v>1578443</v>
      </c>
    </row>
    <row r="1225">
      <c r="A1225" t="n">
        <v>10396</v>
      </c>
      <c r="B1225" s="72" t="n">
        <v>45647.42708333334</v>
      </c>
      <c r="C1225" t="inlineStr">
        <is>
          <t>Valle del Cauca</t>
        </is>
      </c>
      <c r="D1225" t="inlineStr">
        <is>
          <t>Cali</t>
        </is>
      </c>
      <c r="E1225" t="inlineStr">
        <is>
          <t>Moda</t>
        </is>
      </c>
      <c r="F1225" t="inlineStr">
        <is>
          <t>Marketplace</t>
        </is>
      </c>
      <c r="G1225" t="inlineStr">
        <is>
          <t>1. Visita</t>
        </is>
      </c>
      <c r="H1225" t="n">
        <v>4</v>
      </c>
      <c r="I1225" s="73" t="n">
        <v>99800</v>
      </c>
      <c r="J1225" s="73" t="n">
        <v>618760</v>
      </c>
      <c r="K1225" s="73" t="n">
        <v>342044</v>
      </c>
    </row>
    <row r="1226">
      <c r="A1226" t="n">
        <v>11165</v>
      </c>
      <c r="B1226" s="72" t="n">
        <v>45647.73611111111</v>
      </c>
      <c r="C1226" t="inlineStr">
        <is>
          <t>Bolívar</t>
        </is>
      </c>
      <c r="D1226" t="inlineStr">
        <is>
          <t>Cartagena</t>
        </is>
      </c>
      <c r="E1226" t="inlineStr">
        <is>
          <t>Belleza</t>
        </is>
      </c>
      <c r="F1226" t="inlineStr">
        <is>
          <t>Web</t>
        </is>
      </c>
      <c r="G1226" t="inlineStr">
        <is>
          <t>2. Carrito</t>
        </is>
      </c>
      <c r="H1226" t="n">
        <v>2</v>
      </c>
      <c r="I1226" s="73" t="n">
        <v>69400</v>
      </c>
      <c r="J1226" s="73" t="n">
        <v>215140</v>
      </c>
      <c r="K1226" s="73" t="n">
        <v>135801</v>
      </c>
    </row>
    <row r="1227">
      <c r="A1227" t="n">
        <v>10843</v>
      </c>
      <c r="B1227" s="72" t="n">
        <v>45648.55625</v>
      </c>
      <c r="C1227" t="inlineStr">
        <is>
          <t>Meta</t>
        </is>
      </c>
      <c r="D1227" t="inlineStr">
        <is>
          <t>Villavicencio</t>
        </is>
      </c>
      <c r="E1227" t="inlineStr">
        <is>
          <t>Juguetes</t>
        </is>
      </c>
      <c r="F1227" t="inlineStr">
        <is>
          <t>App</t>
        </is>
      </c>
      <c r="G1227" t="inlineStr">
        <is>
          <t>1. Visita</t>
        </is>
      </c>
      <c r="H1227" t="n">
        <v>4</v>
      </c>
      <c r="I1227" s="73" t="n">
        <v>87900</v>
      </c>
      <c r="J1227" s="73" t="n">
        <v>544980</v>
      </c>
      <c r="K1227" s="73" t="n">
        <v>327452</v>
      </c>
    </row>
    <row r="1228">
      <c r="A1228" t="n">
        <v>11164</v>
      </c>
      <c r="B1228" s="72" t="n">
        <v>45648.61944444444</v>
      </c>
      <c r="C1228" t="inlineStr">
        <is>
          <t>Antioquia</t>
        </is>
      </c>
      <c r="D1228" t="inlineStr">
        <is>
          <t>Medellín</t>
        </is>
      </c>
      <c r="E1228" t="inlineStr">
        <is>
          <t>Juguetes</t>
        </is>
      </c>
      <c r="F1228" t="inlineStr">
        <is>
          <t>Web</t>
        </is>
      </c>
      <c r="G1228" t="inlineStr">
        <is>
          <t>2. Carrito</t>
        </is>
      </c>
      <c r="H1228" t="n">
        <v>2</v>
      </c>
      <c r="I1228" s="73" t="n">
        <v>103800</v>
      </c>
      <c r="J1228" s="73" t="n">
        <v>321780</v>
      </c>
      <c r="K1228" s="73" t="n">
        <v>187007</v>
      </c>
    </row>
    <row r="1229">
      <c r="A1229" t="n">
        <v>10904</v>
      </c>
      <c r="B1229" s="72" t="n">
        <v>45648.78194444445</v>
      </c>
      <c r="C1229" t="inlineStr">
        <is>
          <t>Atlántico</t>
        </is>
      </c>
      <c r="D1229" t="inlineStr">
        <is>
          <t>Barranquilla</t>
        </is>
      </c>
      <c r="E1229" t="inlineStr">
        <is>
          <t>Moda</t>
        </is>
      </c>
      <c r="F1229" t="inlineStr">
        <is>
          <t>App</t>
        </is>
      </c>
      <c r="G1229" t="inlineStr">
        <is>
          <t>2. Carrito</t>
        </is>
      </c>
      <c r="H1229" t="n">
        <v>2</v>
      </c>
      <c r="I1229" s="73" t="n">
        <v>94200</v>
      </c>
      <c r="J1229" s="73" t="n">
        <v>292020</v>
      </c>
      <c r="K1229" s="73" t="n">
        <v>211253</v>
      </c>
    </row>
    <row r="1230">
      <c r="A1230" t="n">
        <v>10284</v>
      </c>
      <c r="B1230" s="72" t="n">
        <v>45648.79097222222</v>
      </c>
      <c r="C1230" t="inlineStr">
        <is>
          <t>Bolívar</t>
        </is>
      </c>
      <c r="D1230" t="inlineStr">
        <is>
          <t>Cartagena</t>
        </is>
      </c>
      <c r="E1230" t="inlineStr">
        <is>
          <t>Tecnología</t>
        </is>
      </c>
      <c r="F1230" t="inlineStr">
        <is>
          <t>Web</t>
        </is>
      </c>
      <c r="G1230" t="inlineStr">
        <is>
          <t>1. Visita</t>
        </is>
      </c>
      <c r="H1230" t="n">
        <v>5</v>
      </c>
      <c r="I1230" s="73" t="n">
        <v>697200</v>
      </c>
      <c r="J1230" s="73" t="n">
        <v>5403300</v>
      </c>
      <c r="K1230" s="73" t="n">
        <v>3474043</v>
      </c>
    </row>
    <row r="1231">
      <c r="A1231" t="n">
        <v>10476</v>
      </c>
      <c r="B1231" s="72" t="n">
        <v>45649.83680555555</v>
      </c>
      <c r="C1231" t="inlineStr">
        <is>
          <t>Huila</t>
        </is>
      </c>
      <c r="D1231" t="inlineStr">
        <is>
          <t>Neiva</t>
        </is>
      </c>
      <c r="E1231" t="inlineStr">
        <is>
          <t>Belleza</t>
        </is>
      </c>
      <c r="F1231" t="inlineStr">
        <is>
          <t>Tienda física</t>
        </is>
      </c>
      <c r="G1231" t="inlineStr">
        <is>
          <t>3. Pago</t>
        </is>
      </c>
      <c r="H1231" t="n">
        <v>3</v>
      </c>
      <c r="I1231" s="73" t="n">
        <v>82300</v>
      </c>
      <c r="J1231" s="73" t="n">
        <v>345660</v>
      </c>
      <c r="K1231" s="73" t="n">
        <v>219213</v>
      </c>
    </row>
    <row r="1232">
      <c r="A1232" t="n">
        <v>11101</v>
      </c>
      <c r="B1232" s="72" t="n">
        <v>45649.88958333333</v>
      </c>
      <c r="C1232" t="inlineStr">
        <is>
          <t>Antioquia</t>
        </is>
      </c>
      <c r="D1232" t="inlineStr">
        <is>
          <t>Medellín</t>
        </is>
      </c>
      <c r="E1232" t="inlineStr">
        <is>
          <t>Belleza</t>
        </is>
      </c>
      <c r="F1232" t="inlineStr">
        <is>
          <t>Web</t>
        </is>
      </c>
      <c r="G1232" t="inlineStr">
        <is>
          <t>1. Visita</t>
        </is>
      </c>
      <c r="H1232" t="n">
        <v>1</v>
      </c>
      <c r="I1232" s="73" t="n">
        <v>88700</v>
      </c>
      <c r="J1232" s="73" t="n">
        <v>124180</v>
      </c>
      <c r="K1232" s="73" t="n">
        <v>77880</v>
      </c>
    </row>
    <row r="1233">
      <c r="A1233" t="n">
        <v>12172</v>
      </c>
      <c r="B1233" s="72" t="n">
        <v>45650.06319444445</v>
      </c>
      <c r="C1233" t="inlineStr">
        <is>
          <t>Atlántico</t>
        </is>
      </c>
      <c r="D1233" t="inlineStr">
        <is>
          <t>Barranquilla</t>
        </is>
      </c>
      <c r="E1233" t="inlineStr">
        <is>
          <t>Moda</t>
        </is>
      </c>
      <c r="F1233" t="inlineStr">
        <is>
          <t>App</t>
        </is>
      </c>
      <c r="G1233" t="inlineStr">
        <is>
          <t>1. Visita</t>
        </is>
      </c>
      <c r="H1233" t="n">
        <v>2</v>
      </c>
      <c r="I1233" s="73" t="n">
        <v>117300</v>
      </c>
      <c r="J1233" s="73" t="n">
        <v>328440</v>
      </c>
      <c r="K1233" s="73" t="n">
        <v>237467</v>
      </c>
    </row>
    <row r="1234">
      <c r="A1234" t="n">
        <v>11635</v>
      </c>
      <c r="B1234" s="72" t="n">
        <v>45650.31597222222</v>
      </c>
      <c r="C1234" t="inlineStr">
        <is>
          <t>Valle del Cauca</t>
        </is>
      </c>
      <c r="D1234" t="inlineStr">
        <is>
          <t>Cali</t>
        </is>
      </c>
      <c r="E1234" t="inlineStr">
        <is>
          <t>Belleza</t>
        </is>
      </c>
      <c r="F1234" t="inlineStr">
        <is>
          <t>Web</t>
        </is>
      </c>
      <c r="G1234" t="inlineStr">
        <is>
          <t>2. Carrito</t>
        </is>
      </c>
      <c r="H1234" t="n">
        <v>5</v>
      </c>
      <c r="I1234" s="73" t="n">
        <v>69600</v>
      </c>
      <c r="J1234" s="73" t="n">
        <v>487200</v>
      </c>
      <c r="K1234" s="73" t="n">
        <v>276333</v>
      </c>
    </row>
    <row r="1235">
      <c r="A1235" t="n">
        <v>10730</v>
      </c>
      <c r="B1235" s="72" t="n">
        <v>45650.43402777778</v>
      </c>
      <c r="C1235" t="inlineStr">
        <is>
          <t>Antioquia</t>
        </is>
      </c>
      <c r="D1235" t="inlineStr">
        <is>
          <t>Medellín</t>
        </is>
      </c>
      <c r="E1235" t="inlineStr">
        <is>
          <t>Deportes</t>
        </is>
      </c>
      <c r="F1235" t="inlineStr">
        <is>
          <t>App</t>
        </is>
      </c>
      <c r="G1235" t="inlineStr">
        <is>
          <t>1. Visita</t>
        </is>
      </c>
      <c r="H1235" t="n">
        <v>5</v>
      </c>
      <c r="I1235" s="73" t="n">
        <v>182200</v>
      </c>
      <c r="J1235" s="73" t="n">
        <v>1275400</v>
      </c>
      <c r="K1235" s="73" t="n">
        <v>905021</v>
      </c>
    </row>
    <row r="1236">
      <c r="A1236" t="n">
        <v>11379</v>
      </c>
      <c r="B1236" s="72" t="n">
        <v>45650.87013888889</v>
      </c>
      <c r="C1236" t="inlineStr">
        <is>
          <t>Antioquia</t>
        </is>
      </c>
      <c r="D1236" t="inlineStr">
        <is>
          <t>Medellín</t>
        </is>
      </c>
      <c r="E1236" t="inlineStr">
        <is>
          <t>Belleza</t>
        </is>
      </c>
      <c r="F1236" t="inlineStr">
        <is>
          <t>Web</t>
        </is>
      </c>
      <c r="G1236" t="inlineStr">
        <is>
          <t>1. Visita</t>
        </is>
      </c>
      <c r="H1236" t="n">
        <v>4</v>
      </c>
      <c r="I1236" s="73" t="n">
        <v>61000</v>
      </c>
      <c r="J1236" s="73" t="n">
        <v>341600</v>
      </c>
      <c r="K1236" s="73" t="n">
        <v>211119</v>
      </c>
    </row>
    <row r="1237">
      <c r="A1237" t="n">
        <v>11325</v>
      </c>
      <c r="B1237" s="72" t="n">
        <v>45650.88888888889</v>
      </c>
      <c r="C1237" t="inlineStr">
        <is>
          <t>Antioquia</t>
        </is>
      </c>
      <c r="D1237" t="inlineStr">
        <is>
          <t>Medellín</t>
        </is>
      </c>
      <c r="E1237" t="inlineStr">
        <is>
          <t>Juguetes</t>
        </is>
      </c>
      <c r="F1237" t="inlineStr">
        <is>
          <t>Web</t>
        </is>
      </c>
      <c r="G1237" t="inlineStr">
        <is>
          <t>1. Visita</t>
        </is>
      </c>
      <c r="H1237" t="n">
        <v>1</v>
      </c>
      <c r="I1237" s="73" t="n">
        <v>114300</v>
      </c>
      <c r="J1237" s="73" t="n">
        <v>160020</v>
      </c>
      <c r="K1237" s="73" t="n">
        <v>100447</v>
      </c>
    </row>
    <row r="1238">
      <c r="A1238" t="n">
        <v>11981</v>
      </c>
      <c r="B1238" s="72" t="n">
        <v>45651.31458333333</v>
      </c>
      <c r="C1238" t="inlineStr">
        <is>
          <t>Antioquia</t>
        </is>
      </c>
      <c r="D1238" t="inlineStr">
        <is>
          <t>Medellín</t>
        </is>
      </c>
      <c r="E1238" t="inlineStr">
        <is>
          <t>Moda</t>
        </is>
      </c>
      <c r="F1238" t="inlineStr">
        <is>
          <t>Tienda física</t>
        </is>
      </c>
      <c r="G1238" t="inlineStr">
        <is>
          <t>3. Pago</t>
        </is>
      </c>
      <c r="H1238" t="n">
        <v>2</v>
      </c>
      <c r="I1238" s="73" t="n">
        <v>111400</v>
      </c>
      <c r="J1238" s="73" t="n">
        <v>311920</v>
      </c>
      <c r="K1238" s="73" t="n">
        <v>222371</v>
      </c>
    </row>
    <row r="1239">
      <c r="A1239" t="n">
        <v>10935</v>
      </c>
      <c r="B1239" s="72" t="n">
        <v>45651.32361111111</v>
      </c>
      <c r="C1239" t="inlineStr">
        <is>
          <t>Valle del Cauca</t>
        </is>
      </c>
      <c r="D1239" t="inlineStr">
        <is>
          <t>Cali</t>
        </is>
      </c>
      <c r="E1239" t="inlineStr">
        <is>
          <t>Tecnología</t>
        </is>
      </c>
      <c r="F1239" t="inlineStr">
        <is>
          <t>App</t>
        </is>
      </c>
      <c r="G1239" t="inlineStr">
        <is>
          <t>1. Visita</t>
        </is>
      </c>
      <c r="H1239" t="n">
        <v>1</v>
      </c>
      <c r="I1239" s="73" t="n">
        <v>646200</v>
      </c>
      <c r="J1239" s="73" t="n">
        <v>904680</v>
      </c>
      <c r="K1239" s="73" t="n">
        <v>534363</v>
      </c>
    </row>
    <row r="1240">
      <c r="A1240" t="n">
        <v>10061</v>
      </c>
      <c r="B1240" s="72" t="n">
        <v>45651.50902777778</v>
      </c>
      <c r="C1240" t="inlineStr">
        <is>
          <t>Bogotá D.C.</t>
        </is>
      </c>
      <c r="D1240" t="inlineStr">
        <is>
          <t>Bogotá</t>
        </is>
      </c>
      <c r="E1240" t="inlineStr">
        <is>
          <t>Deportes</t>
        </is>
      </c>
      <c r="F1240" t="inlineStr">
        <is>
          <t>Web</t>
        </is>
      </c>
      <c r="G1240" t="inlineStr">
        <is>
          <t>3. Pago</t>
        </is>
      </c>
      <c r="H1240" t="n">
        <v>3</v>
      </c>
      <c r="I1240" s="73" t="n">
        <v>143900</v>
      </c>
      <c r="J1240" s="73" t="n">
        <v>604380</v>
      </c>
      <c r="K1240" s="73" t="n">
        <v>333877</v>
      </c>
    </row>
    <row r="1241">
      <c r="A1241" t="n">
        <v>10573</v>
      </c>
      <c r="B1241" s="72" t="n">
        <v>45651.62777777778</v>
      </c>
      <c r="C1241" t="inlineStr">
        <is>
          <t>Antioquia</t>
        </is>
      </c>
      <c r="D1241" t="inlineStr">
        <is>
          <t>Medellín</t>
        </is>
      </c>
      <c r="E1241" t="inlineStr">
        <is>
          <t>Tecnología</t>
        </is>
      </c>
      <c r="F1241" t="inlineStr">
        <is>
          <t>App</t>
        </is>
      </c>
      <c r="G1241" t="inlineStr">
        <is>
          <t>3. Pago</t>
        </is>
      </c>
      <c r="H1241" t="n">
        <v>1</v>
      </c>
      <c r="I1241" s="73" t="n">
        <v>1084400</v>
      </c>
      <c r="J1241" s="73" t="n">
        <v>1518160</v>
      </c>
      <c r="K1241" s="73" t="n">
        <v>921672</v>
      </c>
    </row>
    <row r="1242">
      <c r="A1242" t="n">
        <v>11140</v>
      </c>
      <c r="B1242" s="72" t="n">
        <v>45651.78680555556</v>
      </c>
      <c r="C1242" t="inlineStr">
        <is>
          <t>Antioquia</t>
        </is>
      </c>
      <c r="D1242" t="inlineStr">
        <is>
          <t>Medellín</t>
        </is>
      </c>
      <c r="E1242" t="inlineStr">
        <is>
          <t>Hogar</t>
        </is>
      </c>
      <c r="F1242" t="inlineStr">
        <is>
          <t>App</t>
        </is>
      </c>
      <c r="G1242" t="inlineStr">
        <is>
          <t>2. Carrito</t>
        </is>
      </c>
      <c r="H1242" t="n">
        <v>2</v>
      </c>
      <c r="I1242" s="73" t="n">
        <v>183700</v>
      </c>
      <c r="J1242" s="73" t="n">
        <v>514360</v>
      </c>
      <c r="K1242" s="73" t="n">
        <v>310678</v>
      </c>
    </row>
    <row r="1243">
      <c r="A1243" t="n">
        <v>11694</v>
      </c>
      <c r="B1243" s="72" t="n">
        <v>45653.36527777778</v>
      </c>
      <c r="C1243" t="inlineStr">
        <is>
          <t>Bogotá D.C.</t>
        </is>
      </c>
      <c r="D1243" t="inlineStr">
        <is>
          <t>Bogotá</t>
        </is>
      </c>
      <c r="E1243" t="inlineStr">
        <is>
          <t>Juguetes</t>
        </is>
      </c>
      <c r="F1243" t="inlineStr">
        <is>
          <t>Web</t>
        </is>
      </c>
      <c r="G1243" t="inlineStr">
        <is>
          <t>1. Visita</t>
        </is>
      </c>
      <c r="H1243" t="n">
        <v>4</v>
      </c>
      <c r="I1243" s="73" t="n">
        <v>101200</v>
      </c>
      <c r="J1243" s="73" t="n">
        <v>627440</v>
      </c>
      <c r="K1243" s="73" t="n">
        <v>427045</v>
      </c>
    </row>
    <row r="1244">
      <c r="A1244" t="n">
        <v>11798</v>
      </c>
      <c r="B1244" s="72" t="n">
        <v>45653.39861111111</v>
      </c>
      <c r="C1244" t="inlineStr">
        <is>
          <t>Antioquia</t>
        </is>
      </c>
      <c r="D1244" t="inlineStr">
        <is>
          <t>Medellín</t>
        </is>
      </c>
      <c r="E1244" t="inlineStr">
        <is>
          <t>Hogar</t>
        </is>
      </c>
      <c r="F1244" t="inlineStr">
        <is>
          <t>Tienda física</t>
        </is>
      </c>
      <c r="G1244" t="inlineStr">
        <is>
          <t>4. Compra</t>
        </is>
      </c>
      <c r="H1244" t="n">
        <v>2</v>
      </c>
      <c r="I1244" s="73" t="n">
        <v>162600</v>
      </c>
      <c r="J1244" s="73" t="n">
        <v>504060</v>
      </c>
      <c r="K1244" s="73" t="n">
        <v>311717</v>
      </c>
    </row>
    <row r="1245">
      <c r="A1245" t="n">
        <v>10153</v>
      </c>
      <c r="B1245" s="72" t="n">
        <v>45653.44097222222</v>
      </c>
      <c r="C1245" t="inlineStr">
        <is>
          <t>Santander</t>
        </is>
      </c>
      <c r="D1245" t="inlineStr">
        <is>
          <t>Bucaramanga</t>
        </is>
      </c>
      <c r="E1245" t="inlineStr">
        <is>
          <t>Juguetes</t>
        </is>
      </c>
      <c r="F1245" t="inlineStr">
        <is>
          <t>App</t>
        </is>
      </c>
      <c r="G1245" t="inlineStr">
        <is>
          <t>2. Carrito</t>
        </is>
      </c>
      <c r="H1245" t="n">
        <v>2</v>
      </c>
      <c r="I1245" s="73" t="n">
        <v>100200</v>
      </c>
      <c r="J1245" s="73" t="n">
        <v>310620</v>
      </c>
      <c r="K1245" s="73" t="n">
        <v>184362</v>
      </c>
    </row>
    <row r="1246">
      <c r="A1246" t="n">
        <v>10416</v>
      </c>
      <c r="B1246" s="72" t="n">
        <v>45653.44166666667</v>
      </c>
      <c r="C1246" t="inlineStr">
        <is>
          <t>Bogotá D.C.</t>
        </is>
      </c>
      <c r="D1246" t="inlineStr">
        <is>
          <t>Bogotá</t>
        </is>
      </c>
      <c r="E1246" t="inlineStr">
        <is>
          <t>Juguetes</t>
        </is>
      </c>
      <c r="F1246" t="inlineStr">
        <is>
          <t>Tienda física</t>
        </is>
      </c>
      <c r="G1246" t="inlineStr">
        <is>
          <t>4. Compra</t>
        </is>
      </c>
      <c r="H1246" t="n">
        <v>2</v>
      </c>
      <c r="I1246" s="73" t="n">
        <v>114900</v>
      </c>
      <c r="J1246" s="73" t="n">
        <v>356190</v>
      </c>
      <c r="K1246" s="73" t="n">
        <v>232867</v>
      </c>
    </row>
    <row r="1247">
      <c r="A1247" t="n">
        <v>11065</v>
      </c>
      <c r="B1247" s="72" t="n">
        <v>45653.45555555556</v>
      </c>
      <c r="C1247" t="inlineStr">
        <is>
          <t>Valle del Cauca</t>
        </is>
      </c>
      <c r="D1247" t="inlineStr">
        <is>
          <t>Cali</t>
        </is>
      </c>
      <c r="E1247" t="inlineStr">
        <is>
          <t>Tecnología</t>
        </is>
      </c>
      <c r="F1247" t="inlineStr">
        <is>
          <t>Web</t>
        </is>
      </c>
      <c r="G1247" t="inlineStr">
        <is>
          <t>3. Pago</t>
        </is>
      </c>
      <c r="H1247" t="n">
        <v>1</v>
      </c>
      <c r="I1247" s="73" t="n">
        <v>965500</v>
      </c>
      <c r="J1247" s="73" t="n">
        <v>1496525</v>
      </c>
      <c r="K1247" s="73" t="n">
        <v>1012145</v>
      </c>
    </row>
    <row r="1248">
      <c r="A1248" t="n">
        <v>12071</v>
      </c>
      <c r="B1248" s="72" t="n">
        <v>45653.78680555556</v>
      </c>
      <c r="C1248" t="inlineStr">
        <is>
          <t>Antioquia</t>
        </is>
      </c>
      <c r="D1248" t="inlineStr">
        <is>
          <t>Medellín</t>
        </is>
      </c>
      <c r="E1248" t="inlineStr">
        <is>
          <t>Deportes</t>
        </is>
      </c>
      <c r="F1248" t="inlineStr">
        <is>
          <t>Web</t>
        </is>
      </c>
      <c r="G1248" t="inlineStr">
        <is>
          <t>1. Visita</t>
        </is>
      </c>
      <c r="H1248" t="n">
        <v>5</v>
      </c>
      <c r="I1248" s="73" t="n">
        <v>158600</v>
      </c>
      <c r="J1248" s="73" t="n">
        <v>1229150</v>
      </c>
      <c r="K1248" s="73" t="n">
        <v>721624</v>
      </c>
    </row>
    <row r="1249">
      <c r="A1249" t="n">
        <v>11641</v>
      </c>
      <c r="B1249" s="72" t="n">
        <v>45653.83888888889</v>
      </c>
      <c r="C1249" t="inlineStr">
        <is>
          <t>Bolívar</t>
        </is>
      </c>
      <c r="D1249" t="inlineStr">
        <is>
          <t>Cartagena</t>
        </is>
      </c>
      <c r="E1249" t="inlineStr">
        <is>
          <t>Hogar</t>
        </is>
      </c>
      <c r="F1249" t="inlineStr">
        <is>
          <t>Web</t>
        </is>
      </c>
      <c r="G1249" t="inlineStr">
        <is>
          <t>1. Visita</t>
        </is>
      </c>
      <c r="H1249" t="n">
        <v>2</v>
      </c>
      <c r="I1249" s="73" t="n">
        <v>226100</v>
      </c>
      <c r="J1249" s="73" t="n">
        <v>700910</v>
      </c>
      <c r="K1249" s="73" t="n">
        <v>443209</v>
      </c>
    </row>
    <row r="1250">
      <c r="A1250" t="n">
        <v>10195</v>
      </c>
      <c r="B1250" s="72" t="n">
        <v>45653.87708333333</v>
      </c>
      <c r="C1250" t="inlineStr">
        <is>
          <t>Bogotá D.C.</t>
        </is>
      </c>
      <c r="D1250" t="inlineStr">
        <is>
          <t>Bogotá</t>
        </is>
      </c>
      <c r="E1250" t="inlineStr">
        <is>
          <t>Moda</t>
        </is>
      </c>
      <c r="F1250" t="inlineStr">
        <is>
          <t>Web</t>
        </is>
      </c>
      <c r="G1250" t="inlineStr">
        <is>
          <t>3. Pago</t>
        </is>
      </c>
      <c r="H1250" t="n">
        <v>2</v>
      </c>
      <c r="I1250" s="73" t="n">
        <v>116400</v>
      </c>
      <c r="J1250" s="73" t="n">
        <v>360840</v>
      </c>
      <c r="K1250" s="73" t="n">
        <v>269156</v>
      </c>
    </row>
    <row r="1251">
      <c r="A1251" t="n">
        <v>10541</v>
      </c>
      <c r="B1251" s="72" t="n">
        <v>45653.97638888889</v>
      </c>
      <c r="C1251" t="inlineStr">
        <is>
          <t>Atlántico</t>
        </is>
      </c>
      <c r="D1251" t="inlineStr">
        <is>
          <t>Barranquilla</t>
        </is>
      </c>
      <c r="E1251" t="inlineStr">
        <is>
          <t>Moda</t>
        </is>
      </c>
      <c r="F1251" t="inlineStr">
        <is>
          <t>App</t>
        </is>
      </c>
      <c r="G1251" t="inlineStr">
        <is>
          <t>4. Compra</t>
        </is>
      </c>
      <c r="H1251" t="n">
        <v>2</v>
      </c>
      <c r="I1251" s="73" t="n">
        <v>108300</v>
      </c>
      <c r="J1251" s="73" t="n">
        <v>335730</v>
      </c>
      <c r="K1251" s="73" t="n">
        <v>224721</v>
      </c>
    </row>
    <row r="1252">
      <c r="A1252" t="n">
        <v>11247</v>
      </c>
      <c r="B1252" s="72" t="n">
        <v>45654.39236111111</v>
      </c>
      <c r="C1252" t="inlineStr">
        <is>
          <t>Valle del Cauca</t>
        </is>
      </c>
      <c r="D1252" t="inlineStr">
        <is>
          <t>Cali</t>
        </is>
      </c>
      <c r="E1252" t="inlineStr">
        <is>
          <t>Deportes</t>
        </is>
      </c>
      <c r="F1252" t="inlineStr">
        <is>
          <t>Web</t>
        </is>
      </c>
      <c r="G1252" t="inlineStr">
        <is>
          <t>3. Pago</t>
        </is>
      </c>
      <c r="H1252" t="n">
        <v>1</v>
      </c>
      <c r="I1252" s="73" t="n">
        <v>185500</v>
      </c>
      <c r="J1252" s="73" t="n">
        <v>287525</v>
      </c>
      <c r="K1252" s="73" t="n">
        <v>172815</v>
      </c>
    </row>
    <row r="1253">
      <c r="A1253" t="n">
        <v>10829</v>
      </c>
      <c r="B1253" s="72" t="n">
        <v>45654.50069444445</v>
      </c>
      <c r="C1253" t="inlineStr">
        <is>
          <t>Risaralda</t>
        </is>
      </c>
      <c r="D1253" t="inlineStr">
        <is>
          <t>Pereira</t>
        </is>
      </c>
      <c r="E1253" t="inlineStr">
        <is>
          <t>Juguetes</t>
        </is>
      </c>
      <c r="F1253" t="inlineStr">
        <is>
          <t>Tienda física</t>
        </is>
      </c>
      <c r="G1253" t="inlineStr">
        <is>
          <t>2. Carrito</t>
        </is>
      </c>
      <c r="H1253" t="n">
        <v>5</v>
      </c>
      <c r="I1253" s="73" t="n">
        <v>114000</v>
      </c>
      <c r="J1253" s="73" t="n">
        <v>883500</v>
      </c>
      <c r="K1253" s="73" t="n">
        <v>495764</v>
      </c>
    </row>
    <row r="1254">
      <c r="A1254" t="n">
        <v>12239</v>
      </c>
      <c r="B1254" s="72" t="n">
        <v>45654.54513888889</v>
      </c>
      <c r="C1254" t="inlineStr">
        <is>
          <t>Bolívar</t>
        </is>
      </c>
      <c r="D1254" t="inlineStr">
        <is>
          <t>Cartagena</t>
        </is>
      </c>
      <c r="E1254" t="inlineStr">
        <is>
          <t>Belleza</t>
        </is>
      </c>
      <c r="F1254" t="inlineStr">
        <is>
          <t>Tienda física</t>
        </is>
      </c>
      <c r="G1254" t="inlineStr">
        <is>
          <t>1. Visita</t>
        </is>
      </c>
      <c r="H1254" t="n">
        <v>1</v>
      </c>
      <c r="I1254" s="73" t="n">
        <v>74700</v>
      </c>
      <c r="J1254" s="73" t="n">
        <v>115785</v>
      </c>
      <c r="K1254" s="73" t="n">
        <v>72664</v>
      </c>
    </row>
    <row r="1255">
      <c r="A1255" t="n">
        <v>10660</v>
      </c>
      <c r="B1255" s="72" t="n">
        <v>45654.77430555555</v>
      </c>
      <c r="C1255" t="inlineStr">
        <is>
          <t>Bolívar</t>
        </is>
      </c>
      <c r="D1255" t="inlineStr">
        <is>
          <t>Cartagena</t>
        </is>
      </c>
      <c r="E1255" t="inlineStr">
        <is>
          <t>Hogar</t>
        </is>
      </c>
      <c r="F1255" t="inlineStr">
        <is>
          <t>Tienda física</t>
        </is>
      </c>
      <c r="G1255" t="inlineStr">
        <is>
          <t>1. Visita</t>
        </is>
      </c>
      <c r="H1255" t="n">
        <v>2</v>
      </c>
      <c r="I1255" s="73" t="n">
        <v>251600</v>
      </c>
      <c r="J1255" s="73" t="n">
        <v>779960</v>
      </c>
      <c r="K1255" s="73" t="n">
        <v>545393</v>
      </c>
    </row>
    <row r="1256">
      <c r="A1256" t="n">
        <v>11329</v>
      </c>
      <c r="B1256" s="72" t="n">
        <v>45655.50833333333</v>
      </c>
      <c r="C1256" t="inlineStr">
        <is>
          <t>Risaralda</t>
        </is>
      </c>
      <c r="D1256" t="inlineStr">
        <is>
          <t>Pereira</t>
        </is>
      </c>
      <c r="E1256" t="inlineStr">
        <is>
          <t>Tecnología</t>
        </is>
      </c>
      <c r="F1256" t="inlineStr">
        <is>
          <t>App</t>
        </is>
      </c>
      <c r="G1256" t="inlineStr">
        <is>
          <t>1. Visita</t>
        </is>
      </c>
      <c r="H1256" t="n">
        <v>4</v>
      </c>
      <c r="I1256" s="73" t="n">
        <v>873300</v>
      </c>
      <c r="J1256" s="73" t="n">
        <v>5414460</v>
      </c>
      <c r="K1256" s="73" t="n">
        <v>3193417</v>
      </c>
    </row>
    <row r="1257">
      <c r="A1257" t="n">
        <v>11552</v>
      </c>
      <c r="B1257" s="72" t="n">
        <v>45655.54791666667</v>
      </c>
      <c r="C1257" t="inlineStr">
        <is>
          <t>Bolívar</t>
        </is>
      </c>
      <c r="D1257" t="inlineStr">
        <is>
          <t>Cartagena</t>
        </is>
      </c>
      <c r="E1257" t="inlineStr">
        <is>
          <t>Hogar</t>
        </is>
      </c>
      <c r="F1257" t="inlineStr">
        <is>
          <t>Tienda física</t>
        </is>
      </c>
      <c r="G1257" t="inlineStr">
        <is>
          <t>2. Carrito</t>
        </is>
      </c>
      <c r="H1257" t="n">
        <v>3</v>
      </c>
      <c r="I1257" s="73" t="n">
        <v>189700</v>
      </c>
      <c r="J1257" s="73" t="n">
        <v>882105</v>
      </c>
      <c r="K1257" s="73" t="n">
        <v>521407</v>
      </c>
    </row>
    <row r="1258">
      <c r="A1258" t="n">
        <v>10839</v>
      </c>
      <c r="B1258" s="72" t="n">
        <v>45656.55138888889</v>
      </c>
      <c r="C1258" t="inlineStr">
        <is>
          <t>Bogotá D.C.</t>
        </is>
      </c>
      <c r="D1258" t="inlineStr">
        <is>
          <t>Bogotá</t>
        </is>
      </c>
      <c r="E1258" t="inlineStr">
        <is>
          <t>Juguetes</t>
        </is>
      </c>
      <c r="F1258" t="inlineStr">
        <is>
          <t>Web</t>
        </is>
      </c>
      <c r="G1258" t="inlineStr">
        <is>
          <t>2. Carrito</t>
        </is>
      </c>
      <c r="H1258" t="n">
        <v>4</v>
      </c>
      <c r="I1258" s="73" t="n">
        <v>96500</v>
      </c>
      <c r="J1258" s="73" t="n">
        <v>540400</v>
      </c>
      <c r="K1258" s="73" t="n">
        <v>380830</v>
      </c>
    </row>
    <row r="1259">
      <c r="A1259" t="n">
        <v>11327</v>
      </c>
      <c r="B1259" s="72" t="n">
        <v>45657.37291666667</v>
      </c>
      <c r="C1259" t="inlineStr">
        <is>
          <t>Bogotá D.C.</t>
        </is>
      </c>
      <c r="D1259" t="inlineStr">
        <is>
          <t>Bogotá</t>
        </is>
      </c>
      <c r="E1259" t="inlineStr">
        <is>
          <t>Hogar</t>
        </is>
      </c>
      <c r="F1259" t="inlineStr">
        <is>
          <t>Tienda física</t>
        </is>
      </c>
      <c r="G1259" t="inlineStr">
        <is>
          <t>1. Visita</t>
        </is>
      </c>
      <c r="H1259" t="n">
        <v>3</v>
      </c>
      <c r="I1259" s="73" t="n">
        <v>270800</v>
      </c>
      <c r="J1259" s="73" t="n">
        <v>1137360</v>
      </c>
      <c r="K1259" s="73" t="n">
        <v>682729</v>
      </c>
    </row>
    <row r="1260">
      <c r="A1260" t="n">
        <v>11900</v>
      </c>
      <c r="B1260" s="72" t="n">
        <v>45657.43541666667</v>
      </c>
      <c r="C1260" t="inlineStr">
        <is>
          <t>Antioquia</t>
        </is>
      </c>
      <c r="D1260" t="inlineStr">
        <is>
          <t>Medellín</t>
        </is>
      </c>
      <c r="E1260" t="inlineStr">
        <is>
          <t>Hogar</t>
        </is>
      </c>
      <c r="F1260" t="inlineStr">
        <is>
          <t>Web</t>
        </is>
      </c>
      <c r="G1260" t="inlineStr">
        <is>
          <t>2. Carrito</t>
        </is>
      </c>
      <c r="H1260" t="n">
        <v>3</v>
      </c>
      <c r="I1260" s="73" t="n">
        <v>220000</v>
      </c>
      <c r="J1260" s="73" t="n">
        <v>924000</v>
      </c>
      <c r="K1260" s="73" t="n">
        <v>535163</v>
      </c>
    </row>
    <row r="1261">
      <c r="A1261" t="n">
        <v>12020</v>
      </c>
      <c r="B1261" s="72" t="n">
        <v>45657.57083333333</v>
      </c>
      <c r="C1261" t="inlineStr">
        <is>
          <t>Risaralda</t>
        </is>
      </c>
      <c r="D1261" t="inlineStr">
        <is>
          <t>Pereira</t>
        </is>
      </c>
      <c r="E1261" t="inlineStr">
        <is>
          <t>Tecnología</t>
        </is>
      </c>
      <c r="F1261" t="inlineStr">
        <is>
          <t>Tienda física</t>
        </is>
      </c>
      <c r="G1261" t="inlineStr">
        <is>
          <t>1. Visita</t>
        </is>
      </c>
      <c r="H1261" t="n">
        <v>1</v>
      </c>
      <c r="I1261" s="73" t="n">
        <v>849600</v>
      </c>
      <c r="J1261" s="73" t="n">
        <v>1189440</v>
      </c>
      <c r="K1261" s="73" t="n">
        <v>880165</v>
      </c>
    </row>
    <row r="1262">
      <c r="A1262" t="n">
        <v>11255</v>
      </c>
      <c r="B1262" s="72" t="n">
        <v>45658.8375</v>
      </c>
      <c r="C1262" t="inlineStr">
        <is>
          <t>Valle del Cauca</t>
        </is>
      </c>
      <c r="D1262" t="inlineStr">
        <is>
          <t>Cali</t>
        </is>
      </c>
      <c r="E1262" t="inlineStr">
        <is>
          <t>Deportes</t>
        </is>
      </c>
      <c r="F1262" t="inlineStr">
        <is>
          <t>Web</t>
        </is>
      </c>
      <c r="G1262" t="inlineStr">
        <is>
          <t>3. Pago</t>
        </is>
      </c>
      <c r="H1262" t="n">
        <v>5</v>
      </c>
      <c r="I1262" s="73" t="n">
        <v>186000</v>
      </c>
      <c r="J1262" s="73" t="n">
        <v>930000</v>
      </c>
      <c r="K1262" s="73" t="n">
        <v>665071</v>
      </c>
    </row>
    <row r="1263">
      <c r="A1263" t="n">
        <v>12301</v>
      </c>
      <c r="B1263" s="72" t="n">
        <v>45658.86805555555</v>
      </c>
      <c r="C1263" t="inlineStr">
        <is>
          <t>Bogotá D.C.</t>
        </is>
      </c>
      <c r="D1263" t="inlineStr">
        <is>
          <t>Bogotá</t>
        </is>
      </c>
      <c r="E1263" t="inlineStr">
        <is>
          <t>Juguetes</t>
        </is>
      </c>
      <c r="F1263" t="inlineStr">
        <is>
          <t>Tienda física</t>
        </is>
      </c>
      <c r="G1263" t="inlineStr">
        <is>
          <t>2. Carrito</t>
        </is>
      </c>
      <c r="H1263" t="n">
        <v>4</v>
      </c>
      <c r="I1263" s="73" t="n">
        <v>93900</v>
      </c>
      <c r="J1263" s="73" t="n">
        <v>375600</v>
      </c>
      <c r="K1263" s="73" t="n">
        <v>235307</v>
      </c>
    </row>
    <row r="1264">
      <c r="A1264" t="n">
        <v>10594</v>
      </c>
      <c r="B1264" s="72" t="n">
        <v>45659.40277777778</v>
      </c>
      <c r="C1264" t="inlineStr">
        <is>
          <t>Huila</t>
        </is>
      </c>
      <c r="D1264" t="inlineStr">
        <is>
          <t>Neiva</t>
        </is>
      </c>
      <c r="E1264" t="inlineStr">
        <is>
          <t>Moda</t>
        </is>
      </c>
      <c r="F1264" t="inlineStr">
        <is>
          <t>Tienda física</t>
        </is>
      </c>
      <c r="G1264" t="inlineStr">
        <is>
          <t>2. Carrito</t>
        </is>
      </c>
      <c r="H1264" t="n">
        <v>3</v>
      </c>
      <c r="I1264" s="73" t="n">
        <v>125300</v>
      </c>
      <c r="J1264" s="73" t="n">
        <v>375900</v>
      </c>
      <c r="K1264" s="73" t="n">
        <v>265900</v>
      </c>
    </row>
    <row r="1265">
      <c r="A1265" t="n">
        <v>10780</v>
      </c>
      <c r="B1265" s="72" t="n">
        <v>45659.50486111111</v>
      </c>
      <c r="C1265" t="inlineStr">
        <is>
          <t>Bogotá D.C.</t>
        </is>
      </c>
      <c r="D1265" t="inlineStr">
        <is>
          <t>Bogotá</t>
        </is>
      </c>
      <c r="E1265" t="inlineStr">
        <is>
          <t>Moda</t>
        </is>
      </c>
      <c r="F1265" t="inlineStr">
        <is>
          <t>Web</t>
        </is>
      </c>
      <c r="G1265" t="inlineStr">
        <is>
          <t>2. Carrito</t>
        </is>
      </c>
      <c r="H1265" t="n">
        <v>3</v>
      </c>
      <c r="I1265" s="73" t="n">
        <v>138000</v>
      </c>
      <c r="J1265" s="73" t="n">
        <v>414000</v>
      </c>
      <c r="K1265" s="73" t="n">
        <v>304706</v>
      </c>
    </row>
    <row r="1266">
      <c r="A1266" t="n">
        <v>10269</v>
      </c>
      <c r="B1266" s="72" t="n">
        <v>45659.50625</v>
      </c>
      <c r="C1266" t="inlineStr">
        <is>
          <t>Bogotá D.C.</t>
        </is>
      </c>
      <c r="D1266" t="inlineStr">
        <is>
          <t>Bogotá</t>
        </is>
      </c>
      <c r="E1266" t="inlineStr">
        <is>
          <t>Deportes</t>
        </is>
      </c>
      <c r="F1266" t="inlineStr">
        <is>
          <t>Tienda física</t>
        </is>
      </c>
      <c r="G1266" t="inlineStr">
        <is>
          <t>4. Compra</t>
        </is>
      </c>
      <c r="H1266" t="n">
        <v>5</v>
      </c>
      <c r="I1266" s="73" t="n">
        <v>191200</v>
      </c>
      <c r="J1266" s="73" t="n">
        <v>956000</v>
      </c>
      <c r="K1266" s="73" t="n">
        <v>599112</v>
      </c>
    </row>
    <row r="1267">
      <c r="A1267" t="n">
        <v>12116</v>
      </c>
      <c r="B1267" s="72" t="n">
        <v>45659.61041666667</v>
      </c>
      <c r="C1267" t="inlineStr">
        <is>
          <t>Antioquia</t>
        </is>
      </c>
      <c r="D1267" t="inlineStr">
        <is>
          <t>Medellín</t>
        </is>
      </c>
      <c r="E1267" t="inlineStr">
        <is>
          <t>Deportes</t>
        </is>
      </c>
      <c r="F1267" t="inlineStr">
        <is>
          <t>Web</t>
        </is>
      </c>
      <c r="G1267" t="inlineStr">
        <is>
          <t>4. Compra</t>
        </is>
      </c>
      <c r="H1267" t="n">
        <v>1</v>
      </c>
      <c r="I1267" s="73" t="n">
        <v>122900</v>
      </c>
      <c r="J1267" s="73" t="n">
        <v>122900</v>
      </c>
      <c r="K1267" s="73" t="n">
        <v>88822</v>
      </c>
    </row>
    <row r="1268">
      <c r="A1268" t="n">
        <v>10579</v>
      </c>
      <c r="B1268" s="72" t="n">
        <v>45659.78680555556</v>
      </c>
      <c r="C1268" t="inlineStr">
        <is>
          <t>Antioquia</t>
        </is>
      </c>
      <c r="D1268" t="inlineStr">
        <is>
          <t>Medellín</t>
        </is>
      </c>
      <c r="E1268" t="inlineStr">
        <is>
          <t>Hogar</t>
        </is>
      </c>
      <c r="F1268" t="inlineStr">
        <is>
          <t>Tienda física</t>
        </is>
      </c>
      <c r="G1268" t="inlineStr">
        <is>
          <t>4. Compra</t>
        </is>
      </c>
      <c r="H1268" t="n">
        <v>3</v>
      </c>
      <c r="I1268" s="73" t="n">
        <v>203600</v>
      </c>
      <c r="J1268" s="73" t="n">
        <v>610800</v>
      </c>
      <c r="K1268" s="73" t="n">
        <v>336991</v>
      </c>
    </row>
    <row r="1269">
      <c r="A1269" t="n">
        <v>11004</v>
      </c>
      <c r="B1269" s="72" t="n">
        <v>45660.65486111111</v>
      </c>
      <c r="C1269" t="inlineStr">
        <is>
          <t>Bolívar</t>
        </is>
      </c>
      <c r="D1269" t="inlineStr">
        <is>
          <t>Cartagena</t>
        </is>
      </c>
      <c r="E1269" t="inlineStr">
        <is>
          <t>Belleza</t>
        </is>
      </c>
      <c r="F1269" t="inlineStr">
        <is>
          <t>Web</t>
        </is>
      </c>
      <c r="G1269" t="inlineStr">
        <is>
          <t>3. Pago</t>
        </is>
      </c>
      <c r="H1269" t="n">
        <v>4</v>
      </c>
      <c r="I1269" s="73" t="n">
        <v>82100</v>
      </c>
      <c r="J1269" s="73" t="n">
        <v>377660</v>
      </c>
      <c r="K1269" s="73" t="n">
        <v>249847</v>
      </c>
    </row>
    <row r="1270">
      <c r="A1270" t="n">
        <v>10957</v>
      </c>
      <c r="B1270" s="72" t="n">
        <v>45660.66388888889</v>
      </c>
      <c r="C1270" t="inlineStr">
        <is>
          <t>Bogotá D.C.</t>
        </is>
      </c>
      <c r="D1270" t="inlineStr">
        <is>
          <t>Bogotá</t>
        </is>
      </c>
      <c r="E1270" t="inlineStr">
        <is>
          <t>Juguetes</t>
        </is>
      </c>
      <c r="F1270" t="inlineStr">
        <is>
          <t>Tienda física</t>
        </is>
      </c>
      <c r="G1270" t="inlineStr">
        <is>
          <t>2. Carrito</t>
        </is>
      </c>
      <c r="H1270" t="n">
        <v>3</v>
      </c>
      <c r="I1270" s="73" t="n">
        <v>107200</v>
      </c>
      <c r="J1270" s="73" t="n">
        <v>369840</v>
      </c>
      <c r="K1270" s="73" t="n">
        <v>218276</v>
      </c>
    </row>
    <row r="1271">
      <c r="A1271" t="n">
        <v>10362</v>
      </c>
      <c r="B1271" s="72" t="n">
        <v>45660.70694444444</v>
      </c>
      <c r="C1271" t="inlineStr">
        <is>
          <t>Valle del Cauca</t>
        </is>
      </c>
      <c r="D1271" t="inlineStr">
        <is>
          <t>Cali</t>
        </is>
      </c>
      <c r="E1271" t="inlineStr">
        <is>
          <t>Belleza</t>
        </is>
      </c>
      <c r="F1271" t="inlineStr">
        <is>
          <t>Tienda física</t>
        </is>
      </c>
      <c r="G1271" t="inlineStr">
        <is>
          <t>3. Pago</t>
        </is>
      </c>
      <c r="H1271" t="n">
        <v>3</v>
      </c>
      <c r="I1271" s="73" t="n">
        <v>72000</v>
      </c>
      <c r="J1271" s="73" t="n">
        <v>248400</v>
      </c>
      <c r="K1271" s="73" t="n">
        <v>167628</v>
      </c>
    </row>
    <row r="1272">
      <c r="A1272" t="n">
        <v>10094</v>
      </c>
      <c r="B1272" s="72" t="n">
        <v>45660.73472222222</v>
      </c>
      <c r="C1272" t="inlineStr">
        <is>
          <t>Valle del Cauca</t>
        </is>
      </c>
      <c r="D1272" t="inlineStr">
        <is>
          <t>Cali</t>
        </is>
      </c>
      <c r="E1272" t="inlineStr">
        <is>
          <t>Tecnología</t>
        </is>
      </c>
      <c r="F1272" t="inlineStr">
        <is>
          <t>App</t>
        </is>
      </c>
      <c r="G1272" t="inlineStr">
        <is>
          <t>1. Visita</t>
        </is>
      </c>
      <c r="H1272" t="n">
        <v>5</v>
      </c>
      <c r="I1272" s="73" t="n">
        <v>643500</v>
      </c>
      <c r="J1272" s="73" t="n">
        <v>3700125</v>
      </c>
      <c r="K1272" s="73" t="n">
        <v>2344968</v>
      </c>
    </row>
    <row r="1273">
      <c r="A1273" t="n">
        <v>12264</v>
      </c>
      <c r="B1273" s="72" t="n">
        <v>45660.9625</v>
      </c>
      <c r="C1273" t="inlineStr">
        <is>
          <t>Antioquia</t>
        </is>
      </c>
      <c r="D1273" t="inlineStr">
        <is>
          <t>Medellín</t>
        </is>
      </c>
      <c r="E1273" t="inlineStr">
        <is>
          <t>Juguetes</t>
        </is>
      </c>
      <c r="F1273" t="inlineStr">
        <is>
          <t>App</t>
        </is>
      </c>
      <c r="G1273" t="inlineStr">
        <is>
          <t>2. Carrito</t>
        </is>
      </c>
      <c r="H1273" t="n">
        <v>3</v>
      </c>
      <c r="I1273" s="73" t="n">
        <v>95500</v>
      </c>
      <c r="J1273" s="73" t="n">
        <v>329475</v>
      </c>
      <c r="K1273" s="73" t="n">
        <v>201212</v>
      </c>
    </row>
    <row r="1274">
      <c r="A1274" t="n">
        <v>10728</v>
      </c>
      <c r="B1274" s="72" t="n">
        <v>45661.36944444444</v>
      </c>
      <c r="C1274" t="inlineStr">
        <is>
          <t>Bogotá D.C.</t>
        </is>
      </c>
      <c r="D1274" t="inlineStr">
        <is>
          <t>Bogotá</t>
        </is>
      </c>
      <c r="E1274" t="inlineStr">
        <is>
          <t>Tecnología</t>
        </is>
      </c>
      <c r="F1274" t="inlineStr">
        <is>
          <t>Web</t>
        </is>
      </c>
      <c r="G1274" t="inlineStr">
        <is>
          <t>1. Visita</t>
        </is>
      </c>
      <c r="H1274" t="n">
        <v>3</v>
      </c>
      <c r="I1274" s="73" t="n">
        <v>745300</v>
      </c>
      <c r="J1274" s="73" t="n">
        <v>2571285</v>
      </c>
      <c r="K1274" s="73" t="n">
        <v>1502083</v>
      </c>
    </row>
    <row r="1275">
      <c r="A1275" t="n">
        <v>11543</v>
      </c>
      <c r="B1275" s="72" t="n">
        <v>45661.72291666667</v>
      </c>
      <c r="C1275" t="inlineStr">
        <is>
          <t>Bogotá D.C.</t>
        </is>
      </c>
      <c r="D1275" t="inlineStr">
        <is>
          <t>Bogotá</t>
        </is>
      </c>
      <c r="E1275" t="inlineStr">
        <is>
          <t>Tecnología</t>
        </is>
      </c>
      <c r="F1275" t="inlineStr">
        <is>
          <t>Tienda física</t>
        </is>
      </c>
      <c r="G1275" t="inlineStr">
        <is>
          <t>3. Pago</t>
        </is>
      </c>
      <c r="H1275" t="n">
        <v>4</v>
      </c>
      <c r="I1275" s="73" t="n">
        <v>652700</v>
      </c>
      <c r="J1275" s="73" t="n">
        <v>3002420</v>
      </c>
      <c r="K1275" s="73" t="n">
        <v>1917550</v>
      </c>
    </row>
    <row r="1276">
      <c r="A1276" t="n">
        <v>11616</v>
      </c>
      <c r="B1276" s="72" t="n">
        <v>45661.82430555556</v>
      </c>
      <c r="C1276" t="inlineStr">
        <is>
          <t>Bogotá D.C.</t>
        </is>
      </c>
      <c r="D1276" t="inlineStr">
        <is>
          <t>Bogotá</t>
        </is>
      </c>
      <c r="E1276" t="inlineStr">
        <is>
          <t>Deportes</t>
        </is>
      </c>
      <c r="F1276" t="inlineStr">
        <is>
          <t>Tienda física</t>
        </is>
      </c>
      <c r="G1276" t="inlineStr">
        <is>
          <t>3. Pago</t>
        </is>
      </c>
      <c r="H1276" t="n">
        <v>3</v>
      </c>
      <c r="I1276" s="73" t="n">
        <v>115700</v>
      </c>
      <c r="J1276" s="73" t="n">
        <v>399165</v>
      </c>
      <c r="K1276" s="73" t="n">
        <v>234204</v>
      </c>
    </row>
    <row r="1277">
      <c r="A1277" t="n">
        <v>11372</v>
      </c>
      <c r="B1277" s="72" t="n">
        <v>45661.8375</v>
      </c>
      <c r="C1277" t="inlineStr">
        <is>
          <t>Santander</t>
        </is>
      </c>
      <c r="D1277" t="inlineStr">
        <is>
          <t>Bucaramanga</t>
        </is>
      </c>
      <c r="E1277" t="inlineStr">
        <is>
          <t>Juguetes</t>
        </is>
      </c>
      <c r="F1277" t="inlineStr">
        <is>
          <t>Tienda física</t>
        </is>
      </c>
      <c r="G1277" t="inlineStr">
        <is>
          <t>3. Pago</t>
        </is>
      </c>
      <c r="H1277" t="n">
        <v>5</v>
      </c>
      <c r="I1277" s="73" t="n">
        <v>116500</v>
      </c>
      <c r="J1277" s="73" t="n">
        <v>669875</v>
      </c>
      <c r="K1277" s="73" t="n">
        <v>482034</v>
      </c>
    </row>
    <row r="1278">
      <c r="A1278" t="n">
        <v>12153</v>
      </c>
      <c r="B1278" s="72" t="n">
        <v>45661.89097222222</v>
      </c>
      <c r="C1278" t="inlineStr">
        <is>
          <t>Antioquia</t>
        </is>
      </c>
      <c r="D1278" t="inlineStr">
        <is>
          <t>Medellín</t>
        </is>
      </c>
      <c r="E1278" t="inlineStr">
        <is>
          <t>Moda</t>
        </is>
      </c>
      <c r="F1278" t="inlineStr">
        <is>
          <t>App</t>
        </is>
      </c>
      <c r="G1278" t="inlineStr">
        <is>
          <t>1. Visita</t>
        </is>
      </c>
      <c r="H1278" t="n">
        <v>4</v>
      </c>
      <c r="I1278" s="73" t="n">
        <v>107200</v>
      </c>
      <c r="J1278" s="73" t="n">
        <v>493120</v>
      </c>
      <c r="K1278" s="73" t="n">
        <v>273022</v>
      </c>
    </row>
    <row r="1279">
      <c r="A1279" t="n">
        <v>11242</v>
      </c>
      <c r="B1279" s="72" t="n">
        <v>45662.25208333333</v>
      </c>
      <c r="C1279" t="inlineStr">
        <is>
          <t>Risaralda</t>
        </is>
      </c>
      <c r="D1279" t="inlineStr">
        <is>
          <t>Pereira</t>
        </is>
      </c>
      <c r="E1279" t="inlineStr">
        <is>
          <t>Belleza</t>
        </is>
      </c>
      <c r="F1279" t="inlineStr">
        <is>
          <t>Web</t>
        </is>
      </c>
      <c r="G1279" t="inlineStr">
        <is>
          <t>2. Carrito</t>
        </is>
      </c>
      <c r="H1279" t="n">
        <v>2</v>
      </c>
      <c r="I1279" s="73" t="n">
        <v>69500</v>
      </c>
      <c r="J1279" s="73" t="n">
        <v>159850</v>
      </c>
      <c r="K1279" s="73" t="n">
        <v>90056</v>
      </c>
    </row>
    <row r="1280">
      <c r="A1280" t="n">
        <v>11605</v>
      </c>
      <c r="B1280" s="72" t="n">
        <v>45662.41597222222</v>
      </c>
      <c r="C1280" t="inlineStr">
        <is>
          <t>Valle del Cauca</t>
        </is>
      </c>
      <c r="D1280" t="inlineStr">
        <is>
          <t>Cali</t>
        </is>
      </c>
      <c r="E1280" t="inlineStr">
        <is>
          <t>Deportes</t>
        </is>
      </c>
      <c r="F1280" t="inlineStr">
        <is>
          <t>Web</t>
        </is>
      </c>
      <c r="G1280" t="inlineStr">
        <is>
          <t>3. Pago</t>
        </is>
      </c>
      <c r="H1280" t="n">
        <v>4</v>
      </c>
      <c r="I1280" s="73" t="n">
        <v>170500</v>
      </c>
      <c r="J1280" s="73" t="n">
        <v>784300</v>
      </c>
      <c r="K1280" s="73" t="n">
        <v>544643</v>
      </c>
    </row>
    <row r="1281">
      <c r="A1281" t="n">
        <v>11238</v>
      </c>
      <c r="B1281" s="72" t="n">
        <v>45662.79791666667</v>
      </c>
      <c r="C1281" t="inlineStr">
        <is>
          <t>Nariño</t>
        </is>
      </c>
      <c r="D1281" t="inlineStr">
        <is>
          <t>Pasto</t>
        </is>
      </c>
      <c r="E1281" t="inlineStr">
        <is>
          <t>Belleza</t>
        </is>
      </c>
      <c r="F1281" t="inlineStr">
        <is>
          <t>App</t>
        </is>
      </c>
      <c r="G1281" t="inlineStr">
        <is>
          <t>4. Compra</t>
        </is>
      </c>
      <c r="H1281" t="n">
        <v>5</v>
      </c>
      <c r="I1281" s="73" t="n">
        <v>79400</v>
      </c>
      <c r="J1281" s="73" t="n">
        <v>456550</v>
      </c>
      <c r="K1281" s="73" t="n">
        <v>268091</v>
      </c>
    </row>
    <row r="1282">
      <c r="A1282" t="n">
        <v>10906</v>
      </c>
      <c r="B1282" s="72" t="n">
        <v>45663.4125</v>
      </c>
      <c r="C1282" t="inlineStr">
        <is>
          <t>Nariño</t>
        </is>
      </c>
      <c r="D1282" t="inlineStr">
        <is>
          <t>Pasto</t>
        </is>
      </c>
      <c r="E1282" t="inlineStr">
        <is>
          <t>Juguetes</t>
        </is>
      </c>
      <c r="F1282" t="inlineStr">
        <is>
          <t>App</t>
        </is>
      </c>
      <c r="G1282" t="inlineStr">
        <is>
          <t>1. Visita</t>
        </is>
      </c>
      <c r="H1282" t="n">
        <v>5</v>
      </c>
      <c r="I1282" s="73" t="n">
        <v>66300</v>
      </c>
      <c r="J1282" s="73" t="n">
        <v>331500</v>
      </c>
      <c r="K1282" s="73" t="n">
        <v>226573</v>
      </c>
    </row>
    <row r="1283">
      <c r="A1283" t="n">
        <v>10142</v>
      </c>
      <c r="B1283" s="72" t="n">
        <v>45664.33888888889</v>
      </c>
      <c r="C1283" t="inlineStr">
        <is>
          <t>Bogotá D.C.</t>
        </is>
      </c>
      <c r="D1283" t="inlineStr">
        <is>
          <t>Bogotá</t>
        </is>
      </c>
      <c r="E1283" t="inlineStr">
        <is>
          <t>Hogar</t>
        </is>
      </c>
      <c r="F1283" t="inlineStr">
        <is>
          <t>App</t>
        </is>
      </c>
      <c r="G1283" t="inlineStr">
        <is>
          <t>2. Carrito</t>
        </is>
      </c>
      <c r="H1283" t="n">
        <v>4</v>
      </c>
      <c r="I1283" s="73" t="n">
        <v>244000</v>
      </c>
      <c r="J1283" s="73" t="n">
        <v>976000</v>
      </c>
      <c r="K1283" s="73" t="n">
        <v>715905</v>
      </c>
    </row>
    <row r="1284">
      <c r="A1284" t="n">
        <v>10794</v>
      </c>
      <c r="B1284" s="72" t="n">
        <v>45664.52361111111</v>
      </c>
      <c r="C1284" t="inlineStr">
        <is>
          <t>Valle del Cauca</t>
        </is>
      </c>
      <c r="D1284" t="inlineStr">
        <is>
          <t>Cali</t>
        </is>
      </c>
      <c r="E1284" t="inlineStr">
        <is>
          <t>Tecnología</t>
        </is>
      </c>
      <c r="F1284" t="inlineStr">
        <is>
          <t>App</t>
        </is>
      </c>
      <c r="G1284" t="inlineStr">
        <is>
          <t>2. Carrito</t>
        </is>
      </c>
      <c r="H1284" t="n">
        <v>1</v>
      </c>
      <c r="I1284" s="73" t="n">
        <v>855400</v>
      </c>
      <c r="J1284" s="73" t="n">
        <v>855400</v>
      </c>
      <c r="K1284" s="73" t="n">
        <v>475948</v>
      </c>
    </row>
    <row r="1285">
      <c r="A1285" t="n">
        <v>11447</v>
      </c>
      <c r="B1285" s="72" t="n">
        <v>45664.65486111111</v>
      </c>
      <c r="C1285" t="inlineStr">
        <is>
          <t>Valle del Cauca</t>
        </is>
      </c>
      <c r="D1285" t="inlineStr">
        <is>
          <t>Cali</t>
        </is>
      </c>
      <c r="E1285" t="inlineStr">
        <is>
          <t>Hogar</t>
        </is>
      </c>
      <c r="F1285" t="inlineStr">
        <is>
          <t>Tienda física</t>
        </is>
      </c>
      <c r="G1285" t="inlineStr">
        <is>
          <t>1. Visita</t>
        </is>
      </c>
      <c r="H1285" t="n">
        <v>4</v>
      </c>
      <c r="I1285" s="73" t="n">
        <v>181300</v>
      </c>
      <c r="J1285" s="73" t="n">
        <v>725200</v>
      </c>
      <c r="K1285" s="73" t="n">
        <v>534016</v>
      </c>
    </row>
    <row r="1286">
      <c r="A1286" t="n">
        <v>10500</v>
      </c>
      <c r="B1286" s="72" t="n">
        <v>45664.70555555556</v>
      </c>
      <c r="C1286" t="inlineStr">
        <is>
          <t>Bogotá D.C.</t>
        </is>
      </c>
      <c r="D1286" t="inlineStr">
        <is>
          <t>Bogotá</t>
        </is>
      </c>
      <c r="E1286" t="inlineStr">
        <is>
          <t>Tecnología</t>
        </is>
      </c>
      <c r="F1286" t="inlineStr">
        <is>
          <t>Web</t>
        </is>
      </c>
      <c r="G1286" t="inlineStr">
        <is>
          <t>2. Carrito</t>
        </is>
      </c>
      <c r="H1286" t="n">
        <v>1</v>
      </c>
      <c r="I1286" s="73" t="n">
        <v>831600</v>
      </c>
      <c r="J1286" s="73" t="n">
        <v>831600</v>
      </c>
      <c r="K1286" s="73" t="n">
        <v>523026</v>
      </c>
    </row>
    <row r="1287">
      <c r="A1287" t="n">
        <v>10657</v>
      </c>
      <c r="B1287" s="72" t="n">
        <v>45664.79236111111</v>
      </c>
      <c r="C1287" t="inlineStr">
        <is>
          <t>Antioquia</t>
        </is>
      </c>
      <c r="D1287" t="inlineStr">
        <is>
          <t>Medellín</t>
        </is>
      </c>
      <c r="E1287" t="inlineStr">
        <is>
          <t>Deportes</t>
        </is>
      </c>
      <c r="F1287" t="inlineStr">
        <is>
          <t>App</t>
        </is>
      </c>
      <c r="G1287" t="inlineStr">
        <is>
          <t>3. Pago</t>
        </is>
      </c>
      <c r="H1287" t="n">
        <v>5</v>
      </c>
      <c r="I1287" s="73" t="n">
        <v>137800</v>
      </c>
      <c r="J1287" s="73" t="n">
        <v>689000</v>
      </c>
      <c r="K1287" s="73" t="n">
        <v>465963</v>
      </c>
    </row>
    <row r="1288">
      <c r="A1288" t="n">
        <v>10953</v>
      </c>
      <c r="B1288" s="72" t="n">
        <v>45664.98819444444</v>
      </c>
      <c r="C1288" t="inlineStr">
        <is>
          <t>Bolívar</t>
        </is>
      </c>
      <c r="D1288" t="inlineStr">
        <is>
          <t>Cartagena</t>
        </is>
      </c>
      <c r="E1288" t="inlineStr">
        <is>
          <t>Moda</t>
        </is>
      </c>
      <c r="F1288" t="inlineStr">
        <is>
          <t>App</t>
        </is>
      </c>
      <c r="G1288" t="inlineStr">
        <is>
          <t>1. Visita</t>
        </is>
      </c>
      <c r="H1288" t="n">
        <v>1</v>
      </c>
      <c r="I1288" s="73" t="n">
        <v>88600</v>
      </c>
      <c r="J1288" s="73" t="n">
        <v>88600</v>
      </c>
      <c r="K1288" s="73" t="n">
        <v>55703</v>
      </c>
    </row>
    <row r="1289">
      <c r="A1289" t="n">
        <v>12288</v>
      </c>
      <c r="B1289" s="72" t="n">
        <v>45665.31111111111</v>
      </c>
      <c r="C1289" t="inlineStr">
        <is>
          <t>Bogotá D.C.</t>
        </is>
      </c>
      <c r="D1289" t="inlineStr">
        <is>
          <t>Bogotá</t>
        </is>
      </c>
      <c r="E1289" t="inlineStr">
        <is>
          <t>Belleza</t>
        </is>
      </c>
      <c r="F1289" t="inlineStr">
        <is>
          <t>Web</t>
        </is>
      </c>
      <c r="G1289" t="inlineStr">
        <is>
          <t>3. Pago</t>
        </is>
      </c>
      <c r="H1289" t="n">
        <v>3</v>
      </c>
      <c r="I1289" s="73" t="n">
        <v>56200</v>
      </c>
      <c r="J1289" s="73" t="n">
        <v>168600</v>
      </c>
      <c r="K1289" s="73" t="n">
        <v>108536</v>
      </c>
    </row>
    <row r="1290">
      <c r="A1290" t="n">
        <v>10075</v>
      </c>
      <c r="B1290" s="72" t="n">
        <v>45665.46111111111</v>
      </c>
      <c r="C1290" t="inlineStr">
        <is>
          <t>Bogotá D.C.</t>
        </is>
      </c>
      <c r="D1290" t="inlineStr">
        <is>
          <t>Bogotá</t>
        </is>
      </c>
      <c r="E1290" t="inlineStr">
        <is>
          <t>Deportes</t>
        </is>
      </c>
      <c r="F1290" t="inlineStr">
        <is>
          <t>Web</t>
        </is>
      </c>
      <c r="G1290" t="inlineStr">
        <is>
          <t>1. Visita</t>
        </is>
      </c>
      <c r="H1290" t="n">
        <v>2</v>
      </c>
      <c r="I1290" s="73" t="n">
        <v>179900</v>
      </c>
      <c r="J1290" s="73" t="n">
        <v>359800</v>
      </c>
      <c r="K1290" s="73" t="n">
        <v>241558</v>
      </c>
    </row>
    <row r="1291">
      <c r="A1291" t="n">
        <v>10315</v>
      </c>
      <c r="B1291" s="72" t="n">
        <v>45665.48194444444</v>
      </c>
      <c r="C1291" t="inlineStr">
        <is>
          <t>Bogotá D.C.</t>
        </is>
      </c>
      <c r="D1291" t="inlineStr">
        <is>
          <t>Bogotá</t>
        </is>
      </c>
      <c r="E1291" t="inlineStr">
        <is>
          <t>Juguetes</t>
        </is>
      </c>
      <c r="F1291" t="inlineStr">
        <is>
          <t>Web</t>
        </is>
      </c>
      <c r="G1291" t="inlineStr">
        <is>
          <t>1. Visita</t>
        </is>
      </c>
      <c r="H1291" t="n">
        <v>4</v>
      </c>
      <c r="I1291" s="73" t="n">
        <v>64100</v>
      </c>
      <c r="J1291" s="73" t="n">
        <v>256400</v>
      </c>
      <c r="K1291" s="73" t="n">
        <v>180724</v>
      </c>
    </row>
    <row r="1292">
      <c r="A1292" t="n">
        <v>11939</v>
      </c>
      <c r="B1292" s="72" t="n">
        <v>45665.55625</v>
      </c>
      <c r="C1292" t="inlineStr">
        <is>
          <t>Antioquia</t>
        </is>
      </c>
      <c r="D1292" t="inlineStr">
        <is>
          <t>Medellín</t>
        </is>
      </c>
      <c r="E1292" t="inlineStr">
        <is>
          <t>Deportes</t>
        </is>
      </c>
      <c r="F1292" t="inlineStr">
        <is>
          <t>Tienda física</t>
        </is>
      </c>
      <c r="G1292" t="inlineStr">
        <is>
          <t>2. Carrito</t>
        </is>
      </c>
      <c r="H1292" t="n">
        <v>3</v>
      </c>
      <c r="I1292" s="73" t="n">
        <v>188600</v>
      </c>
      <c r="J1292" s="73" t="n">
        <v>565800</v>
      </c>
      <c r="K1292" s="73" t="n">
        <v>397734</v>
      </c>
    </row>
    <row r="1293">
      <c r="A1293" t="n">
        <v>12229</v>
      </c>
      <c r="B1293" s="72" t="n">
        <v>45665.70625</v>
      </c>
      <c r="C1293" t="inlineStr">
        <is>
          <t>Valle del Cauca</t>
        </is>
      </c>
      <c r="D1293" t="inlineStr">
        <is>
          <t>Cali</t>
        </is>
      </c>
      <c r="E1293" t="inlineStr">
        <is>
          <t>Belleza</t>
        </is>
      </c>
      <c r="F1293" t="inlineStr">
        <is>
          <t>App</t>
        </is>
      </c>
      <c r="G1293" t="inlineStr">
        <is>
          <t>4. Compra</t>
        </is>
      </c>
      <c r="H1293" t="n">
        <v>4</v>
      </c>
      <c r="I1293" s="73" t="n">
        <v>59600</v>
      </c>
      <c r="J1293" s="73" t="n">
        <v>238400</v>
      </c>
      <c r="K1293" s="73" t="n">
        <v>149582</v>
      </c>
    </row>
    <row r="1294">
      <c r="A1294" t="n">
        <v>10312</v>
      </c>
      <c r="B1294" s="72" t="n">
        <v>45665.70833333334</v>
      </c>
      <c r="C1294" t="inlineStr">
        <is>
          <t>Antioquia</t>
        </is>
      </c>
      <c r="D1294" t="inlineStr">
        <is>
          <t>Medellín</t>
        </is>
      </c>
      <c r="E1294" t="inlineStr">
        <is>
          <t>Juguetes</t>
        </is>
      </c>
      <c r="F1294" t="inlineStr">
        <is>
          <t>Marketplace</t>
        </is>
      </c>
      <c r="G1294" t="inlineStr">
        <is>
          <t>2. Carrito</t>
        </is>
      </c>
      <c r="H1294" t="n">
        <v>3</v>
      </c>
      <c r="I1294" s="73" t="n">
        <v>64100</v>
      </c>
      <c r="J1294" s="73" t="n">
        <v>192300</v>
      </c>
      <c r="K1294" s="73" t="n">
        <v>124117</v>
      </c>
    </row>
    <row r="1295">
      <c r="A1295" t="n">
        <v>10903</v>
      </c>
      <c r="B1295" s="72" t="n">
        <v>45665.74444444444</v>
      </c>
      <c r="C1295" t="inlineStr">
        <is>
          <t>Santander</t>
        </is>
      </c>
      <c r="D1295" t="inlineStr">
        <is>
          <t>Bucaramanga</t>
        </is>
      </c>
      <c r="E1295" t="inlineStr">
        <is>
          <t>Hogar</t>
        </is>
      </c>
      <c r="F1295" t="inlineStr">
        <is>
          <t>Tienda física</t>
        </is>
      </c>
      <c r="G1295" t="inlineStr">
        <is>
          <t>2. Carrito</t>
        </is>
      </c>
      <c r="H1295" t="n">
        <v>2</v>
      </c>
      <c r="I1295" s="73" t="n">
        <v>194700</v>
      </c>
      <c r="J1295" s="73" t="n">
        <v>389400</v>
      </c>
      <c r="K1295" s="73" t="n">
        <v>286212</v>
      </c>
    </row>
    <row r="1296">
      <c r="A1296" t="n">
        <v>12367</v>
      </c>
      <c r="B1296" s="72" t="n">
        <v>45666.29166666666</v>
      </c>
      <c r="C1296" t="inlineStr">
        <is>
          <t>Valle del Cauca</t>
        </is>
      </c>
      <c r="D1296" t="inlineStr">
        <is>
          <t>Cali</t>
        </is>
      </c>
      <c r="E1296" t="inlineStr">
        <is>
          <t>Tecnología</t>
        </is>
      </c>
      <c r="F1296" t="inlineStr">
        <is>
          <t>Tienda física</t>
        </is>
      </c>
      <c r="G1296" t="inlineStr">
        <is>
          <t>1. Visita</t>
        </is>
      </c>
      <c r="H1296" t="n">
        <v>1</v>
      </c>
      <c r="I1296" s="73" t="n">
        <v>1028900</v>
      </c>
      <c r="J1296" s="73" t="n">
        <v>1028900</v>
      </c>
      <c r="K1296" s="73" t="n">
        <v>566342</v>
      </c>
    </row>
    <row r="1297">
      <c r="A1297" t="n">
        <v>10831</v>
      </c>
      <c r="B1297" s="72" t="n">
        <v>45666.63472222222</v>
      </c>
      <c r="C1297" t="inlineStr">
        <is>
          <t>Antioquia</t>
        </is>
      </c>
      <c r="D1297" t="inlineStr">
        <is>
          <t>Medellín</t>
        </is>
      </c>
      <c r="E1297" t="inlineStr">
        <is>
          <t>Belleza</t>
        </is>
      </c>
      <c r="F1297" t="inlineStr">
        <is>
          <t>Web</t>
        </is>
      </c>
      <c r="G1297" t="inlineStr">
        <is>
          <t>1. Visita</t>
        </is>
      </c>
      <c r="H1297" t="n">
        <v>3</v>
      </c>
      <c r="I1297" s="73" t="n">
        <v>62400</v>
      </c>
      <c r="J1297" s="73" t="n">
        <v>187200</v>
      </c>
      <c r="K1297" s="73" t="n">
        <v>125029</v>
      </c>
    </row>
    <row r="1298">
      <c r="A1298" t="n">
        <v>10799</v>
      </c>
      <c r="B1298" s="72" t="n">
        <v>45666.95763888889</v>
      </c>
      <c r="C1298" t="inlineStr">
        <is>
          <t>Atlántico</t>
        </is>
      </c>
      <c r="D1298" t="inlineStr">
        <is>
          <t>Barranquilla</t>
        </is>
      </c>
      <c r="E1298" t="inlineStr">
        <is>
          <t>Belleza</t>
        </is>
      </c>
      <c r="F1298" t="inlineStr">
        <is>
          <t>Marketplace</t>
        </is>
      </c>
      <c r="G1298" t="inlineStr">
        <is>
          <t>1. Visita</t>
        </is>
      </c>
      <c r="H1298" t="n">
        <v>5</v>
      </c>
      <c r="I1298" s="73" t="n">
        <v>56700</v>
      </c>
      <c r="J1298" s="73" t="n">
        <v>283500</v>
      </c>
      <c r="K1298" s="73" t="n">
        <v>200989</v>
      </c>
    </row>
    <row r="1299">
      <c r="A1299" t="n">
        <v>10244</v>
      </c>
      <c r="B1299" s="72" t="n">
        <v>45667.20416666667</v>
      </c>
      <c r="C1299" t="inlineStr">
        <is>
          <t>Nariño</t>
        </is>
      </c>
      <c r="D1299" t="inlineStr">
        <is>
          <t>Pasto</t>
        </is>
      </c>
      <c r="E1299" t="inlineStr">
        <is>
          <t>Moda</t>
        </is>
      </c>
      <c r="F1299" t="inlineStr">
        <is>
          <t>Marketplace</t>
        </is>
      </c>
      <c r="G1299" t="inlineStr">
        <is>
          <t>1. Visita</t>
        </is>
      </c>
      <c r="H1299" t="n">
        <v>4</v>
      </c>
      <c r="I1299" s="73" t="n">
        <v>91400</v>
      </c>
      <c r="J1299" s="73" t="n">
        <v>420440</v>
      </c>
      <c r="K1299" s="73" t="n">
        <v>294398</v>
      </c>
    </row>
    <row r="1300">
      <c r="A1300" t="n">
        <v>10487</v>
      </c>
      <c r="B1300" s="72" t="n">
        <v>45667.56319444445</v>
      </c>
      <c r="C1300" t="inlineStr">
        <is>
          <t>Antioquia</t>
        </is>
      </c>
      <c r="D1300" t="inlineStr">
        <is>
          <t>Medellín</t>
        </is>
      </c>
      <c r="E1300" t="inlineStr">
        <is>
          <t>Belleza</t>
        </is>
      </c>
      <c r="F1300" t="inlineStr">
        <is>
          <t>Marketplace</t>
        </is>
      </c>
      <c r="G1300" t="inlineStr">
        <is>
          <t>2. Carrito</t>
        </is>
      </c>
      <c r="H1300" t="n">
        <v>1</v>
      </c>
      <c r="I1300" s="73" t="n">
        <v>60100</v>
      </c>
      <c r="J1300" s="73" t="n">
        <v>69115</v>
      </c>
      <c r="K1300" s="73" t="n">
        <v>42262</v>
      </c>
    </row>
    <row r="1301">
      <c r="A1301" t="n">
        <v>10373</v>
      </c>
      <c r="B1301" s="72" t="n">
        <v>45667.65</v>
      </c>
      <c r="C1301" t="inlineStr">
        <is>
          <t>Antioquia</t>
        </is>
      </c>
      <c r="D1301" t="inlineStr">
        <is>
          <t>Medellín</t>
        </is>
      </c>
      <c r="E1301" t="inlineStr">
        <is>
          <t>Hogar</t>
        </is>
      </c>
      <c r="F1301" t="inlineStr">
        <is>
          <t>Tienda física</t>
        </is>
      </c>
      <c r="G1301" t="inlineStr">
        <is>
          <t>1. Visita</t>
        </is>
      </c>
      <c r="H1301" t="n">
        <v>1</v>
      </c>
      <c r="I1301" s="73" t="n">
        <v>247300</v>
      </c>
      <c r="J1301" s="73" t="n">
        <v>284395</v>
      </c>
      <c r="K1301" s="73" t="n">
        <v>167661</v>
      </c>
    </row>
    <row r="1302">
      <c r="A1302" t="n">
        <v>10238</v>
      </c>
      <c r="B1302" s="72" t="n">
        <v>45667.71388888889</v>
      </c>
      <c r="C1302" t="inlineStr">
        <is>
          <t>Antioquia</t>
        </is>
      </c>
      <c r="D1302" t="inlineStr">
        <is>
          <t>Medellín</t>
        </is>
      </c>
      <c r="E1302" t="inlineStr">
        <is>
          <t>Deportes</t>
        </is>
      </c>
      <c r="F1302" t="inlineStr">
        <is>
          <t>Web</t>
        </is>
      </c>
      <c r="G1302" t="inlineStr">
        <is>
          <t>1. Visita</t>
        </is>
      </c>
      <c r="H1302" t="n">
        <v>5</v>
      </c>
      <c r="I1302" s="73" t="n">
        <v>163000</v>
      </c>
      <c r="J1302" s="73" t="n">
        <v>937250</v>
      </c>
      <c r="K1302" s="73" t="n">
        <v>555703</v>
      </c>
    </row>
    <row r="1303">
      <c r="A1303" t="n">
        <v>12063</v>
      </c>
      <c r="B1303" s="72" t="n">
        <v>45667.84166666667</v>
      </c>
      <c r="C1303" t="inlineStr">
        <is>
          <t>Antioquia</t>
        </is>
      </c>
      <c r="D1303" t="inlineStr">
        <is>
          <t>Medellín</t>
        </is>
      </c>
      <c r="E1303" t="inlineStr">
        <is>
          <t>Moda</t>
        </is>
      </c>
      <c r="F1303" t="inlineStr">
        <is>
          <t>Tienda física</t>
        </is>
      </c>
      <c r="G1303" t="inlineStr">
        <is>
          <t>1. Visita</t>
        </is>
      </c>
      <c r="H1303" t="n">
        <v>2</v>
      </c>
      <c r="I1303" s="73" t="n">
        <v>88800</v>
      </c>
      <c r="J1303" s="73" t="n">
        <v>204240</v>
      </c>
      <c r="K1303" s="73" t="n">
        <v>118275</v>
      </c>
    </row>
    <row r="1304">
      <c r="A1304" t="n">
        <v>11948</v>
      </c>
      <c r="B1304" s="72" t="n">
        <v>45667.84444444445</v>
      </c>
      <c r="C1304" t="inlineStr">
        <is>
          <t>Santander</t>
        </is>
      </c>
      <c r="D1304" t="inlineStr">
        <is>
          <t>Bucaramanga</t>
        </is>
      </c>
      <c r="E1304" t="inlineStr">
        <is>
          <t>Belleza</t>
        </is>
      </c>
      <c r="F1304" t="inlineStr">
        <is>
          <t>Marketplace</t>
        </is>
      </c>
      <c r="G1304" t="inlineStr">
        <is>
          <t>1. Visita</t>
        </is>
      </c>
      <c r="H1304" t="n">
        <v>1</v>
      </c>
      <c r="I1304" s="73" t="n">
        <v>72300</v>
      </c>
      <c r="J1304" s="73" t="n">
        <v>83145</v>
      </c>
      <c r="K1304" s="73" t="n">
        <v>59950</v>
      </c>
    </row>
    <row r="1305">
      <c r="A1305" t="n">
        <v>11132</v>
      </c>
      <c r="B1305" s="72" t="n">
        <v>45667.87847222222</v>
      </c>
      <c r="C1305" t="inlineStr">
        <is>
          <t>Antioquia</t>
        </is>
      </c>
      <c r="D1305" t="inlineStr">
        <is>
          <t>Medellín</t>
        </is>
      </c>
      <c r="E1305" t="inlineStr">
        <is>
          <t>Belleza</t>
        </is>
      </c>
      <c r="F1305" t="inlineStr">
        <is>
          <t>Web</t>
        </is>
      </c>
      <c r="G1305" t="inlineStr">
        <is>
          <t>1. Visita</t>
        </is>
      </c>
      <c r="H1305" t="n">
        <v>2</v>
      </c>
      <c r="I1305" s="73" t="n">
        <v>49600</v>
      </c>
      <c r="J1305" s="73" t="n">
        <v>114080</v>
      </c>
      <c r="K1305" s="73" t="n">
        <v>70920</v>
      </c>
    </row>
    <row r="1306">
      <c r="A1306" t="n">
        <v>11497</v>
      </c>
      <c r="B1306" s="72" t="n">
        <v>45668.41527777778</v>
      </c>
      <c r="C1306" t="inlineStr">
        <is>
          <t>Antioquia</t>
        </is>
      </c>
      <c r="D1306" t="inlineStr">
        <is>
          <t>Medellín</t>
        </is>
      </c>
      <c r="E1306" t="inlineStr">
        <is>
          <t>Belleza</t>
        </is>
      </c>
      <c r="F1306" t="inlineStr">
        <is>
          <t>Tienda física</t>
        </is>
      </c>
      <c r="G1306" t="inlineStr">
        <is>
          <t>2. Carrito</t>
        </is>
      </c>
      <c r="H1306" t="n">
        <v>2</v>
      </c>
      <c r="I1306" s="73" t="n">
        <v>74100</v>
      </c>
      <c r="J1306" s="73" t="n">
        <v>170430</v>
      </c>
      <c r="K1306" s="73" t="n">
        <v>104423</v>
      </c>
    </row>
    <row r="1307">
      <c r="A1307" t="n">
        <v>10228</v>
      </c>
      <c r="B1307" s="72" t="n">
        <v>45668.53125</v>
      </c>
      <c r="C1307" t="inlineStr">
        <is>
          <t>Antioquia</t>
        </is>
      </c>
      <c r="D1307" t="inlineStr">
        <is>
          <t>Medellín</t>
        </is>
      </c>
      <c r="E1307" t="inlineStr">
        <is>
          <t>Belleza</t>
        </is>
      </c>
      <c r="F1307" t="inlineStr">
        <is>
          <t>App</t>
        </is>
      </c>
      <c r="G1307" t="inlineStr">
        <is>
          <t>1. Visita</t>
        </is>
      </c>
      <c r="H1307" t="n">
        <v>2</v>
      </c>
      <c r="I1307" s="73" t="n">
        <v>88600</v>
      </c>
      <c r="J1307" s="73" t="n">
        <v>203780</v>
      </c>
      <c r="K1307" s="73" t="n">
        <v>118018</v>
      </c>
    </row>
    <row r="1308">
      <c r="A1308" t="n">
        <v>11359</v>
      </c>
      <c r="B1308" s="72" t="n">
        <v>45669.51805555556</v>
      </c>
      <c r="C1308" t="inlineStr">
        <is>
          <t>Meta</t>
        </is>
      </c>
      <c r="D1308" t="inlineStr">
        <is>
          <t>Villavicencio</t>
        </is>
      </c>
      <c r="E1308" t="inlineStr">
        <is>
          <t>Hogar</t>
        </is>
      </c>
      <c r="F1308" t="inlineStr">
        <is>
          <t>App</t>
        </is>
      </c>
      <c r="G1308" t="inlineStr">
        <is>
          <t>4. Compra</t>
        </is>
      </c>
      <c r="H1308" t="n">
        <v>4</v>
      </c>
      <c r="I1308" s="73" t="n">
        <v>226800</v>
      </c>
      <c r="J1308" s="73" t="n">
        <v>1043280</v>
      </c>
      <c r="K1308" s="73" t="n">
        <v>710271</v>
      </c>
    </row>
    <row r="1309">
      <c r="A1309" t="n">
        <v>11128</v>
      </c>
      <c r="B1309" s="72" t="n">
        <v>45669.77708333333</v>
      </c>
      <c r="C1309" t="inlineStr">
        <is>
          <t>Antioquia</t>
        </is>
      </c>
      <c r="D1309" t="inlineStr">
        <is>
          <t>Medellín</t>
        </is>
      </c>
      <c r="E1309" t="inlineStr">
        <is>
          <t>Juguetes</t>
        </is>
      </c>
      <c r="F1309" t="inlineStr">
        <is>
          <t>Tienda física</t>
        </is>
      </c>
      <c r="G1309" t="inlineStr">
        <is>
          <t>1. Visita</t>
        </is>
      </c>
      <c r="H1309" t="n">
        <v>3</v>
      </c>
      <c r="I1309" s="73" t="n">
        <v>84600</v>
      </c>
      <c r="J1309" s="73" t="n">
        <v>291870</v>
      </c>
      <c r="K1309" s="73" t="n">
        <v>194155</v>
      </c>
    </row>
    <row r="1310">
      <c r="A1310" t="n">
        <v>10640</v>
      </c>
      <c r="B1310" s="72" t="n">
        <v>45670.49861111111</v>
      </c>
      <c r="C1310" t="inlineStr">
        <is>
          <t>Valle del Cauca</t>
        </is>
      </c>
      <c r="D1310" t="inlineStr">
        <is>
          <t>Cali</t>
        </is>
      </c>
      <c r="E1310" t="inlineStr">
        <is>
          <t>Moda</t>
        </is>
      </c>
      <c r="F1310" t="inlineStr">
        <is>
          <t>Tienda física</t>
        </is>
      </c>
      <c r="G1310" t="inlineStr">
        <is>
          <t>4. Compra</t>
        </is>
      </c>
      <c r="H1310" t="n">
        <v>1</v>
      </c>
      <c r="I1310" s="73" t="n">
        <v>135200</v>
      </c>
      <c r="J1310" s="73" t="n">
        <v>135200</v>
      </c>
      <c r="K1310" s="73" t="n">
        <v>88682</v>
      </c>
    </row>
    <row r="1311">
      <c r="A1311" t="n">
        <v>11979</v>
      </c>
      <c r="B1311" s="72" t="n">
        <v>45670.61875</v>
      </c>
      <c r="C1311" t="inlineStr">
        <is>
          <t>Risaralda</t>
        </is>
      </c>
      <c r="D1311" t="inlineStr">
        <is>
          <t>Pereira</t>
        </is>
      </c>
      <c r="E1311" t="inlineStr">
        <is>
          <t>Deportes</t>
        </is>
      </c>
      <c r="F1311" t="inlineStr">
        <is>
          <t>Tienda física</t>
        </is>
      </c>
      <c r="G1311" t="inlineStr">
        <is>
          <t>2. Carrito</t>
        </is>
      </c>
      <c r="H1311" t="n">
        <v>1</v>
      </c>
      <c r="I1311" s="73" t="n">
        <v>189000</v>
      </c>
      <c r="J1311" s="73" t="n">
        <v>189000</v>
      </c>
      <c r="K1311" s="73" t="n">
        <v>121220</v>
      </c>
    </row>
    <row r="1312">
      <c r="A1312" t="n">
        <v>12083</v>
      </c>
      <c r="B1312" s="72" t="n">
        <v>45670.66666666666</v>
      </c>
      <c r="C1312" t="inlineStr">
        <is>
          <t>Bogotá D.C.</t>
        </is>
      </c>
      <c r="D1312" t="inlineStr">
        <is>
          <t>Bogotá</t>
        </is>
      </c>
      <c r="E1312" t="inlineStr">
        <is>
          <t>Hogar</t>
        </is>
      </c>
      <c r="F1312" t="inlineStr">
        <is>
          <t>Web</t>
        </is>
      </c>
      <c r="G1312" t="inlineStr">
        <is>
          <t>1. Visita</t>
        </is>
      </c>
      <c r="H1312" t="n">
        <v>4</v>
      </c>
      <c r="I1312" s="73" t="n">
        <v>172800</v>
      </c>
      <c r="J1312" s="73" t="n">
        <v>691200</v>
      </c>
      <c r="K1312" s="73" t="n">
        <v>419502</v>
      </c>
    </row>
    <row r="1313">
      <c r="A1313" t="n">
        <v>11693</v>
      </c>
      <c r="B1313" s="72" t="n">
        <v>45670.86111111111</v>
      </c>
      <c r="C1313" t="inlineStr">
        <is>
          <t>Bogotá D.C.</t>
        </is>
      </c>
      <c r="D1313" t="inlineStr">
        <is>
          <t>Bogotá</t>
        </is>
      </c>
      <c r="E1313" t="inlineStr">
        <is>
          <t>Hogar</t>
        </is>
      </c>
      <c r="F1313" t="inlineStr">
        <is>
          <t>Tienda física</t>
        </is>
      </c>
      <c r="G1313" t="inlineStr">
        <is>
          <t>1. Visita</t>
        </is>
      </c>
      <c r="H1313" t="n">
        <v>5</v>
      </c>
      <c r="I1313" s="73" t="n">
        <v>243000</v>
      </c>
      <c r="J1313" s="73" t="n">
        <v>1215000</v>
      </c>
      <c r="K1313" s="73" t="n">
        <v>798601</v>
      </c>
    </row>
    <row r="1314">
      <c r="A1314" t="n">
        <v>10331</v>
      </c>
      <c r="B1314" s="72" t="n">
        <v>45671.33194444444</v>
      </c>
      <c r="C1314" t="inlineStr">
        <is>
          <t>Meta</t>
        </is>
      </c>
      <c r="D1314" t="inlineStr">
        <is>
          <t>Villavicencio</t>
        </is>
      </c>
      <c r="E1314" t="inlineStr">
        <is>
          <t>Belleza</t>
        </is>
      </c>
      <c r="F1314" t="inlineStr">
        <is>
          <t>Tienda física</t>
        </is>
      </c>
      <c r="G1314" t="inlineStr">
        <is>
          <t>1. Visita</t>
        </is>
      </c>
      <c r="H1314" t="n">
        <v>4</v>
      </c>
      <c r="I1314" s="73" t="n">
        <v>54500</v>
      </c>
      <c r="J1314" s="73" t="n">
        <v>218000</v>
      </c>
      <c r="K1314" s="73" t="n">
        <v>136646</v>
      </c>
    </row>
    <row r="1315">
      <c r="A1315" t="n">
        <v>10498</v>
      </c>
      <c r="B1315" s="72" t="n">
        <v>45671.62847222222</v>
      </c>
      <c r="C1315" t="inlineStr">
        <is>
          <t>Antioquia</t>
        </is>
      </c>
      <c r="D1315" t="inlineStr">
        <is>
          <t>Medellín</t>
        </is>
      </c>
      <c r="E1315" t="inlineStr">
        <is>
          <t>Tecnología</t>
        </is>
      </c>
      <c r="F1315" t="inlineStr">
        <is>
          <t>Web</t>
        </is>
      </c>
      <c r="G1315" t="inlineStr">
        <is>
          <t>1. Visita</t>
        </is>
      </c>
      <c r="H1315" t="n">
        <v>5</v>
      </c>
      <c r="I1315" s="73" t="n">
        <v>732700</v>
      </c>
      <c r="J1315" s="73" t="n">
        <v>3663500</v>
      </c>
      <c r="K1315" s="73" t="n">
        <v>2541523</v>
      </c>
    </row>
    <row r="1316">
      <c r="A1316" t="n">
        <v>10833</v>
      </c>
      <c r="B1316" s="72" t="n">
        <v>45671.77777777778</v>
      </c>
      <c r="C1316" t="inlineStr">
        <is>
          <t>Antioquia</t>
        </is>
      </c>
      <c r="D1316" t="inlineStr">
        <is>
          <t>Medellín</t>
        </is>
      </c>
      <c r="E1316" t="inlineStr">
        <is>
          <t>Tecnología</t>
        </is>
      </c>
      <c r="F1316" t="inlineStr">
        <is>
          <t>Marketplace</t>
        </is>
      </c>
      <c r="G1316" t="inlineStr">
        <is>
          <t>1. Visita</t>
        </is>
      </c>
      <c r="H1316" t="n">
        <v>5</v>
      </c>
      <c r="I1316" s="73" t="n">
        <v>624100</v>
      </c>
      <c r="J1316" s="73" t="n">
        <v>3120500</v>
      </c>
      <c r="K1316" s="73" t="n">
        <v>1855580</v>
      </c>
    </row>
    <row r="1317">
      <c r="A1317" t="n">
        <v>11275</v>
      </c>
      <c r="B1317" s="72" t="n">
        <v>45672.12152777778</v>
      </c>
      <c r="C1317" t="inlineStr">
        <is>
          <t>Bogotá D.C.</t>
        </is>
      </c>
      <c r="D1317" t="inlineStr">
        <is>
          <t>Bogotá</t>
        </is>
      </c>
      <c r="E1317" t="inlineStr">
        <is>
          <t>Tecnología</t>
        </is>
      </c>
      <c r="F1317" t="inlineStr">
        <is>
          <t>App</t>
        </is>
      </c>
      <c r="G1317" t="inlineStr">
        <is>
          <t>4. Compra</t>
        </is>
      </c>
      <c r="H1317" t="n">
        <v>3</v>
      </c>
      <c r="I1317" s="73" t="n">
        <v>807100</v>
      </c>
      <c r="J1317" s="73" t="n">
        <v>2421300</v>
      </c>
      <c r="K1317" s="73" t="n">
        <v>1464195</v>
      </c>
    </row>
    <row r="1318">
      <c r="A1318" t="n">
        <v>10948</v>
      </c>
      <c r="B1318" s="72" t="n">
        <v>45672.43472222222</v>
      </c>
      <c r="C1318" t="inlineStr">
        <is>
          <t>Valle del Cauca</t>
        </is>
      </c>
      <c r="D1318" t="inlineStr">
        <is>
          <t>Cali</t>
        </is>
      </c>
      <c r="E1318" t="inlineStr">
        <is>
          <t>Deportes</t>
        </is>
      </c>
      <c r="F1318" t="inlineStr">
        <is>
          <t>Tienda física</t>
        </is>
      </c>
      <c r="G1318" t="inlineStr">
        <is>
          <t>4. Compra</t>
        </is>
      </c>
      <c r="H1318" t="n">
        <v>2</v>
      </c>
      <c r="I1318" s="73" t="n">
        <v>161100</v>
      </c>
      <c r="J1318" s="73" t="n">
        <v>322200</v>
      </c>
      <c r="K1318" s="73" t="n">
        <v>241333</v>
      </c>
    </row>
    <row r="1319">
      <c r="A1319" t="n">
        <v>11590</v>
      </c>
      <c r="B1319" s="72" t="n">
        <v>45672.45763888889</v>
      </c>
      <c r="C1319" t="inlineStr">
        <is>
          <t>Santander</t>
        </is>
      </c>
      <c r="D1319" t="inlineStr">
        <is>
          <t>Bucaramanga</t>
        </is>
      </c>
      <c r="E1319" t="inlineStr">
        <is>
          <t>Tecnología</t>
        </is>
      </c>
      <c r="F1319" t="inlineStr">
        <is>
          <t>Tienda física</t>
        </is>
      </c>
      <c r="G1319" t="inlineStr">
        <is>
          <t>1. Visita</t>
        </is>
      </c>
      <c r="H1319" t="n">
        <v>1</v>
      </c>
      <c r="I1319" s="73" t="n">
        <v>954100</v>
      </c>
      <c r="J1319" s="73" t="n">
        <v>954100</v>
      </c>
      <c r="K1319" s="73" t="n">
        <v>620264</v>
      </c>
    </row>
    <row r="1320">
      <c r="A1320" t="n">
        <v>11728</v>
      </c>
      <c r="B1320" s="72" t="n">
        <v>45672.50138888889</v>
      </c>
      <c r="C1320" t="inlineStr">
        <is>
          <t>Valle del Cauca</t>
        </is>
      </c>
      <c r="D1320" t="inlineStr">
        <is>
          <t>Cali</t>
        </is>
      </c>
      <c r="E1320" t="inlineStr">
        <is>
          <t>Deportes</t>
        </is>
      </c>
      <c r="F1320" t="inlineStr">
        <is>
          <t>Web</t>
        </is>
      </c>
      <c r="G1320" t="inlineStr">
        <is>
          <t>2. Carrito</t>
        </is>
      </c>
      <c r="H1320" t="n">
        <v>3</v>
      </c>
      <c r="I1320" s="73" t="n">
        <v>123300</v>
      </c>
      <c r="J1320" s="73" t="n">
        <v>369900</v>
      </c>
      <c r="K1320" s="73" t="n">
        <v>236784</v>
      </c>
    </row>
    <row r="1321">
      <c r="A1321" t="n">
        <v>12325</v>
      </c>
      <c r="B1321" s="72" t="n">
        <v>45672.52569444444</v>
      </c>
      <c r="C1321" t="inlineStr">
        <is>
          <t>Valle del Cauca</t>
        </is>
      </c>
      <c r="D1321" t="inlineStr">
        <is>
          <t>Cali</t>
        </is>
      </c>
      <c r="E1321" t="inlineStr">
        <is>
          <t>Moda</t>
        </is>
      </c>
      <c r="F1321" t="inlineStr">
        <is>
          <t>App</t>
        </is>
      </c>
      <c r="G1321" t="inlineStr">
        <is>
          <t>4. Compra</t>
        </is>
      </c>
      <c r="H1321" t="n">
        <v>5</v>
      </c>
      <c r="I1321" s="73" t="n">
        <v>153000</v>
      </c>
      <c r="J1321" s="73" t="n">
        <v>765000</v>
      </c>
      <c r="K1321" s="73" t="n">
        <v>562533</v>
      </c>
    </row>
    <row r="1322">
      <c r="A1322" t="n">
        <v>11530</v>
      </c>
      <c r="B1322" s="72" t="n">
        <v>45673.31527777778</v>
      </c>
      <c r="C1322" t="inlineStr">
        <is>
          <t>Bogotá D.C.</t>
        </is>
      </c>
      <c r="D1322" t="inlineStr">
        <is>
          <t>Bogotá</t>
        </is>
      </c>
      <c r="E1322" t="inlineStr">
        <is>
          <t>Moda</t>
        </is>
      </c>
      <c r="F1322" t="inlineStr">
        <is>
          <t>App</t>
        </is>
      </c>
      <c r="G1322" t="inlineStr">
        <is>
          <t>1. Visita</t>
        </is>
      </c>
      <c r="H1322" t="n">
        <v>1</v>
      </c>
      <c r="I1322" s="73" t="n">
        <v>147000</v>
      </c>
      <c r="J1322" s="73" t="n">
        <v>147000</v>
      </c>
      <c r="K1322" s="73" t="n">
        <v>95876</v>
      </c>
    </row>
    <row r="1323">
      <c r="A1323" t="n">
        <v>10548</v>
      </c>
      <c r="B1323" s="72" t="n">
        <v>45673.40833333333</v>
      </c>
      <c r="C1323" t="inlineStr">
        <is>
          <t>Valle del Cauca</t>
        </is>
      </c>
      <c r="D1323" t="inlineStr">
        <is>
          <t>Cali</t>
        </is>
      </c>
      <c r="E1323" t="inlineStr">
        <is>
          <t>Belleza</t>
        </is>
      </c>
      <c r="F1323" t="inlineStr">
        <is>
          <t>App</t>
        </is>
      </c>
      <c r="G1323" t="inlineStr">
        <is>
          <t>2. Carrito</t>
        </is>
      </c>
      <c r="H1323" t="n">
        <v>4</v>
      </c>
      <c r="I1323" s="73" t="n">
        <v>82900</v>
      </c>
      <c r="J1323" s="73" t="n">
        <v>331600</v>
      </c>
      <c r="K1323" s="73" t="n">
        <v>246347</v>
      </c>
    </row>
    <row r="1324">
      <c r="A1324" t="n">
        <v>10474</v>
      </c>
      <c r="B1324" s="72" t="n">
        <v>45673.54236111111</v>
      </c>
      <c r="C1324" t="inlineStr">
        <is>
          <t>Atlántico</t>
        </is>
      </c>
      <c r="D1324" t="inlineStr">
        <is>
          <t>Barranquilla</t>
        </is>
      </c>
      <c r="E1324" t="inlineStr">
        <is>
          <t>Tecnología</t>
        </is>
      </c>
      <c r="F1324" t="inlineStr">
        <is>
          <t>Web</t>
        </is>
      </c>
      <c r="G1324" t="inlineStr">
        <is>
          <t>1. Visita</t>
        </is>
      </c>
      <c r="H1324" t="n">
        <v>4</v>
      </c>
      <c r="I1324" s="73" t="n">
        <v>807200</v>
      </c>
      <c r="J1324" s="73" t="n">
        <v>3228800</v>
      </c>
      <c r="K1324" s="73" t="n">
        <v>2005841</v>
      </c>
    </row>
    <row r="1325">
      <c r="A1325" t="n">
        <v>11149</v>
      </c>
      <c r="B1325" s="72" t="n">
        <v>45673.58125</v>
      </c>
      <c r="C1325" t="inlineStr">
        <is>
          <t>Antioquia</t>
        </is>
      </c>
      <c r="D1325" t="inlineStr">
        <is>
          <t>Medellín</t>
        </is>
      </c>
      <c r="E1325" t="inlineStr">
        <is>
          <t>Juguetes</t>
        </is>
      </c>
      <c r="F1325" t="inlineStr">
        <is>
          <t>App</t>
        </is>
      </c>
      <c r="G1325" t="inlineStr">
        <is>
          <t>3. Pago</t>
        </is>
      </c>
      <c r="H1325" t="n">
        <v>4</v>
      </c>
      <c r="I1325" s="73" t="n">
        <v>115900</v>
      </c>
      <c r="J1325" s="73" t="n">
        <v>463600</v>
      </c>
      <c r="K1325" s="73" t="n">
        <v>322815</v>
      </c>
    </row>
    <row r="1326">
      <c r="A1326" t="n">
        <v>11019</v>
      </c>
      <c r="B1326" s="72" t="n">
        <v>45673.76388888889</v>
      </c>
      <c r="C1326" t="inlineStr">
        <is>
          <t>Risaralda</t>
        </is>
      </c>
      <c r="D1326" t="inlineStr">
        <is>
          <t>Pereira</t>
        </is>
      </c>
      <c r="E1326" t="inlineStr">
        <is>
          <t>Belleza</t>
        </is>
      </c>
      <c r="F1326" t="inlineStr">
        <is>
          <t>Web</t>
        </is>
      </c>
      <c r="G1326" t="inlineStr">
        <is>
          <t>1. Visita</t>
        </is>
      </c>
      <c r="H1326" t="n">
        <v>5</v>
      </c>
      <c r="I1326" s="73" t="n">
        <v>87900</v>
      </c>
      <c r="J1326" s="73" t="n">
        <v>439500</v>
      </c>
      <c r="K1326" s="73" t="n">
        <v>248917</v>
      </c>
    </row>
    <row r="1327">
      <c r="A1327" t="n">
        <v>11907</v>
      </c>
      <c r="B1327" s="72" t="n">
        <v>45673.79861111111</v>
      </c>
      <c r="C1327" t="inlineStr">
        <is>
          <t>Santander</t>
        </is>
      </c>
      <c r="D1327" t="inlineStr">
        <is>
          <t>Bucaramanga</t>
        </is>
      </c>
      <c r="E1327" t="inlineStr">
        <is>
          <t>Moda</t>
        </is>
      </c>
      <c r="F1327" t="inlineStr">
        <is>
          <t>App</t>
        </is>
      </c>
      <c r="G1327" t="inlineStr">
        <is>
          <t>1. Visita</t>
        </is>
      </c>
      <c r="H1327" t="n">
        <v>2</v>
      </c>
      <c r="I1327" s="73" t="n">
        <v>150200</v>
      </c>
      <c r="J1327" s="73" t="n">
        <v>300400</v>
      </c>
      <c r="K1327" s="73" t="n">
        <v>165418</v>
      </c>
    </row>
    <row r="1328">
      <c r="A1328" t="n">
        <v>11502</v>
      </c>
      <c r="B1328" s="72" t="n">
        <v>45673.83819444444</v>
      </c>
      <c r="C1328" t="inlineStr">
        <is>
          <t>Antioquia</t>
        </is>
      </c>
      <c r="D1328" t="inlineStr">
        <is>
          <t>Medellín</t>
        </is>
      </c>
      <c r="E1328" t="inlineStr">
        <is>
          <t>Tecnología</t>
        </is>
      </c>
      <c r="F1328" t="inlineStr">
        <is>
          <t>Web</t>
        </is>
      </c>
      <c r="G1328" t="inlineStr">
        <is>
          <t>2. Carrito</t>
        </is>
      </c>
      <c r="H1328" t="n">
        <v>1</v>
      </c>
      <c r="I1328" s="73" t="n">
        <v>1060600</v>
      </c>
      <c r="J1328" s="73" t="n">
        <v>1060600</v>
      </c>
      <c r="K1328" s="73" t="n">
        <v>672534</v>
      </c>
    </row>
    <row r="1329">
      <c r="A1329" t="n">
        <v>11419</v>
      </c>
      <c r="B1329" s="72" t="n">
        <v>45674</v>
      </c>
      <c r="C1329" t="inlineStr">
        <is>
          <t>Atlántico</t>
        </is>
      </c>
      <c r="D1329" t="inlineStr">
        <is>
          <t>Barranquilla</t>
        </is>
      </c>
      <c r="E1329" t="inlineStr">
        <is>
          <t>Juguetes</t>
        </is>
      </c>
      <c r="F1329" t="inlineStr">
        <is>
          <t>Web</t>
        </is>
      </c>
      <c r="G1329" t="inlineStr">
        <is>
          <t>3. Pago</t>
        </is>
      </c>
      <c r="H1329" t="n">
        <v>3</v>
      </c>
      <c r="I1329" s="73" t="n">
        <v>83000</v>
      </c>
      <c r="J1329" s="73" t="n">
        <v>286350</v>
      </c>
      <c r="K1329" s="73" t="n">
        <v>170919</v>
      </c>
    </row>
    <row r="1330">
      <c r="A1330" t="n">
        <v>11814</v>
      </c>
      <c r="B1330" s="72" t="n">
        <v>45674.58888888889</v>
      </c>
      <c r="C1330" t="inlineStr">
        <is>
          <t>Bogotá D.C.</t>
        </is>
      </c>
      <c r="D1330" t="inlineStr">
        <is>
          <t>Bogotá</t>
        </is>
      </c>
      <c r="E1330" t="inlineStr">
        <is>
          <t>Moda</t>
        </is>
      </c>
      <c r="F1330" t="inlineStr">
        <is>
          <t>Web</t>
        </is>
      </c>
      <c r="G1330" t="inlineStr">
        <is>
          <t>1. Visita</t>
        </is>
      </c>
      <c r="H1330" t="n">
        <v>3</v>
      </c>
      <c r="I1330" s="73" t="n">
        <v>95100</v>
      </c>
      <c r="J1330" s="73" t="n">
        <v>328095</v>
      </c>
      <c r="K1330" s="73" t="n">
        <v>217680</v>
      </c>
    </row>
    <row r="1331">
      <c r="A1331" t="n">
        <v>10566</v>
      </c>
      <c r="B1331" s="72" t="n">
        <v>45674.93472222222</v>
      </c>
      <c r="C1331" t="inlineStr">
        <is>
          <t>Bogotá D.C.</t>
        </is>
      </c>
      <c r="D1331" t="inlineStr">
        <is>
          <t>Bogotá</t>
        </is>
      </c>
      <c r="E1331" t="inlineStr">
        <is>
          <t>Hogar</t>
        </is>
      </c>
      <c r="F1331" t="inlineStr">
        <is>
          <t>Tienda física</t>
        </is>
      </c>
      <c r="G1331" t="inlineStr">
        <is>
          <t>2. Carrito</t>
        </is>
      </c>
      <c r="H1331" t="n">
        <v>4</v>
      </c>
      <c r="I1331" s="73" t="n">
        <v>236100</v>
      </c>
      <c r="J1331" s="73" t="n">
        <v>1086060</v>
      </c>
      <c r="K1331" s="73" t="n">
        <v>678717</v>
      </c>
    </row>
    <row r="1332">
      <c r="A1332" t="n">
        <v>11971</v>
      </c>
      <c r="B1332" s="72" t="n">
        <v>45675.37847222222</v>
      </c>
      <c r="C1332" t="inlineStr">
        <is>
          <t>Risaralda</t>
        </is>
      </c>
      <c r="D1332" t="inlineStr">
        <is>
          <t>Pereira</t>
        </is>
      </c>
      <c r="E1332" t="inlineStr">
        <is>
          <t>Juguetes</t>
        </is>
      </c>
      <c r="F1332" t="inlineStr">
        <is>
          <t>App</t>
        </is>
      </c>
      <c r="G1332" t="inlineStr">
        <is>
          <t>2. Carrito</t>
        </is>
      </c>
      <c r="H1332" t="n">
        <v>3</v>
      </c>
      <c r="I1332" s="73" t="n">
        <v>69900</v>
      </c>
      <c r="J1332" s="73" t="n">
        <v>241155</v>
      </c>
      <c r="K1332" s="73" t="n">
        <v>139937</v>
      </c>
    </row>
    <row r="1333">
      <c r="A1333" t="n">
        <v>11818</v>
      </c>
      <c r="B1333" s="72" t="n">
        <v>45675.52569444444</v>
      </c>
      <c r="C1333" t="inlineStr">
        <is>
          <t>Bogotá D.C.</t>
        </is>
      </c>
      <c r="D1333" t="inlineStr">
        <is>
          <t>Bogotá</t>
        </is>
      </c>
      <c r="E1333" t="inlineStr">
        <is>
          <t>Deportes</t>
        </is>
      </c>
      <c r="F1333" t="inlineStr">
        <is>
          <t>Web</t>
        </is>
      </c>
      <c r="G1333" t="inlineStr">
        <is>
          <t>4. Compra</t>
        </is>
      </c>
      <c r="H1333" t="n">
        <v>1</v>
      </c>
      <c r="I1333" s="73" t="n">
        <v>200600</v>
      </c>
      <c r="J1333" s="73" t="n">
        <v>230690</v>
      </c>
      <c r="K1333" s="73" t="n">
        <v>142840</v>
      </c>
    </row>
    <row r="1334">
      <c r="A1334" t="n">
        <v>10869</v>
      </c>
      <c r="B1334" s="72" t="n">
        <v>45675.56180555555</v>
      </c>
      <c r="C1334" t="inlineStr">
        <is>
          <t>Santander</t>
        </is>
      </c>
      <c r="D1334" t="inlineStr">
        <is>
          <t>Bucaramanga</t>
        </is>
      </c>
      <c r="E1334" t="inlineStr">
        <is>
          <t>Juguetes</t>
        </is>
      </c>
      <c r="F1334" t="inlineStr">
        <is>
          <t>Web</t>
        </is>
      </c>
      <c r="G1334" t="inlineStr">
        <is>
          <t>2. Carrito</t>
        </is>
      </c>
      <c r="H1334" t="n">
        <v>5</v>
      </c>
      <c r="I1334" s="73" t="n">
        <v>109900</v>
      </c>
      <c r="J1334" s="73" t="n">
        <v>631925</v>
      </c>
      <c r="K1334" s="73" t="n">
        <v>403506</v>
      </c>
    </row>
    <row r="1335">
      <c r="A1335" t="n">
        <v>10265</v>
      </c>
      <c r="B1335" s="72" t="n">
        <v>45675.76666666667</v>
      </c>
      <c r="C1335" t="inlineStr">
        <is>
          <t>Valle del Cauca</t>
        </is>
      </c>
      <c r="D1335" t="inlineStr">
        <is>
          <t>Cali</t>
        </is>
      </c>
      <c r="E1335" t="inlineStr">
        <is>
          <t>Deportes</t>
        </is>
      </c>
      <c r="F1335" t="inlineStr">
        <is>
          <t>Tienda física</t>
        </is>
      </c>
      <c r="G1335" t="inlineStr">
        <is>
          <t>1. Visita</t>
        </is>
      </c>
      <c r="H1335" t="n">
        <v>3</v>
      </c>
      <c r="I1335" s="73" t="n">
        <v>126600</v>
      </c>
      <c r="J1335" s="73" t="n">
        <v>436770</v>
      </c>
      <c r="K1335" s="73" t="n">
        <v>319496</v>
      </c>
    </row>
    <row r="1336">
      <c r="A1336" t="n">
        <v>10611</v>
      </c>
      <c r="B1336" s="72" t="n">
        <v>45675.93263888889</v>
      </c>
      <c r="C1336" t="inlineStr">
        <is>
          <t>Santander</t>
        </is>
      </c>
      <c r="D1336" t="inlineStr">
        <is>
          <t>Bucaramanga</t>
        </is>
      </c>
      <c r="E1336" t="inlineStr">
        <is>
          <t>Juguetes</t>
        </is>
      </c>
      <c r="F1336" t="inlineStr">
        <is>
          <t>Tienda física</t>
        </is>
      </c>
      <c r="G1336" t="inlineStr">
        <is>
          <t>2. Carrito</t>
        </is>
      </c>
      <c r="H1336" t="n">
        <v>3</v>
      </c>
      <c r="I1336" s="73" t="n">
        <v>84400</v>
      </c>
      <c r="J1336" s="73" t="n">
        <v>291180</v>
      </c>
      <c r="K1336" s="73" t="n">
        <v>202984</v>
      </c>
    </row>
    <row r="1337">
      <c r="A1337" t="n">
        <v>11822</v>
      </c>
      <c r="B1337" s="72" t="n">
        <v>45675.95902777778</v>
      </c>
      <c r="C1337" t="inlineStr">
        <is>
          <t>Santander</t>
        </is>
      </c>
      <c r="D1337" t="inlineStr">
        <is>
          <t>Bucaramanga</t>
        </is>
      </c>
      <c r="E1337" t="inlineStr">
        <is>
          <t>Juguetes</t>
        </is>
      </c>
      <c r="F1337" t="inlineStr">
        <is>
          <t>Web</t>
        </is>
      </c>
      <c r="G1337" t="inlineStr">
        <is>
          <t>2. Carrito</t>
        </is>
      </c>
      <c r="H1337" t="n">
        <v>1</v>
      </c>
      <c r="I1337" s="73" t="n">
        <v>89100</v>
      </c>
      <c r="J1337" s="73" t="n">
        <v>102465</v>
      </c>
      <c r="K1337" s="73" t="n">
        <v>73949</v>
      </c>
    </row>
    <row r="1338">
      <c r="A1338" t="n">
        <v>11202</v>
      </c>
      <c r="B1338" s="72" t="n">
        <v>45676.42361111111</v>
      </c>
      <c r="C1338" t="inlineStr">
        <is>
          <t>Antioquia</t>
        </is>
      </c>
      <c r="D1338" t="inlineStr">
        <is>
          <t>Medellín</t>
        </is>
      </c>
      <c r="E1338" t="inlineStr">
        <is>
          <t>Belleza</t>
        </is>
      </c>
      <c r="F1338" t="inlineStr">
        <is>
          <t>App</t>
        </is>
      </c>
      <c r="G1338" t="inlineStr">
        <is>
          <t>1. Visita</t>
        </is>
      </c>
      <c r="H1338" t="n">
        <v>5</v>
      </c>
      <c r="I1338" s="73" t="n">
        <v>54300</v>
      </c>
      <c r="J1338" s="73" t="n">
        <v>312225</v>
      </c>
      <c r="K1338" s="73" t="n">
        <v>192452</v>
      </c>
    </row>
    <row r="1339">
      <c r="A1339" t="n">
        <v>10687</v>
      </c>
      <c r="B1339" s="72" t="n">
        <v>45676.44166666667</v>
      </c>
      <c r="C1339" t="inlineStr">
        <is>
          <t>Santander</t>
        </is>
      </c>
      <c r="D1339" t="inlineStr">
        <is>
          <t>Bucaramanga</t>
        </is>
      </c>
      <c r="E1339" t="inlineStr">
        <is>
          <t>Moda</t>
        </is>
      </c>
      <c r="F1339" t="inlineStr">
        <is>
          <t>App</t>
        </is>
      </c>
      <c r="G1339" t="inlineStr">
        <is>
          <t>1. Visita</t>
        </is>
      </c>
      <c r="H1339" t="n">
        <v>4</v>
      </c>
      <c r="I1339" s="73" t="n">
        <v>136700</v>
      </c>
      <c r="J1339" s="73" t="n">
        <v>628820</v>
      </c>
      <c r="K1339" s="73" t="n">
        <v>364387</v>
      </c>
    </row>
    <row r="1340">
      <c r="A1340" t="n">
        <v>12352</v>
      </c>
      <c r="B1340" s="72" t="n">
        <v>45676.66319444445</v>
      </c>
      <c r="C1340" t="inlineStr">
        <is>
          <t>Bogotá D.C.</t>
        </is>
      </c>
      <c r="D1340" t="inlineStr">
        <is>
          <t>Bogotá</t>
        </is>
      </c>
      <c r="E1340" t="inlineStr">
        <is>
          <t>Belleza</t>
        </is>
      </c>
      <c r="F1340" t="inlineStr">
        <is>
          <t>Tienda física</t>
        </is>
      </c>
      <c r="G1340" t="inlineStr">
        <is>
          <t>3. Pago</t>
        </is>
      </c>
      <c r="H1340" t="n">
        <v>5</v>
      </c>
      <c r="I1340" s="73" t="n">
        <v>60900</v>
      </c>
      <c r="J1340" s="73" t="n">
        <v>350175</v>
      </c>
      <c r="K1340" s="73" t="n">
        <v>234675</v>
      </c>
    </row>
    <row r="1341">
      <c r="A1341" t="n">
        <v>12028</v>
      </c>
      <c r="B1341" s="72" t="n">
        <v>45676.71180555555</v>
      </c>
      <c r="C1341" t="inlineStr">
        <is>
          <t>Valle del Cauca</t>
        </is>
      </c>
      <c r="D1341" t="inlineStr">
        <is>
          <t>Cali</t>
        </is>
      </c>
      <c r="E1341" t="inlineStr">
        <is>
          <t>Juguetes</t>
        </is>
      </c>
      <c r="F1341" t="inlineStr">
        <is>
          <t>Web</t>
        </is>
      </c>
      <c r="G1341" t="inlineStr">
        <is>
          <t>4. Compra</t>
        </is>
      </c>
      <c r="H1341" t="n">
        <v>3</v>
      </c>
      <c r="I1341" s="73" t="n">
        <v>90000</v>
      </c>
      <c r="J1341" s="73" t="n">
        <v>310500</v>
      </c>
      <c r="K1341" s="73" t="n">
        <v>206915</v>
      </c>
    </row>
    <row r="1342">
      <c r="A1342" t="n">
        <v>10933</v>
      </c>
      <c r="B1342" s="72" t="n">
        <v>45676.77291666667</v>
      </c>
      <c r="C1342" t="inlineStr">
        <is>
          <t>Bogotá D.C.</t>
        </is>
      </c>
      <c r="D1342" t="inlineStr">
        <is>
          <t>Bogotá</t>
        </is>
      </c>
      <c r="E1342" t="inlineStr">
        <is>
          <t>Tecnología</t>
        </is>
      </c>
      <c r="F1342" t="inlineStr">
        <is>
          <t>Web</t>
        </is>
      </c>
      <c r="G1342" t="inlineStr">
        <is>
          <t>2. Carrito</t>
        </is>
      </c>
      <c r="H1342" t="n">
        <v>2</v>
      </c>
      <c r="I1342" s="73" t="n">
        <v>726400</v>
      </c>
      <c r="J1342" s="73" t="n">
        <v>1670720</v>
      </c>
      <c r="K1342" s="73" t="n">
        <v>1123684</v>
      </c>
    </row>
    <row r="1343">
      <c r="A1343" t="n">
        <v>11592</v>
      </c>
      <c r="B1343" s="72" t="n">
        <v>45677.39375</v>
      </c>
      <c r="C1343" t="inlineStr">
        <is>
          <t>Bogotá D.C.</t>
        </is>
      </c>
      <c r="D1343" t="inlineStr">
        <is>
          <t>Bogotá</t>
        </is>
      </c>
      <c r="E1343" t="inlineStr">
        <is>
          <t>Deportes</t>
        </is>
      </c>
      <c r="F1343" t="inlineStr">
        <is>
          <t>Web</t>
        </is>
      </c>
      <c r="G1343" t="inlineStr">
        <is>
          <t>2. Carrito</t>
        </is>
      </c>
      <c r="H1343" t="n">
        <v>2</v>
      </c>
      <c r="I1343" s="73" t="n">
        <v>115300</v>
      </c>
      <c r="J1343" s="73" t="n">
        <v>230600</v>
      </c>
      <c r="K1343" s="73" t="n">
        <v>168604</v>
      </c>
    </row>
    <row r="1344">
      <c r="A1344" t="n">
        <v>11760</v>
      </c>
      <c r="B1344" s="72" t="n">
        <v>45677.45416666667</v>
      </c>
      <c r="C1344" t="inlineStr">
        <is>
          <t>Huila</t>
        </is>
      </c>
      <c r="D1344" t="inlineStr">
        <is>
          <t>Neiva</t>
        </is>
      </c>
      <c r="E1344" t="inlineStr">
        <is>
          <t>Deportes</t>
        </is>
      </c>
      <c r="F1344" t="inlineStr">
        <is>
          <t>App</t>
        </is>
      </c>
      <c r="G1344" t="inlineStr">
        <is>
          <t>1. Visita</t>
        </is>
      </c>
      <c r="H1344" t="n">
        <v>4</v>
      </c>
      <c r="I1344" s="73" t="n">
        <v>198100</v>
      </c>
      <c r="J1344" s="73" t="n">
        <v>792400</v>
      </c>
      <c r="K1344" s="73" t="n">
        <v>471383</v>
      </c>
    </row>
    <row r="1345">
      <c r="A1345" t="n">
        <v>10049</v>
      </c>
      <c r="B1345" s="72" t="n">
        <v>45677.53611111111</v>
      </c>
      <c r="C1345" t="inlineStr">
        <is>
          <t>Bogotá D.C.</t>
        </is>
      </c>
      <c r="D1345" t="inlineStr">
        <is>
          <t>Bogotá</t>
        </is>
      </c>
      <c r="E1345" t="inlineStr">
        <is>
          <t>Belleza</t>
        </is>
      </c>
      <c r="F1345" t="inlineStr">
        <is>
          <t>App</t>
        </is>
      </c>
      <c r="G1345" t="inlineStr">
        <is>
          <t>1. Visita</t>
        </is>
      </c>
      <c r="H1345" t="n">
        <v>4</v>
      </c>
      <c r="I1345" s="73" t="n">
        <v>82300</v>
      </c>
      <c r="J1345" s="73" t="n">
        <v>329200</v>
      </c>
      <c r="K1345" s="73" t="n">
        <v>192960</v>
      </c>
    </row>
    <row r="1346">
      <c r="A1346" t="n">
        <v>11809</v>
      </c>
      <c r="B1346" s="72" t="n">
        <v>45677.57361111111</v>
      </c>
      <c r="C1346" t="inlineStr">
        <is>
          <t>Bolívar</t>
        </is>
      </c>
      <c r="D1346" t="inlineStr">
        <is>
          <t>Cartagena</t>
        </is>
      </c>
      <c r="E1346" t="inlineStr">
        <is>
          <t>Hogar</t>
        </is>
      </c>
      <c r="F1346" t="inlineStr">
        <is>
          <t>Tienda física</t>
        </is>
      </c>
      <c r="G1346" t="inlineStr">
        <is>
          <t>3. Pago</t>
        </is>
      </c>
      <c r="H1346" t="n">
        <v>2</v>
      </c>
      <c r="I1346" s="73" t="n">
        <v>179000</v>
      </c>
      <c r="J1346" s="73" t="n">
        <v>358000</v>
      </c>
      <c r="K1346" s="73" t="n">
        <v>240913</v>
      </c>
    </row>
    <row r="1347">
      <c r="A1347" t="n">
        <v>12395</v>
      </c>
      <c r="B1347" s="72" t="n">
        <v>45677.71597222222</v>
      </c>
      <c r="C1347" t="inlineStr">
        <is>
          <t>Antioquia</t>
        </is>
      </c>
      <c r="D1347" t="inlineStr">
        <is>
          <t>Medellín</t>
        </is>
      </c>
      <c r="E1347" t="inlineStr">
        <is>
          <t>Moda</t>
        </is>
      </c>
      <c r="F1347" t="inlineStr">
        <is>
          <t>Marketplace</t>
        </is>
      </c>
      <c r="G1347" t="inlineStr">
        <is>
          <t>1. Visita</t>
        </is>
      </c>
      <c r="H1347" t="n">
        <v>3</v>
      </c>
      <c r="I1347" s="73" t="n">
        <v>149900</v>
      </c>
      <c r="J1347" s="73" t="n">
        <v>449700</v>
      </c>
      <c r="K1347" s="73" t="n">
        <v>337044</v>
      </c>
    </row>
    <row r="1348">
      <c r="A1348" t="n">
        <v>11572</v>
      </c>
      <c r="B1348" s="72" t="n">
        <v>45677.87361111111</v>
      </c>
      <c r="C1348" t="inlineStr">
        <is>
          <t>Bogotá D.C.</t>
        </is>
      </c>
      <c r="D1348" t="inlineStr">
        <is>
          <t>Bogotá</t>
        </is>
      </c>
      <c r="E1348" t="inlineStr">
        <is>
          <t>Tecnología</t>
        </is>
      </c>
      <c r="F1348" t="inlineStr">
        <is>
          <t>Tienda física</t>
        </is>
      </c>
      <c r="G1348" t="inlineStr">
        <is>
          <t>2. Carrito</t>
        </is>
      </c>
      <c r="H1348" t="n">
        <v>5</v>
      </c>
      <c r="I1348" s="73" t="n">
        <v>712100</v>
      </c>
      <c r="J1348" s="73" t="n">
        <v>3560500</v>
      </c>
      <c r="K1348" s="73" t="n">
        <v>2162221</v>
      </c>
    </row>
    <row r="1349">
      <c r="A1349" t="n">
        <v>11462</v>
      </c>
      <c r="B1349" s="72" t="n">
        <v>45677.88472222222</v>
      </c>
      <c r="C1349" t="inlineStr">
        <is>
          <t>Risaralda</t>
        </is>
      </c>
      <c r="D1349" t="inlineStr">
        <is>
          <t>Pereira</t>
        </is>
      </c>
      <c r="E1349" t="inlineStr">
        <is>
          <t>Belleza</t>
        </is>
      </c>
      <c r="F1349" t="inlineStr">
        <is>
          <t>App</t>
        </is>
      </c>
      <c r="G1349" t="inlineStr">
        <is>
          <t>3. Pago</t>
        </is>
      </c>
      <c r="H1349" t="n">
        <v>1</v>
      </c>
      <c r="I1349" s="73" t="n">
        <v>52400</v>
      </c>
      <c r="J1349" s="73" t="n">
        <v>52400</v>
      </c>
      <c r="K1349" s="73" t="n">
        <v>35687</v>
      </c>
    </row>
    <row r="1350">
      <c r="A1350" t="n">
        <v>11468</v>
      </c>
      <c r="B1350" s="72" t="n">
        <v>45678.4125</v>
      </c>
      <c r="C1350" t="inlineStr">
        <is>
          <t>Valle del Cauca</t>
        </is>
      </c>
      <c r="D1350" t="inlineStr">
        <is>
          <t>Cali</t>
        </is>
      </c>
      <c r="E1350" t="inlineStr">
        <is>
          <t>Juguetes</t>
        </is>
      </c>
      <c r="F1350" t="inlineStr">
        <is>
          <t>Web</t>
        </is>
      </c>
      <c r="G1350" t="inlineStr">
        <is>
          <t>1. Visita</t>
        </is>
      </c>
      <c r="H1350" t="n">
        <v>1</v>
      </c>
      <c r="I1350" s="73" t="n">
        <v>73500</v>
      </c>
      <c r="J1350" s="73" t="n">
        <v>73500</v>
      </c>
      <c r="K1350" s="73" t="n">
        <v>42850</v>
      </c>
    </row>
    <row r="1351">
      <c r="A1351" t="n">
        <v>10767</v>
      </c>
      <c r="B1351" s="72" t="n">
        <v>45678.52013888889</v>
      </c>
      <c r="C1351" t="inlineStr">
        <is>
          <t>Santander</t>
        </is>
      </c>
      <c r="D1351" t="inlineStr">
        <is>
          <t>Bucaramanga</t>
        </is>
      </c>
      <c r="E1351" t="inlineStr">
        <is>
          <t>Deportes</t>
        </is>
      </c>
      <c r="F1351" t="inlineStr">
        <is>
          <t>Marketplace</t>
        </is>
      </c>
      <c r="G1351" t="inlineStr">
        <is>
          <t>2. Carrito</t>
        </is>
      </c>
      <c r="H1351" t="n">
        <v>4</v>
      </c>
      <c r="I1351" s="73" t="n">
        <v>203700</v>
      </c>
      <c r="J1351" s="73" t="n">
        <v>814800</v>
      </c>
      <c r="K1351" s="73" t="n">
        <v>490670</v>
      </c>
    </row>
    <row r="1352">
      <c r="A1352" t="n">
        <v>10281</v>
      </c>
      <c r="B1352" s="72" t="n">
        <v>45678.54097222222</v>
      </c>
      <c r="C1352" t="inlineStr">
        <is>
          <t>Valle del Cauca</t>
        </is>
      </c>
      <c r="D1352" t="inlineStr">
        <is>
          <t>Cali</t>
        </is>
      </c>
      <c r="E1352" t="inlineStr">
        <is>
          <t>Belleza</t>
        </is>
      </c>
      <c r="F1352" t="inlineStr">
        <is>
          <t>App</t>
        </is>
      </c>
      <c r="G1352" t="inlineStr">
        <is>
          <t>2. Carrito</t>
        </is>
      </c>
      <c r="H1352" t="n">
        <v>4</v>
      </c>
      <c r="I1352" s="73" t="n">
        <v>59900</v>
      </c>
      <c r="J1352" s="73" t="n">
        <v>239600</v>
      </c>
      <c r="K1352" s="73" t="n">
        <v>167849</v>
      </c>
    </row>
    <row r="1353">
      <c r="A1353" t="n">
        <v>10859</v>
      </c>
      <c r="B1353" s="72" t="n">
        <v>45678.57916666667</v>
      </c>
      <c r="C1353" t="inlineStr">
        <is>
          <t>Valle del Cauca</t>
        </is>
      </c>
      <c r="D1353" t="inlineStr">
        <is>
          <t>Cali</t>
        </is>
      </c>
      <c r="E1353" t="inlineStr">
        <is>
          <t>Belleza</t>
        </is>
      </c>
      <c r="F1353" t="inlineStr">
        <is>
          <t>Tienda física</t>
        </is>
      </c>
      <c r="G1353" t="inlineStr">
        <is>
          <t>2. Carrito</t>
        </is>
      </c>
      <c r="H1353" t="n">
        <v>3</v>
      </c>
      <c r="I1353" s="73" t="n">
        <v>84000</v>
      </c>
      <c r="J1353" s="73" t="n">
        <v>252000</v>
      </c>
      <c r="K1353" s="73" t="n">
        <v>156456</v>
      </c>
    </row>
    <row r="1354">
      <c r="A1354" t="n">
        <v>12007</v>
      </c>
      <c r="B1354" s="72" t="n">
        <v>45678.79652777778</v>
      </c>
      <c r="C1354" t="inlineStr">
        <is>
          <t>Bogotá D.C.</t>
        </is>
      </c>
      <c r="D1354" t="inlineStr">
        <is>
          <t>Bogotá</t>
        </is>
      </c>
      <c r="E1354" t="inlineStr">
        <is>
          <t>Tecnología</t>
        </is>
      </c>
      <c r="F1354" t="inlineStr">
        <is>
          <t>Web</t>
        </is>
      </c>
      <c r="G1354" t="inlineStr">
        <is>
          <t>3. Pago</t>
        </is>
      </c>
      <c r="H1354" t="n">
        <v>2</v>
      </c>
      <c r="I1354" s="73" t="n">
        <v>600000</v>
      </c>
      <c r="J1354" s="73" t="n">
        <v>1200000</v>
      </c>
      <c r="K1354" s="73" t="n">
        <v>767539</v>
      </c>
    </row>
    <row r="1355">
      <c r="A1355" t="n">
        <v>11473</v>
      </c>
      <c r="B1355" s="72" t="n">
        <v>45679.42986111111</v>
      </c>
      <c r="C1355" t="inlineStr">
        <is>
          <t>Antioquia</t>
        </is>
      </c>
      <c r="D1355" t="inlineStr">
        <is>
          <t>Medellín</t>
        </is>
      </c>
      <c r="E1355" t="inlineStr">
        <is>
          <t>Juguetes</t>
        </is>
      </c>
      <c r="F1355" t="inlineStr">
        <is>
          <t>App</t>
        </is>
      </c>
      <c r="G1355" t="inlineStr">
        <is>
          <t>1. Visita</t>
        </is>
      </c>
      <c r="H1355" t="n">
        <v>1</v>
      </c>
      <c r="I1355" s="73" t="n">
        <v>116500</v>
      </c>
      <c r="J1355" s="73" t="n">
        <v>116500</v>
      </c>
      <c r="K1355" s="73" t="n">
        <v>79126</v>
      </c>
    </row>
    <row r="1356">
      <c r="A1356" t="n">
        <v>12006</v>
      </c>
      <c r="B1356" s="72" t="n">
        <v>45679.44652777778</v>
      </c>
      <c r="C1356" t="inlineStr">
        <is>
          <t>Valle del Cauca</t>
        </is>
      </c>
      <c r="D1356" t="inlineStr">
        <is>
          <t>Cali</t>
        </is>
      </c>
      <c r="E1356" t="inlineStr">
        <is>
          <t>Tecnología</t>
        </is>
      </c>
      <c r="F1356" t="inlineStr">
        <is>
          <t>Web</t>
        </is>
      </c>
      <c r="G1356" t="inlineStr">
        <is>
          <t>3. Pago</t>
        </is>
      </c>
      <c r="H1356" t="n">
        <v>4</v>
      </c>
      <c r="I1356" s="73" t="n">
        <v>772100</v>
      </c>
      <c r="J1356" s="73" t="n">
        <v>3088400</v>
      </c>
      <c r="K1356" s="73" t="n">
        <v>2153661</v>
      </c>
    </row>
    <row r="1357">
      <c r="A1357" t="n">
        <v>10059</v>
      </c>
      <c r="B1357" s="72" t="n">
        <v>45679.46458333333</v>
      </c>
      <c r="C1357" t="inlineStr">
        <is>
          <t>Bogotá D.C.</t>
        </is>
      </c>
      <c r="D1357" t="inlineStr">
        <is>
          <t>Bogotá</t>
        </is>
      </c>
      <c r="E1357" t="inlineStr">
        <is>
          <t>Tecnología</t>
        </is>
      </c>
      <c r="F1357" t="inlineStr">
        <is>
          <t>Web</t>
        </is>
      </c>
      <c r="G1357" t="inlineStr">
        <is>
          <t>4. Compra</t>
        </is>
      </c>
      <c r="H1357" t="n">
        <v>1</v>
      </c>
      <c r="I1357" s="73" t="n">
        <v>671900</v>
      </c>
      <c r="J1357" s="73" t="n">
        <v>671900</v>
      </c>
      <c r="K1357" s="73" t="n">
        <v>418067</v>
      </c>
    </row>
    <row r="1358">
      <c r="A1358" t="n">
        <v>11180</v>
      </c>
      <c r="B1358" s="72" t="n">
        <v>45679.63263888889</v>
      </c>
      <c r="C1358" t="inlineStr">
        <is>
          <t>Atlántico</t>
        </is>
      </c>
      <c r="D1358" t="inlineStr">
        <is>
          <t>Barranquilla</t>
        </is>
      </c>
      <c r="E1358" t="inlineStr">
        <is>
          <t>Juguetes</t>
        </is>
      </c>
      <c r="F1358" t="inlineStr">
        <is>
          <t>App</t>
        </is>
      </c>
      <c r="G1358" t="inlineStr">
        <is>
          <t>1. Visita</t>
        </is>
      </c>
      <c r="H1358" t="n">
        <v>2</v>
      </c>
      <c r="I1358" s="73" t="n">
        <v>107300</v>
      </c>
      <c r="J1358" s="73" t="n">
        <v>214600</v>
      </c>
      <c r="K1358" s="73" t="n">
        <v>146503</v>
      </c>
    </row>
    <row r="1359">
      <c r="A1359" t="n">
        <v>11492</v>
      </c>
      <c r="B1359" s="72" t="n">
        <v>45679.69027777778</v>
      </c>
      <c r="C1359" t="inlineStr">
        <is>
          <t>Bogotá D.C.</t>
        </is>
      </c>
      <c r="D1359" t="inlineStr">
        <is>
          <t>Bogotá</t>
        </is>
      </c>
      <c r="E1359" t="inlineStr">
        <is>
          <t>Moda</t>
        </is>
      </c>
      <c r="F1359" t="inlineStr">
        <is>
          <t>Web</t>
        </is>
      </c>
      <c r="G1359" t="inlineStr">
        <is>
          <t>1. Visita</t>
        </is>
      </c>
      <c r="H1359" t="n">
        <v>4</v>
      </c>
      <c r="I1359" s="73" t="n">
        <v>126800</v>
      </c>
      <c r="J1359" s="73" t="n">
        <v>507200</v>
      </c>
      <c r="K1359" s="73" t="n">
        <v>343984</v>
      </c>
    </row>
    <row r="1360">
      <c r="A1360" t="n">
        <v>11205</v>
      </c>
      <c r="B1360" s="72" t="n">
        <v>45679.71111111111</v>
      </c>
      <c r="C1360" t="inlineStr">
        <is>
          <t>Antioquia</t>
        </is>
      </c>
      <c r="D1360" t="inlineStr">
        <is>
          <t>Medellín</t>
        </is>
      </c>
      <c r="E1360" t="inlineStr">
        <is>
          <t>Hogar</t>
        </is>
      </c>
      <c r="F1360" t="inlineStr">
        <is>
          <t>Marketplace</t>
        </is>
      </c>
      <c r="G1360" t="inlineStr">
        <is>
          <t>1. Visita</t>
        </is>
      </c>
      <c r="H1360" t="n">
        <v>4</v>
      </c>
      <c r="I1360" s="73" t="n">
        <v>222800</v>
      </c>
      <c r="J1360" s="73" t="n">
        <v>891200</v>
      </c>
      <c r="K1360" s="73" t="n">
        <v>583308</v>
      </c>
    </row>
    <row r="1361">
      <c r="A1361" t="n">
        <v>12329</v>
      </c>
      <c r="B1361" s="72" t="n">
        <v>45680.64375</v>
      </c>
      <c r="C1361" t="inlineStr">
        <is>
          <t>Meta</t>
        </is>
      </c>
      <c r="D1361" t="inlineStr">
        <is>
          <t>Villavicencio</t>
        </is>
      </c>
      <c r="E1361" t="inlineStr">
        <is>
          <t>Tecnología</t>
        </is>
      </c>
      <c r="F1361" t="inlineStr">
        <is>
          <t>App</t>
        </is>
      </c>
      <c r="G1361" t="inlineStr">
        <is>
          <t>1. Visita</t>
        </is>
      </c>
      <c r="H1361" t="n">
        <v>4</v>
      </c>
      <c r="I1361" s="73" t="n">
        <v>900700</v>
      </c>
      <c r="J1361" s="73" t="n">
        <v>3602800</v>
      </c>
      <c r="K1361" s="73" t="n">
        <v>2451921</v>
      </c>
    </row>
    <row r="1362">
      <c r="A1362" t="n">
        <v>11403</v>
      </c>
      <c r="B1362" s="72" t="n">
        <v>45680.72152777778</v>
      </c>
      <c r="C1362" t="inlineStr">
        <is>
          <t>Huila</t>
        </is>
      </c>
      <c r="D1362" t="inlineStr">
        <is>
          <t>Neiva</t>
        </is>
      </c>
      <c r="E1362" t="inlineStr">
        <is>
          <t>Juguetes</t>
        </is>
      </c>
      <c r="F1362" t="inlineStr">
        <is>
          <t>Web</t>
        </is>
      </c>
      <c r="G1362" t="inlineStr">
        <is>
          <t>2. Carrito</t>
        </is>
      </c>
      <c r="H1362" t="n">
        <v>4</v>
      </c>
      <c r="I1362" s="73" t="n">
        <v>104700</v>
      </c>
      <c r="J1362" s="73" t="n">
        <v>418800</v>
      </c>
      <c r="K1362" s="73" t="n">
        <v>261031</v>
      </c>
    </row>
    <row r="1363">
      <c r="A1363" t="n">
        <v>12347</v>
      </c>
      <c r="B1363" s="72" t="n">
        <v>45680.73125</v>
      </c>
      <c r="C1363" t="inlineStr">
        <is>
          <t>Valle del Cauca</t>
        </is>
      </c>
      <c r="D1363" t="inlineStr">
        <is>
          <t>Cali</t>
        </is>
      </c>
      <c r="E1363" t="inlineStr">
        <is>
          <t>Deportes</t>
        </is>
      </c>
      <c r="F1363" t="inlineStr">
        <is>
          <t>Marketplace</t>
        </is>
      </c>
      <c r="G1363" t="inlineStr">
        <is>
          <t>4. Compra</t>
        </is>
      </c>
      <c r="H1363" t="n">
        <v>1</v>
      </c>
      <c r="I1363" s="73" t="n">
        <v>199800</v>
      </c>
      <c r="J1363" s="73" t="n">
        <v>199800</v>
      </c>
      <c r="K1363" s="73" t="n">
        <v>126076</v>
      </c>
    </row>
    <row r="1364">
      <c r="A1364" t="n">
        <v>11535</v>
      </c>
      <c r="B1364" s="72" t="n">
        <v>45680.7375</v>
      </c>
      <c r="C1364" t="inlineStr">
        <is>
          <t>Valle del Cauca</t>
        </is>
      </c>
      <c r="D1364" t="inlineStr">
        <is>
          <t>Cali</t>
        </is>
      </c>
      <c r="E1364" t="inlineStr">
        <is>
          <t>Juguetes</t>
        </is>
      </c>
      <c r="F1364" t="inlineStr">
        <is>
          <t>Web</t>
        </is>
      </c>
      <c r="G1364" t="inlineStr">
        <is>
          <t>1. Visita</t>
        </is>
      </c>
      <c r="H1364" t="n">
        <v>1</v>
      </c>
      <c r="I1364" s="73" t="n">
        <v>92400</v>
      </c>
      <c r="J1364" s="73" t="n">
        <v>92400</v>
      </c>
      <c r="K1364" s="73" t="n">
        <v>56512</v>
      </c>
    </row>
    <row r="1365">
      <c r="A1365" t="n">
        <v>10443</v>
      </c>
      <c r="B1365" s="72" t="n">
        <v>45680.74305555555</v>
      </c>
      <c r="C1365" t="inlineStr">
        <is>
          <t>Santander</t>
        </is>
      </c>
      <c r="D1365" t="inlineStr">
        <is>
          <t>Bucaramanga</t>
        </is>
      </c>
      <c r="E1365" t="inlineStr">
        <is>
          <t>Moda</t>
        </is>
      </c>
      <c r="F1365" t="inlineStr">
        <is>
          <t>App</t>
        </is>
      </c>
      <c r="G1365" t="inlineStr">
        <is>
          <t>2. Carrito</t>
        </is>
      </c>
      <c r="H1365" t="n">
        <v>3</v>
      </c>
      <c r="I1365" s="73" t="n">
        <v>145900</v>
      </c>
      <c r="J1365" s="73" t="n">
        <v>437700</v>
      </c>
      <c r="K1365" s="73" t="n">
        <v>292898</v>
      </c>
    </row>
    <row r="1366">
      <c r="A1366" t="n">
        <v>12197</v>
      </c>
      <c r="B1366" s="72" t="n">
        <v>45680.80902777778</v>
      </c>
      <c r="C1366" t="inlineStr">
        <is>
          <t>Bogotá D.C.</t>
        </is>
      </c>
      <c r="D1366" t="inlineStr">
        <is>
          <t>Bogotá</t>
        </is>
      </c>
      <c r="E1366" t="inlineStr">
        <is>
          <t>Deportes</t>
        </is>
      </c>
      <c r="F1366" t="inlineStr">
        <is>
          <t>Tienda física</t>
        </is>
      </c>
      <c r="G1366" t="inlineStr">
        <is>
          <t>1. Visita</t>
        </is>
      </c>
      <c r="H1366" t="n">
        <v>1</v>
      </c>
      <c r="I1366" s="73" t="n">
        <v>118300</v>
      </c>
      <c r="J1366" s="73" t="n">
        <v>118300</v>
      </c>
      <c r="K1366" s="73" t="n">
        <v>68419</v>
      </c>
    </row>
    <row r="1367">
      <c r="A1367" t="n">
        <v>10505</v>
      </c>
      <c r="B1367" s="72" t="n">
        <v>45680.93333333333</v>
      </c>
      <c r="C1367" t="inlineStr">
        <is>
          <t>Bogotá D.C.</t>
        </is>
      </c>
      <c r="D1367" t="inlineStr">
        <is>
          <t>Bogotá</t>
        </is>
      </c>
      <c r="E1367" t="inlineStr">
        <is>
          <t>Belleza</t>
        </is>
      </c>
      <c r="F1367" t="inlineStr">
        <is>
          <t>Tienda física</t>
        </is>
      </c>
      <c r="G1367" t="inlineStr">
        <is>
          <t>1. Visita</t>
        </is>
      </c>
      <c r="H1367" t="n">
        <v>4</v>
      </c>
      <c r="I1367" s="73" t="n">
        <v>75800</v>
      </c>
      <c r="J1367" s="73" t="n">
        <v>303200</v>
      </c>
      <c r="K1367" s="73" t="n">
        <v>223029</v>
      </c>
    </row>
    <row r="1368">
      <c r="A1368" t="n">
        <v>11528</v>
      </c>
      <c r="B1368" s="72" t="n">
        <v>45681.75902777778</v>
      </c>
      <c r="C1368" t="inlineStr">
        <is>
          <t>Antioquia</t>
        </is>
      </c>
      <c r="D1368" t="inlineStr">
        <is>
          <t>Medellín</t>
        </is>
      </c>
      <c r="E1368" t="inlineStr">
        <is>
          <t>Moda</t>
        </is>
      </c>
      <c r="F1368" t="inlineStr">
        <is>
          <t>Web</t>
        </is>
      </c>
      <c r="G1368" t="inlineStr">
        <is>
          <t>3. Pago</t>
        </is>
      </c>
      <c r="H1368" t="n">
        <v>4</v>
      </c>
      <c r="I1368" s="73" t="n">
        <v>140400</v>
      </c>
      <c r="J1368" s="73" t="n">
        <v>645840</v>
      </c>
      <c r="K1368" s="73" t="n">
        <v>372857</v>
      </c>
    </row>
    <row r="1369">
      <c r="A1369" t="n">
        <v>11147</v>
      </c>
      <c r="B1369" s="72" t="n">
        <v>45682.48263888889</v>
      </c>
      <c r="C1369" t="inlineStr">
        <is>
          <t>Antioquia</t>
        </is>
      </c>
      <c r="D1369" t="inlineStr">
        <is>
          <t>Medellín</t>
        </is>
      </c>
      <c r="E1369" t="inlineStr">
        <is>
          <t>Deportes</t>
        </is>
      </c>
      <c r="F1369" t="inlineStr">
        <is>
          <t>Web</t>
        </is>
      </c>
      <c r="G1369" t="inlineStr">
        <is>
          <t>2. Carrito</t>
        </is>
      </c>
      <c r="H1369" t="n">
        <v>2</v>
      </c>
      <c r="I1369" s="73" t="n">
        <v>154400</v>
      </c>
      <c r="J1369" s="73" t="n">
        <v>355120</v>
      </c>
      <c r="K1369" s="73" t="n">
        <v>259613</v>
      </c>
    </row>
    <row r="1370">
      <c r="A1370" t="n">
        <v>11548</v>
      </c>
      <c r="B1370" s="72" t="n">
        <v>45682.63055555556</v>
      </c>
      <c r="C1370" t="inlineStr">
        <is>
          <t>Risaralda</t>
        </is>
      </c>
      <c r="D1370" t="inlineStr">
        <is>
          <t>Pereira</t>
        </is>
      </c>
      <c r="E1370" t="inlineStr">
        <is>
          <t>Juguetes</t>
        </is>
      </c>
      <c r="F1370" t="inlineStr">
        <is>
          <t>Web</t>
        </is>
      </c>
      <c r="G1370" t="inlineStr">
        <is>
          <t>3. Pago</t>
        </is>
      </c>
      <c r="H1370" t="n">
        <v>3</v>
      </c>
      <c r="I1370" s="73" t="n">
        <v>65200</v>
      </c>
      <c r="J1370" s="73" t="n">
        <v>224940</v>
      </c>
      <c r="K1370" s="73" t="n">
        <v>168062</v>
      </c>
    </row>
    <row r="1371">
      <c r="A1371" t="n">
        <v>10459</v>
      </c>
      <c r="B1371" s="72" t="n">
        <v>45682.69652777778</v>
      </c>
      <c r="C1371" t="inlineStr">
        <is>
          <t>Atlántico</t>
        </is>
      </c>
      <c r="D1371" t="inlineStr">
        <is>
          <t>Barranquilla</t>
        </is>
      </c>
      <c r="E1371" t="inlineStr">
        <is>
          <t>Belleza</t>
        </is>
      </c>
      <c r="F1371" t="inlineStr">
        <is>
          <t>App</t>
        </is>
      </c>
      <c r="G1371" t="inlineStr">
        <is>
          <t>1. Visita</t>
        </is>
      </c>
      <c r="H1371" t="n">
        <v>4</v>
      </c>
      <c r="I1371" s="73" t="n">
        <v>87800</v>
      </c>
      <c r="J1371" s="73" t="n">
        <v>403880</v>
      </c>
      <c r="K1371" s="73" t="n">
        <v>296414</v>
      </c>
    </row>
    <row r="1372">
      <c r="A1372" t="n">
        <v>12002</v>
      </c>
      <c r="B1372" s="72" t="n">
        <v>45682.78055555555</v>
      </c>
      <c r="C1372" t="inlineStr">
        <is>
          <t>Antioquia</t>
        </is>
      </c>
      <c r="D1372" t="inlineStr">
        <is>
          <t>Medellín</t>
        </is>
      </c>
      <c r="E1372" t="inlineStr">
        <is>
          <t>Moda</t>
        </is>
      </c>
      <c r="F1372" t="inlineStr">
        <is>
          <t>Web</t>
        </is>
      </c>
      <c r="G1372" t="inlineStr">
        <is>
          <t>1. Visita</t>
        </is>
      </c>
      <c r="H1372" t="n">
        <v>4</v>
      </c>
      <c r="I1372" s="73" t="n">
        <v>130800</v>
      </c>
      <c r="J1372" s="73" t="n">
        <v>601680</v>
      </c>
      <c r="K1372" s="73" t="n">
        <v>388879</v>
      </c>
    </row>
    <row r="1373">
      <c r="A1373" t="n">
        <v>11362</v>
      </c>
      <c r="B1373" s="72" t="n">
        <v>45683.49444444444</v>
      </c>
      <c r="C1373" t="inlineStr">
        <is>
          <t>Valle del Cauca</t>
        </is>
      </c>
      <c r="D1373" t="inlineStr">
        <is>
          <t>Cali</t>
        </is>
      </c>
      <c r="E1373" t="inlineStr">
        <is>
          <t>Deportes</t>
        </is>
      </c>
      <c r="F1373" t="inlineStr">
        <is>
          <t>Web</t>
        </is>
      </c>
      <c r="G1373" t="inlineStr">
        <is>
          <t>3. Pago</t>
        </is>
      </c>
      <c r="H1373" t="n">
        <v>2</v>
      </c>
      <c r="I1373" s="73" t="n">
        <v>203800</v>
      </c>
      <c r="J1373" s="73" t="n">
        <v>468740</v>
      </c>
      <c r="K1373" s="73" t="n">
        <v>302209</v>
      </c>
    </row>
    <row r="1374">
      <c r="A1374" t="n">
        <v>12114</v>
      </c>
      <c r="B1374" s="72" t="n">
        <v>45683.57986111111</v>
      </c>
      <c r="C1374" t="inlineStr">
        <is>
          <t>Risaralda</t>
        </is>
      </c>
      <c r="D1374" t="inlineStr">
        <is>
          <t>Pereira</t>
        </is>
      </c>
      <c r="E1374" t="inlineStr">
        <is>
          <t>Belleza</t>
        </is>
      </c>
      <c r="F1374" t="inlineStr">
        <is>
          <t>App</t>
        </is>
      </c>
      <c r="G1374" t="inlineStr">
        <is>
          <t>3. Pago</t>
        </is>
      </c>
      <c r="H1374" t="n">
        <v>5</v>
      </c>
      <c r="I1374" s="73" t="n">
        <v>78400</v>
      </c>
      <c r="J1374" s="73" t="n">
        <v>450800</v>
      </c>
      <c r="K1374" s="73" t="n">
        <v>259032</v>
      </c>
    </row>
    <row r="1375">
      <c r="A1375" t="n">
        <v>10103</v>
      </c>
      <c r="B1375" s="72" t="n">
        <v>45683.60833333333</v>
      </c>
      <c r="C1375" t="inlineStr">
        <is>
          <t>Bogotá D.C.</t>
        </is>
      </c>
      <c r="D1375" t="inlineStr">
        <is>
          <t>Bogotá</t>
        </is>
      </c>
      <c r="E1375" t="inlineStr">
        <is>
          <t>Belleza</t>
        </is>
      </c>
      <c r="F1375" t="inlineStr">
        <is>
          <t>Web</t>
        </is>
      </c>
      <c r="G1375" t="inlineStr">
        <is>
          <t>2. Carrito</t>
        </is>
      </c>
      <c r="H1375" t="n">
        <v>1</v>
      </c>
      <c r="I1375" s="73" t="n">
        <v>74100</v>
      </c>
      <c r="J1375" s="73" t="n">
        <v>85215</v>
      </c>
      <c r="K1375" s="73" t="n">
        <v>58600</v>
      </c>
    </row>
    <row r="1376">
      <c r="A1376" t="n">
        <v>11929</v>
      </c>
      <c r="B1376" s="72" t="n">
        <v>45683.76111111111</v>
      </c>
      <c r="C1376" t="inlineStr">
        <is>
          <t>Antioquia</t>
        </is>
      </c>
      <c r="D1376" t="inlineStr">
        <is>
          <t>Medellín</t>
        </is>
      </c>
      <c r="E1376" t="inlineStr">
        <is>
          <t>Juguetes</t>
        </is>
      </c>
      <c r="F1376" t="inlineStr">
        <is>
          <t>Web</t>
        </is>
      </c>
      <c r="G1376" t="inlineStr">
        <is>
          <t>2. Carrito</t>
        </is>
      </c>
      <c r="H1376" t="n">
        <v>4</v>
      </c>
      <c r="I1376" s="73" t="n">
        <v>71200</v>
      </c>
      <c r="J1376" s="73" t="n">
        <v>327520</v>
      </c>
      <c r="K1376" s="73" t="n">
        <v>239128</v>
      </c>
    </row>
    <row r="1377">
      <c r="A1377" t="n">
        <v>11509</v>
      </c>
      <c r="B1377" s="72" t="n">
        <v>45683.84513888889</v>
      </c>
      <c r="C1377" t="inlineStr">
        <is>
          <t>Valle del Cauca</t>
        </is>
      </c>
      <c r="D1377" t="inlineStr">
        <is>
          <t>Cali</t>
        </is>
      </c>
      <c r="E1377" t="inlineStr">
        <is>
          <t>Juguetes</t>
        </is>
      </c>
      <c r="F1377" t="inlineStr">
        <is>
          <t>Web</t>
        </is>
      </c>
      <c r="G1377" t="inlineStr">
        <is>
          <t>2. Carrito</t>
        </is>
      </c>
      <c r="H1377" t="n">
        <v>2</v>
      </c>
      <c r="I1377" s="73" t="n">
        <v>82300</v>
      </c>
      <c r="J1377" s="73" t="n">
        <v>189290</v>
      </c>
      <c r="K1377" s="73" t="n">
        <v>116194</v>
      </c>
    </row>
    <row r="1378">
      <c r="A1378" t="n">
        <v>10149</v>
      </c>
      <c r="B1378" s="72" t="n">
        <v>45684.35902777778</v>
      </c>
      <c r="C1378" t="inlineStr">
        <is>
          <t>Valle del Cauca</t>
        </is>
      </c>
      <c r="D1378" t="inlineStr">
        <is>
          <t>Cali</t>
        </is>
      </c>
      <c r="E1378" t="inlineStr">
        <is>
          <t>Moda</t>
        </is>
      </c>
      <c r="F1378" t="inlineStr">
        <is>
          <t>Tienda física</t>
        </is>
      </c>
      <c r="G1378" t="inlineStr">
        <is>
          <t>1. Visita</t>
        </is>
      </c>
      <c r="H1378" t="n">
        <v>3</v>
      </c>
      <c r="I1378" s="73" t="n">
        <v>105100</v>
      </c>
      <c r="J1378" s="73" t="n">
        <v>315300</v>
      </c>
      <c r="K1378" s="73" t="n">
        <v>182486</v>
      </c>
    </row>
    <row r="1379">
      <c r="A1379" t="n">
        <v>11335</v>
      </c>
      <c r="B1379" s="72" t="n">
        <v>45684.48611111111</v>
      </c>
      <c r="C1379" t="inlineStr">
        <is>
          <t>Santander</t>
        </is>
      </c>
      <c r="D1379" t="inlineStr">
        <is>
          <t>Bucaramanga</t>
        </is>
      </c>
      <c r="E1379" t="inlineStr">
        <is>
          <t>Deportes</t>
        </is>
      </c>
      <c r="F1379" t="inlineStr">
        <is>
          <t>App</t>
        </is>
      </c>
      <c r="G1379" t="inlineStr">
        <is>
          <t>3. Pago</t>
        </is>
      </c>
      <c r="H1379" t="n">
        <v>1</v>
      </c>
      <c r="I1379" s="73" t="n">
        <v>126200</v>
      </c>
      <c r="J1379" s="73" t="n">
        <v>126200</v>
      </c>
      <c r="K1379" s="73" t="n">
        <v>72085</v>
      </c>
    </row>
    <row r="1380">
      <c r="A1380" t="n">
        <v>10646</v>
      </c>
      <c r="B1380" s="72" t="n">
        <v>45684.50416666667</v>
      </c>
      <c r="C1380" t="inlineStr">
        <is>
          <t>Atlántico</t>
        </is>
      </c>
      <c r="D1380" t="inlineStr">
        <is>
          <t>Barranquilla</t>
        </is>
      </c>
      <c r="E1380" t="inlineStr">
        <is>
          <t>Tecnología</t>
        </is>
      </c>
      <c r="F1380" t="inlineStr">
        <is>
          <t>Marketplace</t>
        </is>
      </c>
      <c r="G1380" t="inlineStr">
        <is>
          <t>1. Visita</t>
        </is>
      </c>
      <c r="H1380" t="n">
        <v>2</v>
      </c>
      <c r="I1380" s="73" t="n">
        <v>879600</v>
      </c>
      <c r="J1380" s="73" t="n">
        <v>1759200</v>
      </c>
      <c r="K1380" s="73" t="n">
        <v>1203655</v>
      </c>
    </row>
    <row r="1381">
      <c r="A1381" t="n">
        <v>10344</v>
      </c>
      <c r="B1381" s="72" t="n">
        <v>45684.66319444445</v>
      </c>
      <c r="C1381" t="inlineStr">
        <is>
          <t>Bolívar</t>
        </is>
      </c>
      <c r="D1381" t="inlineStr">
        <is>
          <t>Cartagena</t>
        </is>
      </c>
      <c r="E1381" t="inlineStr">
        <is>
          <t>Moda</t>
        </is>
      </c>
      <c r="F1381" t="inlineStr">
        <is>
          <t>App</t>
        </is>
      </c>
      <c r="G1381" t="inlineStr">
        <is>
          <t>2. Carrito</t>
        </is>
      </c>
      <c r="H1381" t="n">
        <v>2</v>
      </c>
      <c r="I1381" s="73" t="n">
        <v>118300</v>
      </c>
      <c r="J1381" s="73" t="n">
        <v>236600</v>
      </c>
      <c r="K1381" s="73" t="n">
        <v>173826</v>
      </c>
    </row>
    <row r="1382">
      <c r="A1382" t="n">
        <v>10847</v>
      </c>
      <c r="B1382" s="72" t="n">
        <v>45684.74097222222</v>
      </c>
      <c r="C1382" t="inlineStr">
        <is>
          <t>Bogotá D.C.</t>
        </is>
      </c>
      <c r="D1382" t="inlineStr">
        <is>
          <t>Bogotá</t>
        </is>
      </c>
      <c r="E1382" t="inlineStr">
        <is>
          <t>Tecnología</t>
        </is>
      </c>
      <c r="F1382" t="inlineStr">
        <is>
          <t>App</t>
        </is>
      </c>
      <c r="G1382" t="inlineStr">
        <is>
          <t>3. Pago</t>
        </is>
      </c>
      <c r="H1382" t="n">
        <v>5</v>
      </c>
      <c r="I1382" s="73" t="n">
        <v>1029900</v>
      </c>
      <c r="J1382" s="73" t="n">
        <v>5149500</v>
      </c>
      <c r="K1382" s="73" t="n">
        <v>2902263</v>
      </c>
    </row>
    <row r="1383">
      <c r="A1383" t="n">
        <v>11624</v>
      </c>
      <c r="B1383" s="72" t="n">
        <v>45684.77152777778</v>
      </c>
      <c r="C1383" t="inlineStr">
        <is>
          <t>Atlántico</t>
        </is>
      </c>
      <c r="D1383" t="inlineStr">
        <is>
          <t>Barranquilla</t>
        </is>
      </c>
      <c r="E1383" t="inlineStr">
        <is>
          <t>Moda</t>
        </is>
      </c>
      <c r="F1383" t="inlineStr">
        <is>
          <t>App</t>
        </is>
      </c>
      <c r="G1383" t="inlineStr">
        <is>
          <t>1. Visita</t>
        </is>
      </c>
      <c r="H1383" t="n">
        <v>4</v>
      </c>
      <c r="I1383" s="73" t="n">
        <v>96800</v>
      </c>
      <c r="J1383" s="73" t="n">
        <v>387200</v>
      </c>
      <c r="K1383" s="73" t="n">
        <v>214369</v>
      </c>
    </row>
    <row r="1384">
      <c r="A1384" t="n">
        <v>12158</v>
      </c>
      <c r="B1384" s="72" t="n">
        <v>45684.92222222222</v>
      </c>
      <c r="C1384" t="inlineStr">
        <is>
          <t>Atlántico</t>
        </is>
      </c>
      <c r="D1384" t="inlineStr">
        <is>
          <t>Barranquilla</t>
        </is>
      </c>
      <c r="E1384" t="inlineStr">
        <is>
          <t>Juguetes</t>
        </is>
      </c>
      <c r="F1384" t="inlineStr">
        <is>
          <t>Tienda física</t>
        </is>
      </c>
      <c r="G1384" t="inlineStr">
        <is>
          <t>1. Visita</t>
        </is>
      </c>
      <c r="H1384" t="n">
        <v>5</v>
      </c>
      <c r="I1384" s="73" t="n">
        <v>71200</v>
      </c>
      <c r="J1384" s="73" t="n">
        <v>356000</v>
      </c>
      <c r="K1384" s="73" t="n">
        <v>225693</v>
      </c>
    </row>
    <row r="1385">
      <c r="A1385" t="n">
        <v>12097</v>
      </c>
      <c r="B1385" s="72" t="n">
        <v>45684.92569444444</v>
      </c>
      <c r="C1385" t="inlineStr">
        <is>
          <t>Bogotá D.C.</t>
        </is>
      </c>
      <c r="D1385" t="inlineStr">
        <is>
          <t>Bogotá</t>
        </is>
      </c>
      <c r="E1385" t="inlineStr">
        <is>
          <t>Tecnología</t>
        </is>
      </c>
      <c r="F1385" t="inlineStr">
        <is>
          <t>Tienda física</t>
        </is>
      </c>
      <c r="G1385" t="inlineStr">
        <is>
          <t>2. Carrito</t>
        </is>
      </c>
      <c r="H1385" t="n">
        <v>5</v>
      </c>
      <c r="I1385" s="73" t="n">
        <v>1044200</v>
      </c>
      <c r="J1385" s="73" t="n">
        <v>5221000</v>
      </c>
      <c r="K1385" s="73" t="n">
        <v>3288461</v>
      </c>
    </row>
    <row r="1386">
      <c r="A1386" t="n">
        <v>12011</v>
      </c>
      <c r="B1386" s="72" t="n">
        <v>45685.38819444444</v>
      </c>
      <c r="C1386" t="inlineStr">
        <is>
          <t>Bolívar</t>
        </is>
      </c>
      <c r="D1386" t="inlineStr">
        <is>
          <t>Cartagena</t>
        </is>
      </c>
      <c r="E1386" t="inlineStr">
        <is>
          <t>Deportes</t>
        </is>
      </c>
      <c r="F1386" t="inlineStr">
        <is>
          <t>App</t>
        </is>
      </c>
      <c r="G1386" t="inlineStr">
        <is>
          <t>1. Visita</t>
        </is>
      </c>
      <c r="H1386" t="n">
        <v>5</v>
      </c>
      <c r="I1386" s="73" t="n">
        <v>134600</v>
      </c>
      <c r="J1386" s="73" t="n">
        <v>673000</v>
      </c>
      <c r="K1386" s="73" t="n">
        <v>439088</v>
      </c>
    </row>
    <row r="1387">
      <c r="A1387" t="n">
        <v>10311</v>
      </c>
      <c r="B1387" s="72" t="n">
        <v>45685.43194444444</v>
      </c>
      <c r="C1387" t="inlineStr">
        <is>
          <t>Bogotá D.C.</t>
        </is>
      </c>
      <c r="D1387" t="inlineStr">
        <is>
          <t>Bogotá</t>
        </is>
      </c>
      <c r="E1387" t="inlineStr">
        <is>
          <t>Hogar</t>
        </is>
      </c>
      <c r="F1387" t="inlineStr">
        <is>
          <t>App</t>
        </is>
      </c>
      <c r="G1387" t="inlineStr">
        <is>
          <t>1. Visita</t>
        </is>
      </c>
      <c r="H1387" t="n">
        <v>2</v>
      </c>
      <c r="I1387" s="73" t="n">
        <v>154700</v>
      </c>
      <c r="J1387" s="73" t="n">
        <v>309400</v>
      </c>
      <c r="K1387" s="73" t="n">
        <v>215590</v>
      </c>
    </row>
    <row r="1388">
      <c r="A1388" t="n">
        <v>10538</v>
      </c>
      <c r="B1388" s="72" t="n">
        <v>45685.68611111111</v>
      </c>
      <c r="C1388" t="inlineStr">
        <is>
          <t>Risaralda</t>
        </is>
      </c>
      <c r="D1388" t="inlineStr">
        <is>
          <t>Pereira</t>
        </is>
      </c>
      <c r="E1388" t="inlineStr">
        <is>
          <t>Tecnología</t>
        </is>
      </c>
      <c r="F1388" t="inlineStr">
        <is>
          <t>Web</t>
        </is>
      </c>
      <c r="G1388" t="inlineStr">
        <is>
          <t>1. Visita</t>
        </is>
      </c>
      <c r="H1388" t="n">
        <v>2</v>
      </c>
      <c r="I1388" s="73" t="n">
        <v>1044800</v>
      </c>
      <c r="J1388" s="73" t="n">
        <v>2089600</v>
      </c>
      <c r="K1388" s="73" t="n">
        <v>1550093</v>
      </c>
    </row>
    <row r="1389">
      <c r="A1389" t="n">
        <v>10544</v>
      </c>
      <c r="B1389" s="72" t="n">
        <v>45685.68819444445</v>
      </c>
      <c r="C1389" t="inlineStr">
        <is>
          <t>Antioquia</t>
        </is>
      </c>
      <c r="D1389" t="inlineStr">
        <is>
          <t>Medellín</t>
        </is>
      </c>
      <c r="E1389" t="inlineStr">
        <is>
          <t>Tecnología</t>
        </is>
      </c>
      <c r="F1389" t="inlineStr">
        <is>
          <t>App</t>
        </is>
      </c>
      <c r="G1389" t="inlineStr">
        <is>
          <t>1. Visita</t>
        </is>
      </c>
      <c r="H1389" t="n">
        <v>1</v>
      </c>
      <c r="I1389" s="73" t="n">
        <v>829600</v>
      </c>
      <c r="J1389" s="73" t="n">
        <v>829600</v>
      </c>
      <c r="K1389" s="73" t="n">
        <v>551404</v>
      </c>
    </row>
    <row r="1390">
      <c r="A1390" t="n">
        <v>12069</v>
      </c>
      <c r="B1390" s="72" t="n">
        <v>45685.95069444444</v>
      </c>
      <c r="C1390" t="inlineStr">
        <is>
          <t>Nariño</t>
        </is>
      </c>
      <c r="D1390" t="inlineStr">
        <is>
          <t>Pasto</t>
        </is>
      </c>
      <c r="E1390" t="inlineStr">
        <is>
          <t>Tecnología</t>
        </is>
      </c>
      <c r="F1390" t="inlineStr">
        <is>
          <t>Tienda física</t>
        </is>
      </c>
      <c r="G1390" t="inlineStr">
        <is>
          <t>1. Visita</t>
        </is>
      </c>
      <c r="H1390" t="n">
        <v>2</v>
      </c>
      <c r="I1390" s="73" t="n">
        <v>799100</v>
      </c>
      <c r="J1390" s="73" t="n">
        <v>1598200</v>
      </c>
      <c r="K1390" s="73" t="n">
        <v>994894</v>
      </c>
    </row>
    <row r="1391">
      <c r="A1391" t="n">
        <v>12219</v>
      </c>
      <c r="B1391" s="72" t="n">
        <v>45686.88263888889</v>
      </c>
      <c r="C1391" t="inlineStr">
        <is>
          <t>Antioquia</t>
        </is>
      </c>
      <c r="D1391" t="inlineStr">
        <is>
          <t>Medellín</t>
        </is>
      </c>
      <c r="E1391" t="inlineStr">
        <is>
          <t>Belleza</t>
        </is>
      </c>
      <c r="F1391" t="inlineStr">
        <is>
          <t>App</t>
        </is>
      </c>
      <c r="G1391" t="inlineStr">
        <is>
          <t>2. Carrito</t>
        </is>
      </c>
      <c r="H1391" t="n">
        <v>3</v>
      </c>
      <c r="I1391" s="73" t="n">
        <v>76800</v>
      </c>
      <c r="J1391" s="73" t="n">
        <v>230400</v>
      </c>
      <c r="K1391" s="73" t="n">
        <v>135264</v>
      </c>
    </row>
    <row r="1392">
      <c r="A1392" t="n">
        <v>11772</v>
      </c>
      <c r="B1392" s="72" t="n">
        <v>45686.89930555555</v>
      </c>
      <c r="C1392" t="inlineStr">
        <is>
          <t>Meta</t>
        </is>
      </c>
      <c r="D1392" t="inlineStr">
        <is>
          <t>Villavicencio</t>
        </is>
      </c>
      <c r="E1392" t="inlineStr">
        <is>
          <t>Juguetes</t>
        </is>
      </c>
      <c r="F1392" t="inlineStr">
        <is>
          <t>Tienda física</t>
        </is>
      </c>
      <c r="G1392" t="inlineStr">
        <is>
          <t>1. Visita</t>
        </is>
      </c>
      <c r="H1392" t="n">
        <v>1</v>
      </c>
      <c r="I1392" s="73" t="n">
        <v>82200</v>
      </c>
      <c r="J1392" s="73" t="n">
        <v>82200</v>
      </c>
      <c r="K1392" s="73" t="n">
        <v>57962</v>
      </c>
    </row>
    <row r="1393">
      <c r="A1393" t="n">
        <v>11647</v>
      </c>
      <c r="B1393" s="72" t="n">
        <v>45687.36944444444</v>
      </c>
      <c r="C1393" t="inlineStr">
        <is>
          <t>Huila</t>
        </is>
      </c>
      <c r="D1393" t="inlineStr">
        <is>
          <t>Neiva</t>
        </is>
      </c>
      <c r="E1393" t="inlineStr">
        <is>
          <t>Tecnología</t>
        </is>
      </c>
      <c r="F1393" t="inlineStr">
        <is>
          <t>Tienda física</t>
        </is>
      </c>
      <c r="G1393" t="inlineStr">
        <is>
          <t>3. Pago</t>
        </is>
      </c>
      <c r="H1393" t="n">
        <v>3</v>
      </c>
      <c r="I1393" s="73" t="n">
        <v>796500</v>
      </c>
      <c r="J1393" s="73" t="n">
        <v>2389500</v>
      </c>
      <c r="K1393" s="73" t="n">
        <v>1573025</v>
      </c>
    </row>
    <row r="1394">
      <c r="A1394" t="n">
        <v>12203</v>
      </c>
      <c r="B1394" s="72" t="n">
        <v>45687.575</v>
      </c>
      <c r="C1394" t="inlineStr">
        <is>
          <t>Atlántico</t>
        </is>
      </c>
      <c r="D1394" t="inlineStr">
        <is>
          <t>Barranquilla</t>
        </is>
      </c>
      <c r="E1394" t="inlineStr">
        <is>
          <t>Deportes</t>
        </is>
      </c>
      <c r="F1394" t="inlineStr">
        <is>
          <t>Web</t>
        </is>
      </c>
      <c r="G1394" t="inlineStr">
        <is>
          <t>1. Visita</t>
        </is>
      </c>
      <c r="H1394" t="n">
        <v>5</v>
      </c>
      <c r="I1394" s="73" t="n">
        <v>125300</v>
      </c>
      <c r="J1394" s="73" t="n">
        <v>626500</v>
      </c>
      <c r="K1394" s="73" t="n">
        <v>448250</v>
      </c>
    </row>
    <row r="1395">
      <c r="A1395" t="n">
        <v>11342</v>
      </c>
      <c r="B1395" s="72" t="n">
        <v>45687.74305555555</v>
      </c>
      <c r="C1395" t="inlineStr">
        <is>
          <t>Antioquia</t>
        </is>
      </c>
      <c r="D1395" t="inlineStr">
        <is>
          <t>Medellín</t>
        </is>
      </c>
      <c r="E1395" t="inlineStr">
        <is>
          <t>Juguetes</t>
        </is>
      </c>
      <c r="F1395" t="inlineStr">
        <is>
          <t>Tienda física</t>
        </is>
      </c>
      <c r="G1395" t="inlineStr">
        <is>
          <t>1. Visita</t>
        </is>
      </c>
      <c r="H1395" t="n">
        <v>5</v>
      </c>
      <c r="I1395" s="73" t="n">
        <v>74400</v>
      </c>
      <c r="J1395" s="73" t="n">
        <v>372000</v>
      </c>
      <c r="K1395" s="73" t="n">
        <v>247654</v>
      </c>
    </row>
    <row r="1396">
      <c r="A1396" t="n">
        <v>11087</v>
      </c>
      <c r="B1396" s="72" t="n">
        <v>45687.76944444444</v>
      </c>
      <c r="C1396" t="inlineStr">
        <is>
          <t>Antioquia</t>
        </is>
      </c>
      <c r="D1396" t="inlineStr">
        <is>
          <t>Medellín</t>
        </is>
      </c>
      <c r="E1396" t="inlineStr">
        <is>
          <t>Belleza</t>
        </is>
      </c>
      <c r="F1396" t="inlineStr">
        <is>
          <t>Tienda física</t>
        </is>
      </c>
      <c r="G1396" t="inlineStr">
        <is>
          <t>4. Compra</t>
        </is>
      </c>
      <c r="H1396" t="n">
        <v>3</v>
      </c>
      <c r="I1396" s="73" t="n">
        <v>88200</v>
      </c>
      <c r="J1396" s="73" t="n">
        <v>264600</v>
      </c>
      <c r="K1396" s="73" t="n">
        <v>187295</v>
      </c>
    </row>
    <row r="1397">
      <c r="A1397" t="n">
        <v>12115</v>
      </c>
      <c r="B1397" s="72" t="n">
        <v>45687.84097222222</v>
      </c>
      <c r="C1397" t="inlineStr">
        <is>
          <t>Valle del Cauca</t>
        </is>
      </c>
      <c r="D1397" t="inlineStr">
        <is>
          <t>Cali</t>
        </is>
      </c>
      <c r="E1397" t="inlineStr">
        <is>
          <t>Moda</t>
        </is>
      </c>
      <c r="F1397" t="inlineStr">
        <is>
          <t>Tienda física</t>
        </is>
      </c>
      <c r="G1397" t="inlineStr">
        <is>
          <t>3. Pago</t>
        </is>
      </c>
      <c r="H1397" t="n">
        <v>5</v>
      </c>
      <c r="I1397" s="73" t="n">
        <v>84800</v>
      </c>
      <c r="J1397" s="73" t="n">
        <v>424000</v>
      </c>
      <c r="K1397" s="73" t="n">
        <v>316167</v>
      </c>
    </row>
    <row r="1398">
      <c r="A1398" t="n">
        <v>11602</v>
      </c>
      <c r="B1398" s="72" t="n">
        <v>45687.85069444445</v>
      </c>
      <c r="C1398" t="inlineStr">
        <is>
          <t>Bogotá D.C.</t>
        </is>
      </c>
      <c r="D1398" t="inlineStr">
        <is>
          <t>Bogotá</t>
        </is>
      </c>
      <c r="E1398" t="inlineStr">
        <is>
          <t>Juguetes</t>
        </is>
      </c>
      <c r="F1398" t="inlineStr">
        <is>
          <t>Web</t>
        </is>
      </c>
      <c r="G1398" t="inlineStr">
        <is>
          <t>2. Carrito</t>
        </is>
      </c>
      <c r="H1398" t="n">
        <v>2</v>
      </c>
      <c r="I1398" s="73" t="n">
        <v>64800</v>
      </c>
      <c r="J1398" s="73" t="n">
        <v>129600</v>
      </c>
      <c r="K1398" s="73" t="n">
        <v>72393</v>
      </c>
    </row>
    <row r="1399">
      <c r="A1399" t="n">
        <v>11625</v>
      </c>
      <c r="B1399" s="72" t="n">
        <v>45687.91111111111</v>
      </c>
      <c r="C1399" t="inlineStr">
        <is>
          <t>Meta</t>
        </is>
      </c>
      <c r="D1399" t="inlineStr">
        <is>
          <t>Villavicencio</t>
        </is>
      </c>
      <c r="E1399" t="inlineStr">
        <is>
          <t>Belleza</t>
        </is>
      </c>
      <c r="F1399" t="inlineStr">
        <is>
          <t>Tienda física</t>
        </is>
      </c>
      <c r="G1399" t="inlineStr">
        <is>
          <t>1. Visita</t>
        </is>
      </c>
      <c r="H1399" t="n">
        <v>3</v>
      </c>
      <c r="I1399" s="73" t="n">
        <v>59700</v>
      </c>
      <c r="J1399" s="73" t="n">
        <v>179100</v>
      </c>
      <c r="K1399" s="73" t="n">
        <v>129396</v>
      </c>
    </row>
    <row r="1400">
      <c r="A1400" t="n">
        <v>10713</v>
      </c>
      <c r="B1400" s="72" t="n">
        <v>45688.33402777778</v>
      </c>
      <c r="C1400" t="inlineStr">
        <is>
          <t>Santander</t>
        </is>
      </c>
      <c r="D1400" t="inlineStr">
        <is>
          <t>Bucaramanga</t>
        </is>
      </c>
      <c r="E1400" t="inlineStr">
        <is>
          <t>Hogar</t>
        </is>
      </c>
      <c r="F1400" t="inlineStr">
        <is>
          <t>Web</t>
        </is>
      </c>
      <c r="G1400" t="inlineStr">
        <is>
          <t>1. Visita</t>
        </is>
      </c>
      <c r="H1400" t="n">
        <v>4</v>
      </c>
      <c r="I1400" s="73" t="n">
        <v>179400</v>
      </c>
      <c r="J1400" s="73" t="n">
        <v>825240</v>
      </c>
      <c r="K1400" s="73" t="n">
        <v>568578</v>
      </c>
    </row>
    <row r="1401">
      <c r="A1401" t="n">
        <v>10678</v>
      </c>
      <c r="B1401" s="72" t="n">
        <v>45688.59236111111</v>
      </c>
      <c r="C1401" t="inlineStr">
        <is>
          <t>Bogotá D.C.</t>
        </is>
      </c>
      <c r="D1401" t="inlineStr">
        <is>
          <t>Bogotá</t>
        </is>
      </c>
      <c r="E1401" t="inlineStr">
        <is>
          <t>Moda</t>
        </is>
      </c>
      <c r="F1401" t="inlineStr">
        <is>
          <t>Web</t>
        </is>
      </c>
      <c r="G1401" t="inlineStr">
        <is>
          <t>3. Pago</t>
        </is>
      </c>
      <c r="H1401" t="n">
        <v>4</v>
      </c>
      <c r="I1401" s="73" t="n">
        <v>110300</v>
      </c>
      <c r="J1401" s="73" t="n">
        <v>507380</v>
      </c>
      <c r="K1401" s="73" t="n">
        <v>345031</v>
      </c>
    </row>
    <row r="1402">
      <c r="A1402" t="n">
        <v>11755</v>
      </c>
      <c r="B1402" s="72" t="n">
        <v>45688.59930555556</v>
      </c>
      <c r="C1402" t="inlineStr">
        <is>
          <t>Risaralda</t>
        </is>
      </c>
      <c r="D1402" t="inlineStr">
        <is>
          <t>Pereira</t>
        </is>
      </c>
      <c r="E1402" t="inlineStr">
        <is>
          <t>Belleza</t>
        </is>
      </c>
      <c r="F1402" t="inlineStr">
        <is>
          <t>Tienda física</t>
        </is>
      </c>
      <c r="G1402" t="inlineStr">
        <is>
          <t>1. Visita</t>
        </is>
      </c>
      <c r="H1402" t="n">
        <v>2</v>
      </c>
      <c r="I1402" s="73" t="n">
        <v>78500</v>
      </c>
      <c r="J1402" s="73" t="n">
        <v>180550</v>
      </c>
      <c r="K1402" s="73" t="n">
        <v>112103</v>
      </c>
    </row>
    <row r="1403">
      <c r="A1403" t="n">
        <v>12164</v>
      </c>
      <c r="B1403" s="72" t="n">
        <v>45689.33611111111</v>
      </c>
      <c r="C1403" t="inlineStr">
        <is>
          <t>Antioquia</t>
        </is>
      </c>
      <c r="D1403" t="inlineStr">
        <is>
          <t>Medellín</t>
        </is>
      </c>
      <c r="E1403" t="inlineStr">
        <is>
          <t>Tecnología</t>
        </is>
      </c>
      <c r="F1403" t="inlineStr">
        <is>
          <t>Tienda física</t>
        </is>
      </c>
      <c r="G1403" t="inlineStr">
        <is>
          <t>1. Visita</t>
        </is>
      </c>
      <c r="H1403" t="n">
        <v>5</v>
      </c>
      <c r="I1403" s="73" t="n">
        <v>776600</v>
      </c>
      <c r="J1403" s="73" t="n">
        <v>4465450</v>
      </c>
      <c r="K1403" s="73" t="n">
        <v>2687416</v>
      </c>
    </row>
    <row r="1404">
      <c r="A1404" t="n">
        <v>11055</v>
      </c>
      <c r="B1404" s="72" t="n">
        <v>45689.78263888889</v>
      </c>
      <c r="C1404" t="inlineStr">
        <is>
          <t>Risaralda</t>
        </is>
      </c>
      <c r="D1404" t="inlineStr">
        <is>
          <t>Pereira</t>
        </is>
      </c>
      <c r="E1404" t="inlineStr">
        <is>
          <t>Juguetes</t>
        </is>
      </c>
      <c r="F1404" t="inlineStr">
        <is>
          <t>Web</t>
        </is>
      </c>
      <c r="G1404" t="inlineStr">
        <is>
          <t>2. Carrito</t>
        </is>
      </c>
      <c r="H1404" t="n">
        <v>1</v>
      </c>
      <c r="I1404" s="73" t="n">
        <v>106800</v>
      </c>
      <c r="J1404" s="73" t="n">
        <v>122820</v>
      </c>
      <c r="K1404" s="73" t="n">
        <v>88439</v>
      </c>
    </row>
    <row r="1405">
      <c r="A1405" t="n">
        <v>10427</v>
      </c>
      <c r="B1405" s="72" t="n">
        <v>45689.90972222222</v>
      </c>
      <c r="C1405" t="inlineStr">
        <is>
          <t>Valle del Cauca</t>
        </is>
      </c>
      <c r="D1405" t="inlineStr">
        <is>
          <t>Cali</t>
        </is>
      </c>
      <c r="E1405" t="inlineStr">
        <is>
          <t>Deportes</t>
        </is>
      </c>
      <c r="F1405" t="inlineStr">
        <is>
          <t>Tienda física</t>
        </is>
      </c>
      <c r="G1405" t="inlineStr">
        <is>
          <t>4. Compra</t>
        </is>
      </c>
      <c r="H1405" t="n">
        <v>4</v>
      </c>
      <c r="I1405" s="73" t="n">
        <v>147200</v>
      </c>
      <c r="J1405" s="73" t="n">
        <v>677120</v>
      </c>
      <c r="K1405" s="73" t="n">
        <v>417433</v>
      </c>
    </row>
    <row r="1406">
      <c r="A1406" t="n">
        <v>11793</v>
      </c>
      <c r="B1406" s="72" t="n">
        <v>45690.39375</v>
      </c>
      <c r="C1406" t="inlineStr">
        <is>
          <t>Bogotá D.C.</t>
        </is>
      </c>
      <c r="D1406" t="inlineStr">
        <is>
          <t>Bogotá</t>
        </is>
      </c>
      <c r="E1406" t="inlineStr">
        <is>
          <t>Moda</t>
        </is>
      </c>
      <c r="F1406" t="inlineStr">
        <is>
          <t>App</t>
        </is>
      </c>
      <c r="G1406" t="inlineStr">
        <is>
          <t>4. Compra</t>
        </is>
      </c>
      <c r="H1406" t="n">
        <v>5</v>
      </c>
      <c r="I1406" s="73" t="n">
        <v>155800</v>
      </c>
      <c r="J1406" s="73" t="n">
        <v>895850</v>
      </c>
      <c r="K1406" s="73" t="n">
        <v>566806</v>
      </c>
    </row>
    <row r="1407">
      <c r="A1407" t="n">
        <v>11231</v>
      </c>
      <c r="B1407" s="72" t="n">
        <v>45690.42708333334</v>
      </c>
      <c r="C1407" t="inlineStr">
        <is>
          <t>Valle del Cauca</t>
        </is>
      </c>
      <c r="D1407" t="inlineStr">
        <is>
          <t>Cali</t>
        </is>
      </c>
      <c r="E1407" t="inlineStr">
        <is>
          <t>Moda</t>
        </is>
      </c>
      <c r="F1407" t="inlineStr">
        <is>
          <t>App</t>
        </is>
      </c>
      <c r="G1407" t="inlineStr">
        <is>
          <t>2. Carrito</t>
        </is>
      </c>
      <c r="H1407" t="n">
        <v>2</v>
      </c>
      <c r="I1407" s="73" t="n">
        <v>98500</v>
      </c>
      <c r="J1407" s="73" t="n">
        <v>226550</v>
      </c>
      <c r="K1407" s="73" t="n">
        <v>148658</v>
      </c>
    </row>
    <row r="1408">
      <c r="A1408" t="n">
        <v>10124</v>
      </c>
      <c r="B1408" s="72" t="n">
        <v>45690.57013888889</v>
      </c>
      <c r="C1408" t="inlineStr">
        <is>
          <t>Risaralda</t>
        </is>
      </c>
      <c r="D1408" t="inlineStr">
        <is>
          <t>Pereira</t>
        </is>
      </c>
      <c r="E1408" t="inlineStr">
        <is>
          <t>Hogar</t>
        </is>
      </c>
      <c r="F1408" t="inlineStr">
        <is>
          <t>Web</t>
        </is>
      </c>
      <c r="G1408" t="inlineStr">
        <is>
          <t>3. Pago</t>
        </is>
      </c>
      <c r="H1408" t="n">
        <v>4</v>
      </c>
      <c r="I1408" s="73" t="n">
        <v>232500</v>
      </c>
      <c r="J1408" s="73" t="n">
        <v>1069500</v>
      </c>
      <c r="K1408" s="73" t="n">
        <v>664036</v>
      </c>
    </row>
    <row r="1409">
      <c r="A1409" t="n">
        <v>10827</v>
      </c>
      <c r="B1409" s="72" t="n">
        <v>45690.725</v>
      </c>
      <c r="C1409" t="inlineStr">
        <is>
          <t>Santander</t>
        </is>
      </c>
      <c r="D1409" t="inlineStr">
        <is>
          <t>Bucaramanga</t>
        </is>
      </c>
      <c r="E1409" t="inlineStr">
        <is>
          <t>Moda</t>
        </is>
      </c>
      <c r="F1409" t="inlineStr">
        <is>
          <t>App</t>
        </is>
      </c>
      <c r="G1409" t="inlineStr">
        <is>
          <t>1. Visita</t>
        </is>
      </c>
      <c r="H1409" t="n">
        <v>3</v>
      </c>
      <c r="I1409" s="73" t="n">
        <v>115200</v>
      </c>
      <c r="J1409" s="73" t="n">
        <v>397440</v>
      </c>
      <c r="K1409" s="73" t="n">
        <v>248021</v>
      </c>
    </row>
    <row r="1410">
      <c r="A1410" t="n">
        <v>12261</v>
      </c>
      <c r="B1410" s="72" t="n">
        <v>45690.75486111111</v>
      </c>
      <c r="C1410" t="inlineStr">
        <is>
          <t>Huila</t>
        </is>
      </c>
      <c r="D1410" t="inlineStr">
        <is>
          <t>Neiva</t>
        </is>
      </c>
      <c r="E1410" t="inlineStr">
        <is>
          <t>Belleza</t>
        </is>
      </c>
      <c r="F1410" t="inlineStr">
        <is>
          <t>Tienda física</t>
        </is>
      </c>
      <c r="G1410" t="inlineStr">
        <is>
          <t>3. Pago</t>
        </is>
      </c>
      <c r="H1410" t="n">
        <v>5</v>
      </c>
      <c r="I1410" s="73" t="n">
        <v>76200</v>
      </c>
      <c r="J1410" s="73" t="n">
        <v>438150</v>
      </c>
      <c r="K1410" s="73" t="n">
        <v>250655</v>
      </c>
    </row>
    <row r="1411">
      <c r="A1411" t="n">
        <v>11522</v>
      </c>
      <c r="B1411" s="72" t="n">
        <v>45690.76041666666</v>
      </c>
      <c r="C1411" t="inlineStr">
        <is>
          <t>Valle del Cauca</t>
        </is>
      </c>
      <c r="D1411" t="inlineStr">
        <is>
          <t>Cali</t>
        </is>
      </c>
      <c r="E1411" t="inlineStr">
        <is>
          <t>Juguetes</t>
        </is>
      </c>
      <c r="F1411" t="inlineStr">
        <is>
          <t>Web</t>
        </is>
      </c>
      <c r="G1411" t="inlineStr">
        <is>
          <t>3. Pago</t>
        </is>
      </c>
      <c r="H1411" t="n">
        <v>2</v>
      </c>
      <c r="I1411" s="73" t="n">
        <v>74300</v>
      </c>
      <c r="J1411" s="73" t="n">
        <v>170890</v>
      </c>
      <c r="K1411" s="73" t="n">
        <v>128096</v>
      </c>
    </row>
    <row r="1412">
      <c r="A1412" t="n">
        <v>11833</v>
      </c>
      <c r="B1412" s="72" t="n">
        <v>45690.82361111111</v>
      </c>
      <c r="C1412" t="inlineStr">
        <is>
          <t>Bolívar</t>
        </is>
      </c>
      <c r="D1412" t="inlineStr">
        <is>
          <t>Cartagena</t>
        </is>
      </c>
      <c r="E1412" t="inlineStr">
        <is>
          <t>Deportes</t>
        </is>
      </c>
      <c r="F1412" t="inlineStr">
        <is>
          <t>App</t>
        </is>
      </c>
      <c r="G1412" t="inlineStr">
        <is>
          <t>1. Visita</t>
        </is>
      </c>
      <c r="H1412" t="n">
        <v>1</v>
      </c>
      <c r="I1412" s="73" t="n">
        <v>144100</v>
      </c>
      <c r="J1412" s="73" t="n">
        <v>165715</v>
      </c>
      <c r="K1412" s="73" t="n">
        <v>113722</v>
      </c>
    </row>
    <row r="1413">
      <c r="A1413" t="n">
        <v>10341</v>
      </c>
      <c r="B1413" s="72" t="n">
        <v>45690.89861111111</v>
      </c>
      <c r="C1413" t="inlineStr">
        <is>
          <t>Bogotá D.C.</t>
        </is>
      </c>
      <c r="D1413" t="inlineStr">
        <is>
          <t>Bogotá</t>
        </is>
      </c>
      <c r="E1413" t="inlineStr">
        <is>
          <t>Moda</t>
        </is>
      </c>
      <c r="F1413" t="inlineStr">
        <is>
          <t>Tienda física</t>
        </is>
      </c>
      <c r="G1413" t="inlineStr">
        <is>
          <t>1. Visita</t>
        </is>
      </c>
      <c r="H1413" t="n">
        <v>3</v>
      </c>
      <c r="I1413" s="73" t="n">
        <v>111200</v>
      </c>
      <c r="J1413" s="73" t="n">
        <v>383640</v>
      </c>
      <c r="K1413" s="73" t="n">
        <v>230579</v>
      </c>
    </row>
    <row r="1414">
      <c r="A1414" t="n">
        <v>11029</v>
      </c>
      <c r="B1414" s="72" t="n">
        <v>45690.95833333334</v>
      </c>
      <c r="C1414" t="inlineStr">
        <is>
          <t>Antioquia</t>
        </is>
      </c>
      <c r="D1414" t="inlineStr">
        <is>
          <t>Medellín</t>
        </is>
      </c>
      <c r="E1414" t="inlineStr">
        <is>
          <t>Juguetes</t>
        </is>
      </c>
      <c r="F1414" t="inlineStr">
        <is>
          <t>Marketplace</t>
        </is>
      </c>
      <c r="G1414" t="inlineStr">
        <is>
          <t>3. Pago</t>
        </is>
      </c>
      <c r="H1414" t="n">
        <v>1</v>
      </c>
      <c r="I1414" s="73" t="n">
        <v>109100</v>
      </c>
      <c r="J1414" s="73" t="n">
        <v>125465</v>
      </c>
      <c r="K1414" s="73" t="n">
        <v>69212</v>
      </c>
    </row>
    <row r="1415">
      <c r="A1415" t="n">
        <v>11477</v>
      </c>
      <c r="B1415" s="72" t="n">
        <v>45691.41527777778</v>
      </c>
      <c r="C1415" t="inlineStr">
        <is>
          <t>Bogotá D.C.</t>
        </is>
      </c>
      <c r="D1415" t="inlineStr">
        <is>
          <t>Bogotá</t>
        </is>
      </c>
      <c r="E1415" t="inlineStr">
        <is>
          <t>Moda</t>
        </is>
      </c>
      <c r="F1415" t="inlineStr">
        <is>
          <t>Tienda física</t>
        </is>
      </c>
      <c r="G1415" t="inlineStr">
        <is>
          <t>3. Pago</t>
        </is>
      </c>
      <c r="H1415" t="n">
        <v>4</v>
      </c>
      <c r="I1415" s="73" t="n">
        <v>143700</v>
      </c>
      <c r="J1415" s="73" t="n">
        <v>574800</v>
      </c>
      <c r="K1415" s="73" t="n">
        <v>420602</v>
      </c>
    </row>
    <row r="1416">
      <c r="A1416" t="n">
        <v>10448</v>
      </c>
      <c r="B1416" s="72" t="n">
        <v>45691.54861111111</v>
      </c>
      <c r="C1416" t="inlineStr">
        <is>
          <t>Valle del Cauca</t>
        </is>
      </c>
      <c r="D1416" t="inlineStr">
        <is>
          <t>Cali</t>
        </is>
      </c>
      <c r="E1416" t="inlineStr">
        <is>
          <t>Deportes</t>
        </is>
      </c>
      <c r="F1416" t="inlineStr">
        <is>
          <t>Tienda física</t>
        </is>
      </c>
      <c r="G1416" t="inlineStr">
        <is>
          <t>1. Visita</t>
        </is>
      </c>
      <c r="H1416" t="n">
        <v>1</v>
      </c>
      <c r="I1416" s="73" t="n">
        <v>125000</v>
      </c>
      <c r="J1416" s="73" t="n">
        <v>125000</v>
      </c>
      <c r="K1416" s="73" t="n">
        <v>79926</v>
      </c>
    </row>
    <row r="1417">
      <c r="A1417" t="n">
        <v>10221</v>
      </c>
      <c r="B1417" s="72" t="n">
        <v>45691.65347222222</v>
      </c>
      <c r="C1417" t="inlineStr">
        <is>
          <t>Meta</t>
        </is>
      </c>
      <c r="D1417" t="inlineStr">
        <is>
          <t>Villavicencio</t>
        </is>
      </c>
      <c r="E1417" t="inlineStr">
        <is>
          <t>Belleza</t>
        </is>
      </c>
      <c r="F1417" t="inlineStr">
        <is>
          <t>App</t>
        </is>
      </c>
      <c r="G1417" t="inlineStr">
        <is>
          <t>2. Carrito</t>
        </is>
      </c>
      <c r="H1417" t="n">
        <v>3</v>
      </c>
      <c r="I1417" s="73" t="n">
        <v>49500</v>
      </c>
      <c r="J1417" s="73" t="n">
        <v>148500</v>
      </c>
      <c r="K1417" s="73" t="n">
        <v>97960</v>
      </c>
    </row>
    <row r="1418">
      <c r="A1418" t="n">
        <v>11061</v>
      </c>
      <c r="B1418" s="72" t="n">
        <v>45692.42013888889</v>
      </c>
      <c r="C1418" t="inlineStr">
        <is>
          <t>Nariño</t>
        </is>
      </c>
      <c r="D1418" t="inlineStr">
        <is>
          <t>Pasto</t>
        </is>
      </c>
      <c r="E1418" t="inlineStr">
        <is>
          <t>Tecnología</t>
        </is>
      </c>
      <c r="F1418" t="inlineStr">
        <is>
          <t>App</t>
        </is>
      </c>
      <c r="G1418" t="inlineStr">
        <is>
          <t>2. Carrito</t>
        </is>
      </c>
      <c r="H1418" t="n">
        <v>2</v>
      </c>
      <c r="I1418" s="73" t="n">
        <v>600400</v>
      </c>
      <c r="J1418" s="73" t="n">
        <v>1200800</v>
      </c>
      <c r="K1418" s="73" t="n">
        <v>715466</v>
      </c>
    </row>
    <row r="1419">
      <c r="A1419" t="n">
        <v>11987</v>
      </c>
      <c r="B1419" s="72" t="n">
        <v>45692.49236111111</v>
      </c>
      <c r="C1419" t="inlineStr">
        <is>
          <t>Antioquia</t>
        </is>
      </c>
      <c r="D1419" t="inlineStr">
        <is>
          <t>Medellín</t>
        </is>
      </c>
      <c r="E1419" t="inlineStr">
        <is>
          <t>Belleza</t>
        </is>
      </c>
      <c r="F1419" t="inlineStr">
        <is>
          <t>Marketplace</t>
        </is>
      </c>
      <c r="G1419" t="inlineStr">
        <is>
          <t>3. Pago</t>
        </is>
      </c>
      <c r="H1419" t="n">
        <v>5</v>
      </c>
      <c r="I1419" s="73" t="n">
        <v>66000</v>
      </c>
      <c r="J1419" s="73" t="n">
        <v>330000</v>
      </c>
      <c r="K1419" s="73" t="n">
        <v>201059</v>
      </c>
    </row>
    <row r="1420">
      <c r="A1420" t="n">
        <v>10510</v>
      </c>
      <c r="B1420" s="72" t="n">
        <v>45692.64513888889</v>
      </c>
      <c r="C1420" t="inlineStr">
        <is>
          <t>Antioquia</t>
        </is>
      </c>
      <c r="D1420" t="inlineStr">
        <is>
          <t>Medellín</t>
        </is>
      </c>
      <c r="E1420" t="inlineStr">
        <is>
          <t>Juguetes</t>
        </is>
      </c>
      <c r="F1420" t="inlineStr">
        <is>
          <t>App</t>
        </is>
      </c>
      <c r="G1420" t="inlineStr">
        <is>
          <t>2. Carrito</t>
        </is>
      </c>
      <c r="H1420" t="n">
        <v>2</v>
      </c>
      <c r="I1420" s="73" t="n">
        <v>90400</v>
      </c>
      <c r="J1420" s="73" t="n">
        <v>180800</v>
      </c>
      <c r="K1420" s="73" t="n">
        <v>115594</v>
      </c>
    </row>
    <row r="1421">
      <c r="A1421" t="n">
        <v>10439</v>
      </c>
      <c r="B1421" s="72" t="n">
        <v>45692.73194444444</v>
      </c>
      <c r="C1421" t="inlineStr">
        <is>
          <t>Meta</t>
        </is>
      </c>
      <c r="D1421" t="inlineStr">
        <is>
          <t>Villavicencio</t>
        </is>
      </c>
      <c r="E1421" t="inlineStr">
        <is>
          <t>Juguetes</t>
        </is>
      </c>
      <c r="F1421" t="inlineStr">
        <is>
          <t>App</t>
        </is>
      </c>
      <c r="G1421" t="inlineStr">
        <is>
          <t>2. Carrito</t>
        </is>
      </c>
      <c r="H1421" t="n">
        <v>3</v>
      </c>
      <c r="I1421" s="73" t="n">
        <v>107400</v>
      </c>
      <c r="J1421" s="73" t="n">
        <v>322200</v>
      </c>
      <c r="K1421" s="73" t="n">
        <v>235623</v>
      </c>
    </row>
    <row r="1422">
      <c r="A1422" t="n">
        <v>11938</v>
      </c>
      <c r="B1422" s="72" t="n">
        <v>45693.57708333333</v>
      </c>
      <c r="C1422" t="inlineStr">
        <is>
          <t>Atlántico</t>
        </is>
      </c>
      <c r="D1422" t="inlineStr">
        <is>
          <t>Barranquilla</t>
        </is>
      </c>
      <c r="E1422" t="inlineStr">
        <is>
          <t>Juguetes</t>
        </is>
      </c>
      <c r="F1422" t="inlineStr">
        <is>
          <t>Marketplace</t>
        </is>
      </c>
      <c r="G1422" t="inlineStr">
        <is>
          <t>1. Visita</t>
        </is>
      </c>
      <c r="H1422" t="n">
        <v>4</v>
      </c>
      <c r="I1422" s="73" t="n">
        <v>70200</v>
      </c>
      <c r="J1422" s="73" t="n">
        <v>280800</v>
      </c>
      <c r="K1422" s="73" t="n">
        <v>195259</v>
      </c>
    </row>
    <row r="1423">
      <c r="A1423" t="n">
        <v>11655</v>
      </c>
      <c r="B1423" s="72" t="n">
        <v>45693.78333333333</v>
      </c>
      <c r="C1423" t="inlineStr">
        <is>
          <t>Huila</t>
        </is>
      </c>
      <c r="D1423" t="inlineStr">
        <is>
          <t>Neiva</t>
        </is>
      </c>
      <c r="E1423" t="inlineStr">
        <is>
          <t>Deportes</t>
        </is>
      </c>
      <c r="F1423" t="inlineStr">
        <is>
          <t>Tienda física</t>
        </is>
      </c>
      <c r="G1423" t="inlineStr">
        <is>
          <t>1. Visita</t>
        </is>
      </c>
      <c r="H1423" t="n">
        <v>5</v>
      </c>
      <c r="I1423" s="73" t="n">
        <v>132300</v>
      </c>
      <c r="J1423" s="73" t="n">
        <v>661500</v>
      </c>
      <c r="K1423" s="73" t="n">
        <v>401086</v>
      </c>
    </row>
    <row r="1424">
      <c r="A1424" t="n">
        <v>11603</v>
      </c>
      <c r="B1424" s="72" t="n">
        <v>45693.80277777778</v>
      </c>
      <c r="C1424" t="inlineStr">
        <is>
          <t>Huila</t>
        </is>
      </c>
      <c r="D1424" t="inlineStr">
        <is>
          <t>Neiva</t>
        </is>
      </c>
      <c r="E1424" t="inlineStr">
        <is>
          <t>Belleza</t>
        </is>
      </c>
      <c r="F1424" t="inlineStr">
        <is>
          <t>Tienda física</t>
        </is>
      </c>
      <c r="G1424" t="inlineStr">
        <is>
          <t>3. Pago</t>
        </is>
      </c>
      <c r="H1424" t="n">
        <v>4</v>
      </c>
      <c r="I1424" s="73" t="n">
        <v>50100</v>
      </c>
      <c r="J1424" s="73" t="n">
        <v>200400</v>
      </c>
      <c r="K1424" s="73" t="n">
        <v>123351</v>
      </c>
    </row>
    <row r="1425">
      <c r="A1425" t="n">
        <v>10889</v>
      </c>
      <c r="B1425" s="72" t="n">
        <v>45694.37916666667</v>
      </c>
      <c r="C1425" t="inlineStr">
        <is>
          <t>Antioquia</t>
        </is>
      </c>
      <c r="D1425" t="inlineStr">
        <is>
          <t>Medellín</t>
        </is>
      </c>
      <c r="E1425" t="inlineStr">
        <is>
          <t>Tecnología</t>
        </is>
      </c>
      <c r="F1425" t="inlineStr">
        <is>
          <t>App</t>
        </is>
      </c>
      <c r="G1425" t="inlineStr">
        <is>
          <t>4. Compra</t>
        </is>
      </c>
      <c r="H1425" t="n">
        <v>3</v>
      </c>
      <c r="I1425" s="73" t="n">
        <v>629500</v>
      </c>
      <c r="J1425" s="73" t="n">
        <v>1888500</v>
      </c>
      <c r="K1425" s="73" t="n">
        <v>1117064</v>
      </c>
    </row>
    <row r="1426">
      <c r="A1426" t="n">
        <v>12104</v>
      </c>
      <c r="B1426" s="72" t="n">
        <v>45694.49722222222</v>
      </c>
      <c r="C1426" t="inlineStr">
        <is>
          <t>Atlántico</t>
        </is>
      </c>
      <c r="D1426" t="inlineStr">
        <is>
          <t>Barranquilla</t>
        </is>
      </c>
      <c r="E1426" t="inlineStr">
        <is>
          <t>Moda</t>
        </is>
      </c>
      <c r="F1426" t="inlineStr">
        <is>
          <t>Tienda física</t>
        </is>
      </c>
      <c r="G1426" t="inlineStr">
        <is>
          <t>3. Pago</t>
        </is>
      </c>
      <c r="H1426" t="n">
        <v>1</v>
      </c>
      <c r="I1426" s="73" t="n">
        <v>109000</v>
      </c>
      <c r="J1426" s="73" t="n">
        <v>109000</v>
      </c>
      <c r="K1426" s="73" t="n">
        <v>62382</v>
      </c>
    </row>
    <row r="1427">
      <c r="A1427" t="n">
        <v>10837</v>
      </c>
      <c r="B1427" s="72" t="n">
        <v>45694.51319444444</v>
      </c>
      <c r="C1427" t="inlineStr">
        <is>
          <t>Atlántico</t>
        </is>
      </c>
      <c r="D1427" t="inlineStr">
        <is>
          <t>Barranquilla</t>
        </is>
      </c>
      <c r="E1427" t="inlineStr">
        <is>
          <t>Deportes</t>
        </is>
      </c>
      <c r="F1427" t="inlineStr">
        <is>
          <t>Marketplace</t>
        </is>
      </c>
      <c r="G1427" t="inlineStr">
        <is>
          <t>1. Visita</t>
        </is>
      </c>
      <c r="H1427" t="n">
        <v>2</v>
      </c>
      <c r="I1427" s="73" t="n">
        <v>142300</v>
      </c>
      <c r="J1427" s="73" t="n">
        <v>284600</v>
      </c>
      <c r="K1427" s="73" t="n">
        <v>195732</v>
      </c>
    </row>
    <row r="1428">
      <c r="A1428" t="n">
        <v>11899</v>
      </c>
      <c r="B1428" s="72" t="n">
        <v>45695.27916666667</v>
      </c>
      <c r="C1428" t="inlineStr">
        <is>
          <t>Valle del Cauca</t>
        </is>
      </c>
      <c r="D1428" t="inlineStr">
        <is>
          <t>Cali</t>
        </is>
      </c>
      <c r="E1428" t="inlineStr">
        <is>
          <t>Moda</t>
        </is>
      </c>
      <c r="F1428" t="inlineStr">
        <is>
          <t>Web</t>
        </is>
      </c>
      <c r="G1428" t="inlineStr">
        <is>
          <t>3. Pago</t>
        </is>
      </c>
      <c r="H1428" t="n">
        <v>1</v>
      </c>
      <c r="I1428" s="73" t="n">
        <v>118700</v>
      </c>
      <c r="J1428" s="73" t="n">
        <v>136505</v>
      </c>
      <c r="K1428" s="73" t="n">
        <v>94703</v>
      </c>
    </row>
    <row r="1429">
      <c r="A1429" t="n">
        <v>10483</v>
      </c>
      <c r="B1429" s="72" t="n">
        <v>45695.60486111111</v>
      </c>
      <c r="C1429" t="inlineStr">
        <is>
          <t>Bogotá D.C.</t>
        </is>
      </c>
      <c r="D1429" t="inlineStr">
        <is>
          <t>Bogotá</t>
        </is>
      </c>
      <c r="E1429" t="inlineStr">
        <is>
          <t>Deportes</t>
        </is>
      </c>
      <c r="F1429" t="inlineStr">
        <is>
          <t>Tienda física</t>
        </is>
      </c>
      <c r="G1429" t="inlineStr">
        <is>
          <t>1. Visita</t>
        </is>
      </c>
      <c r="H1429" t="n">
        <v>1</v>
      </c>
      <c r="I1429" s="73" t="n">
        <v>139200</v>
      </c>
      <c r="J1429" s="73" t="n">
        <v>160080</v>
      </c>
      <c r="K1429" s="73" t="n">
        <v>112760</v>
      </c>
    </row>
    <row r="1430">
      <c r="A1430" t="n">
        <v>11864</v>
      </c>
      <c r="B1430" s="72" t="n">
        <v>45695.76319444444</v>
      </c>
      <c r="C1430" t="inlineStr">
        <is>
          <t>Antioquia</t>
        </is>
      </c>
      <c r="D1430" t="inlineStr">
        <is>
          <t>Medellín</t>
        </is>
      </c>
      <c r="E1430" t="inlineStr">
        <is>
          <t>Juguetes</t>
        </is>
      </c>
      <c r="F1430" t="inlineStr">
        <is>
          <t>App</t>
        </is>
      </c>
      <c r="G1430" t="inlineStr">
        <is>
          <t>3. Pago</t>
        </is>
      </c>
      <c r="H1430" t="n">
        <v>2</v>
      </c>
      <c r="I1430" s="73" t="n">
        <v>92900</v>
      </c>
      <c r="J1430" s="73" t="n">
        <v>213670</v>
      </c>
      <c r="K1430" s="73" t="n">
        <v>137274</v>
      </c>
    </row>
    <row r="1431">
      <c r="A1431" t="n">
        <v>11409</v>
      </c>
      <c r="B1431" s="72" t="n">
        <v>45696.56805555556</v>
      </c>
      <c r="C1431" t="inlineStr">
        <is>
          <t>Antioquia</t>
        </is>
      </c>
      <c r="D1431" t="inlineStr">
        <is>
          <t>Medellín</t>
        </is>
      </c>
      <c r="E1431" t="inlineStr">
        <is>
          <t>Belleza</t>
        </is>
      </c>
      <c r="F1431" t="inlineStr">
        <is>
          <t>Web</t>
        </is>
      </c>
      <c r="G1431" t="inlineStr">
        <is>
          <t>3. Pago</t>
        </is>
      </c>
      <c r="H1431" t="n">
        <v>2</v>
      </c>
      <c r="I1431" s="73" t="n">
        <v>80100</v>
      </c>
      <c r="J1431" s="73" t="n">
        <v>184230</v>
      </c>
      <c r="K1431" s="73" t="n">
        <v>111869</v>
      </c>
    </row>
    <row r="1432">
      <c r="A1432" t="n">
        <v>10102</v>
      </c>
      <c r="B1432" s="72" t="n">
        <v>45696.72777777778</v>
      </c>
      <c r="C1432" t="inlineStr">
        <is>
          <t>Valle del Cauca</t>
        </is>
      </c>
      <c r="D1432" t="inlineStr">
        <is>
          <t>Cali</t>
        </is>
      </c>
      <c r="E1432" t="inlineStr">
        <is>
          <t>Deportes</t>
        </is>
      </c>
      <c r="F1432" t="inlineStr">
        <is>
          <t>Web</t>
        </is>
      </c>
      <c r="G1432" t="inlineStr">
        <is>
          <t>1. Visita</t>
        </is>
      </c>
      <c r="H1432" t="n">
        <v>4</v>
      </c>
      <c r="I1432" s="73" t="n">
        <v>137800</v>
      </c>
      <c r="J1432" s="73" t="n">
        <v>633880</v>
      </c>
      <c r="K1432" s="73" t="n">
        <v>390052</v>
      </c>
    </row>
    <row r="1433">
      <c r="A1433" t="n">
        <v>11574</v>
      </c>
      <c r="B1433" s="72" t="n">
        <v>45696.81736111111</v>
      </c>
      <c r="C1433" t="inlineStr">
        <is>
          <t>Valle del Cauca</t>
        </is>
      </c>
      <c r="D1433" t="inlineStr">
        <is>
          <t>Cali</t>
        </is>
      </c>
      <c r="E1433" t="inlineStr">
        <is>
          <t>Tecnología</t>
        </is>
      </c>
      <c r="F1433" t="inlineStr">
        <is>
          <t>Web</t>
        </is>
      </c>
      <c r="G1433" t="inlineStr">
        <is>
          <t>3. Pago</t>
        </is>
      </c>
      <c r="H1433" t="n">
        <v>1</v>
      </c>
      <c r="I1433" s="73" t="n">
        <v>1008400</v>
      </c>
      <c r="J1433" s="73" t="n">
        <v>1159660</v>
      </c>
      <c r="K1433" s="73" t="n">
        <v>735341</v>
      </c>
    </row>
    <row r="1434">
      <c r="A1434" t="n">
        <v>11771</v>
      </c>
      <c r="B1434" s="72" t="n">
        <v>45696.86388888889</v>
      </c>
      <c r="C1434" t="inlineStr">
        <is>
          <t>Antioquia</t>
        </is>
      </c>
      <c r="D1434" t="inlineStr">
        <is>
          <t>Medellín</t>
        </is>
      </c>
      <c r="E1434" t="inlineStr">
        <is>
          <t>Tecnología</t>
        </is>
      </c>
      <c r="F1434" t="inlineStr">
        <is>
          <t>Tienda física</t>
        </is>
      </c>
      <c r="G1434" t="inlineStr">
        <is>
          <t>1. Visita</t>
        </is>
      </c>
      <c r="H1434" t="n">
        <v>4</v>
      </c>
      <c r="I1434" s="73" t="n">
        <v>914800</v>
      </c>
      <c r="J1434" s="73" t="n">
        <v>4208080</v>
      </c>
      <c r="K1434" s="73" t="n">
        <v>2503248</v>
      </c>
    </row>
    <row r="1435">
      <c r="A1435" t="n">
        <v>10188</v>
      </c>
      <c r="B1435" s="72" t="n">
        <v>45696.90347222222</v>
      </c>
      <c r="C1435" t="inlineStr">
        <is>
          <t>Risaralda</t>
        </is>
      </c>
      <c r="D1435" t="inlineStr">
        <is>
          <t>Pereira</t>
        </is>
      </c>
      <c r="E1435" t="inlineStr">
        <is>
          <t>Juguetes</t>
        </is>
      </c>
      <c r="F1435" t="inlineStr">
        <is>
          <t>App</t>
        </is>
      </c>
      <c r="G1435" t="inlineStr">
        <is>
          <t>1. Visita</t>
        </is>
      </c>
      <c r="H1435" t="n">
        <v>1</v>
      </c>
      <c r="I1435" s="73" t="n">
        <v>99100</v>
      </c>
      <c r="J1435" s="73" t="n">
        <v>113965</v>
      </c>
      <c r="K1435" s="73" t="n">
        <v>73583</v>
      </c>
    </row>
    <row r="1436">
      <c r="A1436" t="n">
        <v>12066</v>
      </c>
      <c r="B1436" s="72" t="n">
        <v>45696.94861111111</v>
      </c>
      <c r="C1436" t="inlineStr">
        <is>
          <t>Risaralda</t>
        </is>
      </c>
      <c r="D1436" t="inlineStr">
        <is>
          <t>Pereira</t>
        </is>
      </c>
      <c r="E1436" t="inlineStr">
        <is>
          <t>Juguetes</t>
        </is>
      </c>
      <c r="F1436" t="inlineStr">
        <is>
          <t>Web</t>
        </is>
      </c>
      <c r="G1436" t="inlineStr">
        <is>
          <t>3. Pago</t>
        </is>
      </c>
      <c r="H1436" t="n">
        <v>3</v>
      </c>
      <c r="I1436" s="73" t="n">
        <v>96800</v>
      </c>
      <c r="J1436" s="73" t="n">
        <v>333960</v>
      </c>
      <c r="K1436" s="73" t="n">
        <v>235576</v>
      </c>
    </row>
    <row r="1437">
      <c r="A1437" t="n">
        <v>12188</v>
      </c>
      <c r="B1437" s="72" t="n">
        <v>45697.34027777778</v>
      </c>
      <c r="C1437" t="inlineStr">
        <is>
          <t>Antioquia</t>
        </is>
      </c>
      <c r="D1437" t="inlineStr">
        <is>
          <t>Medellín</t>
        </is>
      </c>
      <c r="E1437" t="inlineStr">
        <is>
          <t>Deportes</t>
        </is>
      </c>
      <c r="F1437" t="inlineStr">
        <is>
          <t>Web</t>
        </is>
      </c>
      <c r="G1437" t="inlineStr">
        <is>
          <t>2. Carrito</t>
        </is>
      </c>
      <c r="H1437" t="n">
        <v>3</v>
      </c>
      <c r="I1437" s="73" t="n">
        <v>200200</v>
      </c>
      <c r="J1437" s="73" t="n">
        <v>690690</v>
      </c>
      <c r="K1437" s="73" t="n">
        <v>508822</v>
      </c>
    </row>
    <row r="1438">
      <c r="A1438" t="n">
        <v>11441</v>
      </c>
      <c r="B1438" s="72" t="n">
        <v>45697.52777777778</v>
      </c>
      <c r="C1438" t="inlineStr">
        <is>
          <t>Bogotá D.C.</t>
        </is>
      </c>
      <c r="D1438" t="inlineStr">
        <is>
          <t>Bogotá</t>
        </is>
      </c>
      <c r="E1438" t="inlineStr">
        <is>
          <t>Moda</t>
        </is>
      </c>
      <c r="F1438" t="inlineStr">
        <is>
          <t>Tienda física</t>
        </is>
      </c>
      <c r="G1438" t="inlineStr">
        <is>
          <t>2. Carrito</t>
        </is>
      </c>
      <c r="H1438" t="n">
        <v>5</v>
      </c>
      <c r="I1438" s="73" t="n">
        <v>122900</v>
      </c>
      <c r="J1438" s="73" t="n">
        <v>706675</v>
      </c>
      <c r="K1438" s="73" t="n">
        <v>395494</v>
      </c>
    </row>
    <row r="1439">
      <c r="A1439" t="n">
        <v>11230</v>
      </c>
      <c r="B1439" s="72" t="n">
        <v>45697.54583333333</v>
      </c>
      <c r="C1439" t="inlineStr">
        <is>
          <t>Risaralda</t>
        </is>
      </c>
      <c r="D1439" t="inlineStr">
        <is>
          <t>Pereira</t>
        </is>
      </c>
      <c r="E1439" t="inlineStr">
        <is>
          <t>Deportes</t>
        </is>
      </c>
      <c r="F1439" t="inlineStr">
        <is>
          <t>Tienda física</t>
        </is>
      </c>
      <c r="G1439" t="inlineStr">
        <is>
          <t>2. Carrito</t>
        </is>
      </c>
      <c r="H1439" t="n">
        <v>3</v>
      </c>
      <c r="I1439" s="73" t="n">
        <v>194200</v>
      </c>
      <c r="J1439" s="73" t="n">
        <v>669990</v>
      </c>
      <c r="K1439" s="73" t="n">
        <v>383576</v>
      </c>
    </row>
    <row r="1440">
      <c r="A1440" t="n">
        <v>10190</v>
      </c>
      <c r="B1440" s="72" t="n">
        <v>45697.73680555556</v>
      </c>
      <c r="C1440" t="inlineStr">
        <is>
          <t>Bolívar</t>
        </is>
      </c>
      <c r="D1440" t="inlineStr">
        <is>
          <t>Cartagena</t>
        </is>
      </c>
      <c r="E1440" t="inlineStr">
        <is>
          <t>Deportes</t>
        </is>
      </c>
      <c r="F1440" t="inlineStr">
        <is>
          <t>Tienda física</t>
        </is>
      </c>
      <c r="G1440" t="inlineStr">
        <is>
          <t>1. Visita</t>
        </is>
      </c>
      <c r="H1440" t="n">
        <v>1</v>
      </c>
      <c r="I1440" s="73" t="n">
        <v>159400</v>
      </c>
      <c r="J1440" s="73" t="n">
        <v>183310</v>
      </c>
      <c r="K1440" s="73" t="n">
        <v>115471</v>
      </c>
    </row>
    <row r="1441">
      <c r="A1441" t="n">
        <v>10078</v>
      </c>
      <c r="B1441" s="72" t="n">
        <v>45697.85277777778</v>
      </c>
      <c r="C1441" t="inlineStr">
        <is>
          <t>Santander</t>
        </is>
      </c>
      <c r="D1441" t="inlineStr">
        <is>
          <t>Bucaramanga</t>
        </is>
      </c>
      <c r="E1441" t="inlineStr">
        <is>
          <t>Tecnología</t>
        </is>
      </c>
      <c r="F1441" t="inlineStr">
        <is>
          <t>Web</t>
        </is>
      </c>
      <c r="G1441" t="inlineStr">
        <is>
          <t>1. Visita</t>
        </is>
      </c>
      <c r="H1441" t="n">
        <v>2</v>
      </c>
      <c r="I1441" s="73" t="n">
        <v>613300</v>
      </c>
      <c r="J1441" s="73" t="n">
        <v>1410590</v>
      </c>
      <c r="K1441" s="73" t="n">
        <v>878401</v>
      </c>
    </row>
    <row r="1442">
      <c r="A1442" t="n">
        <v>11856</v>
      </c>
      <c r="B1442" s="72" t="n">
        <v>45697.93819444445</v>
      </c>
      <c r="C1442" t="inlineStr">
        <is>
          <t>Bolívar</t>
        </is>
      </c>
      <c r="D1442" t="inlineStr">
        <is>
          <t>Cartagena</t>
        </is>
      </c>
      <c r="E1442" t="inlineStr">
        <is>
          <t>Hogar</t>
        </is>
      </c>
      <c r="F1442" t="inlineStr">
        <is>
          <t>App</t>
        </is>
      </c>
      <c r="G1442" t="inlineStr">
        <is>
          <t>4. Compra</t>
        </is>
      </c>
      <c r="H1442" t="n">
        <v>4</v>
      </c>
      <c r="I1442" s="73" t="n">
        <v>163200</v>
      </c>
      <c r="J1442" s="73" t="n">
        <v>750720</v>
      </c>
      <c r="K1442" s="73" t="n">
        <v>448509</v>
      </c>
    </row>
    <row r="1443">
      <c r="A1443" t="n">
        <v>10990</v>
      </c>
      <c r="B1443" s="72" t="n">
        <v>45698.42361111111</v>
      </c>
      <c r="C1443" t="inlineStr">
        <is>
          <t>Antioquia</t>
        </is>
      </c>
      <c r="D1443" t="inlineStr">
        <is>
          <t>Medellín</t>
        </is>
      </c>
      <c r="E1443" t="inlineStr">
        <is>
          <t>Moda</t>
        </is>
      </c>
      <c r="F1443" t="inlineStr">
        <is>
          <t>Web</t>
        </is>
      </c>
      <c r="G1443" t="inlineStr">
        <is>
          <t>2. Carrito</t>
        </is>
      </c>
      <c r="H1443" t="n">
        <v>1</v>
      </c>
      <c r="I1443" s="73" t="n">
        <v>152800</v>
      </c>
      <c r="J1443" s="73" t="n">
        <v>152800</v>
      </c>
      <c r="K1443" s="73" t="n">
        <v>89513</v>
      </c>
    </row>
    <row r="1444">
      <c r="A1444" t="n">
        <v>12241</v>
      </c>
      <c r="B1444" s="72" t="n">
        <v>45698.51458333333</v>
      </c>
      <c r="C1444" t="inlineStr">
        <is>
          <t>Bogotá D.C.</t>
        </is>
      </c>
      <c r="D1444" t="inlineStr">
        <is>
          <t>Bogotá</t>
        </is>
      </c>
      <c r="E1444" t="inlineStr">
        <is>
          <t>Juguetes</t>
        </is>
      </c>
      <c r="F1444" t="inlineStr">
        <is>
          <t>App</t>
        </is>
      </c>
      <c r="G1444" t="inlineStr">
        <is>
          <t>1. Visita</t>
        </is>
      </c>
      <c r="H1444" t="n">
        <v>4</v>
      </c>
      <c r="I1444" s="73" t="n">
        <v>89700</v>
      </c>
      <c r="J1444" s="73" t="n">
        <v>358800</v>
      </c>
      <c r="K1444" s="73" t="n">
        <v>243642</v>
      </c>
    </row>
    <row r="1445">
      <c r="A1445" t="n">
        <v>11439</v>
      </c>
      <c r="B1445" s="72" t="n">
        <v>45698.72569444445</v>
      </c>
      <c r="C1445" t="inlineStr">
        <is>
          <t>Risaralda</t>
        </is>
      </c>
      <c r="D1445" t="inlineStr">
        <is>
          <t>Pereira</t>
        </is>
      </c>
      <c r="E1445" t="inlineStr">
        <is>
          <t>Belleza</t>
        </is>
      </c>
      <c r="F1445" t="inlineStr">
        <is>
          <t>Web</t>
        </is>
      </c>
      <c r="G1445" t="inlineStr">
        <is>
          <t>2. Carrito</t>
        </is>
      </c>
      <c r="H1445" t="n">
        <v>3</v>
      </c>
      <c r="I1445" s="73" t="n">
        <v>66000</v>
      </c>
      <c r="J1445" s="73" t="n">
        <v>198000</v>
      </c>
      <c r="K1445" s="73" t="n">
        <v>124938</v>
      </c>
    </row>
    <row r="1446">
      <c r="A1446" t="n">
        <v>11946</v>
      </c>
      <c r="B1446" s="72" t="n">
        <v>45698.76180555556</v>
      </c>
      <c r="C1446" t="inlineStr">
        <is>
          <t>Antioquia</t>
        </is>
      </c>
      <c r="D1446" t="inlineStr">
        <is>
          <t>Medellín</t>
        </is>
      </c>
      <c r="E1446" t="inlineStr">
        <is>
          <t>Belleza</t>
        </is>
      </c>
      <c r="F1446" t="inlineStr">
        <is>
          <t>Tienda física</t>
        </is>
      </c>
      <c r="G1446" t="inlineStr">
        <is>
          <t>3. Pago</t>
        </is>
      </c>
      <c r="H1446" t="n">
        <v>1</v>
      </c>
      <c r="I1446" s="73" t="n">
        <v>49500</v>
      </c>
      <c r="J1446" s="73" t="n">
        <v>49500</v>
      </c>
      <c r="K1446" s="73" t="n">
        <v>35535</v>
      </c>
    </row>
    <row r="1447">
      <c r="A1447" t="n">
        <v>11315</v>
      </c>
      <c r="B1447" s="72" t="n">
        <v>45698.82291666666</v>
      </c>
      <c r="C1447" t="inlineStr">
        <is>
          <t>Valle del Cauca</t>
        </is>
      </c>
      <c r="D1447" t="inlineStr">
        <is>
          <t>Cali</t>
        </is>
      </c>
      <c r="E1447" t="inlineStr">
        <is>
          <t>Tecnología</t>
        </is>
      </c>
      <c r="F1447" t="inlineStr">
        <is>
          <t>Tienda física</t>
        </is>
      </c>
      <c r="G1447" t="inlineStr">
        <is>
          <t>4. Compra</t>
        </is>
      </c>
      <c r="H1447" t="n">
        <v>1</v>
      </c>
      <c r="I1447" s="73" t="n">
        <v>639600</v>
      </c>
      <c r="J1447" s="73" t="n">
        <v>639600</v>
      </c>
      <c r="K1447" s="73" t="n">
        <v>433133</v>
      </c>
    </row>
    <row r="1448">
      <c r="A1448" t="n">
        <v>12211</v>
      </c>
      <c r="B1448" s="72" t="n">
        <v>45698.82430555556</v>
      </c>
      <c r="C1448" t="inlineStr">
        <is>
          <t>Valle del Cauca</t>
        </is>
      </c>
      <c r="D1448" t="inlineStr">
        <is>
          <t>Cali</t>
        </is>
      </c>
      <c r="E1448" t="inlineStr">
        <is>
          <t>Moda</t>
        </is>
      </c>
      <c r="F1448" t="inlineStr">
        <is>
          <t>Marketplace</t>
        </is>
      </c>
      <c r="G1448" t="inlineStr">
        <is>
          <t>3. Pago</t>
        </is>
      </c>
      <c r="H1448" t="n">
        <v>2</v>
      </c>
      <c r="I1448" s="73" t="n">
        <v>145200</v>
      </c>
      <c r="J1448" s="73" t="n">
        <v>290400</v>
      </c>
      <c r="K1448" s="73" t="n">
        <v>170183</v>
      </c>
    </row>
    <row r="1449">
      <c r="A1449" t="n">
        <v>11918</v>
      </c>
      <c r="B1449" s="72" t="n">
        <v>45699.37430555555</v>
      </c>
      <c r="C1449" t="inlineStr">
        <is>
          <t>Santander</t>
        </is>
      </c>
      <c r="D1449" t="inlineStr">
        <is>
          <t>Bucaramanga</t>
        </is>
      </c>
      <c r="E1449" t="inlineStr">
        <is>
          <t>Moda</t>
        </is>
      </c>
      <c r="F1449" t="inlineStr">
        <is>
          <t>Web</t>
        </is>
      </c>
      <c r="G1449" t="inlineStr">
        <is>
          <t>1. Visita</t>
        </is>
      </c>
      <c r="H1449" t="n">
        <v>4</v>
      </c>
      <c r="I1449" s="73" t="n">
        <v>132000</v>
      </c>
      <c r="J1449" s="73" t="n">
        <v>528000</v>
      </c>
      <c r="K1449" s="73" t="n">
        <v>394551</v>
      </c>
    </row>
    <row r="1450">
      <c r="A1450" t="n">
        <v>11368</v>
      </c>
      <c r="B1450" s="72" t="n">
        <v>45699.59722222222</v>
      </c>
      <c r="C1450" t="inlineStr">
        <is>
          <t>Valle del Cauca</t>
        </is>
      </c>
      <c r="D1450" t="inlineStr">
        <is>
          <t>Cali</t>
        </is>
      </c>
      <c r="E1450" t="inlineStr">
        <is>
          <t>Belleza</t>
        </is>
      </c>
      <c r="F1450" t="inlineStr">
        <is>
          <t>Tienda física</t>
        </is>
      </c>
      <c r="G1450" t="inlineStr">
        <is>
          <t>4. Compra</t>
        </is>
      </c>
      <c r="H1450" t="n">
        <v>4</v>
      </c>
      <c r="I1450" s="73" t="n">
        <v>64600</v>
      </c>
      <c r="J1450" s="73" t="n">
        <v>258400</v>
      </c>
      <c r="K1450" s="73" t="n">
        <v>157820</v>
      </c>
    </row>
    <row r="1451">
      <c r="A1451" t="n">
        <v>10947</v>
      </c>
      <c r="B1451" s="72" t="n">
        <v>45699.89861111111</v>
      </c>
      <c r="C1451" t="inlineStr">
        <is>
          <t>Valle del Cauca</t>
        </is>
      </c>
      <c r="D1451" t="inlineStr">
        <is>
          <t>Cali</t>
        </is>
      </c>
      <c r="E1451" t="inlineStr">
        <is>
          <t>Deportes</t>
        </is>
      </c>
      <c r="F1451" t="inlineStr">
        <is>
          <t>App</t>
        </is>
      </c>
      <c r="G1451" t="inlineStr">
        <is>
          <t>1. Visita</t>
        </is>
      </c>
      <c r="H1451" t="n">
        <v>3</v>
      </c>
      <c r="I1451" s="73" t="n">
        <v>186500</v>
      </c>
      <c r="J1451" s="73" t="n">
        <v>559500</v>
      </c>
      <c r="K1451" s="73" t="n">
        <v>380201</v>
      </c>
    </row>
    <row r="1452">
      <c r="A1452" t="n">
        <v>12166</v>
      </c>
      <c r="B1452" s="72" t="n">
        <v>45699.89930555555</v>
      </c>
      <c r="C1452" t="inlineStr">
        <is>
          <t>Valle del Cauca</t>
        </is>
      </c>
      <c r="D1452" t="inlineStr">
        <is>
          <t>Cali</t>
        </is>
      </c>
      <c r="E1452" t="inlineStr">
        <is>
          <t>Tecnología</t>
        </is>
      </c>
      <c r="F1452" t="inlineStr">
        <is>
          <t>Web</t>
        </is>
      </c>
      <c r="G1452" t="inlineStr">
        <is>
          <t>1. Visita</t>
        </is>
      </c>
      <c r="H1452" t="n">
        <v>4</v>
      </c>
      <c r="I1452" s="73" t="n">
        <v>1057000</v>
      </c>
      <c r="J1452" s="73" t="n">
        <v>4228000</v>
      </c>
      <c r="K1452" s="73" t="n">
        <v>3073219</v>
      </c>
    </row>
    <row r="1453">
      <c r="A1453" t="n">
        <v>11137</v>
      </c>
      <c r="B1453" s="72" t="n">
        <v>45700.03194444445</v>
      </c>
      <c r="C1453" t="inlineStr">
        <is>
          <t>Bolívar</t>
        </is>
      </c>
      <c r="D1453" t="inlineStr">
        <is>
          <t>Cartagena</t>
        </is>
      </c>
      <c r="E1453" t="inlineStr">
        <is>
          <t>Tecnología</t>
        </is>
      </c>
      <c r="F1453" t="inlineStr">
        <is>
          <t>Web</t>
        </is>
      </c>
      <c r="G1453" t="inlineStr">
        <is>
          <t>1. Visita</t>
        </is>
      </c>
      <c r="H1453" t="n">
        <v>5</v>
      </c>
      <c r="I1453" s="73" t="n">
        <v>1091200</v>
      </c>
      <c r="J1453" s="73" t="n">
        <v>5456000</v>
      </c>
      <c r="K1453" s="73" t="n">
        <v>3471141</v>
      </c>
    </row>
    <row r="1454">
      <c r="A1454" t="n">
        <v>12314</v>
      </c>
      <c r="B1454" s="72" t="n">
        <v>45700.3875</v>
      </c>
      <c r="C1454" t="inlineStr">
        <is>
          <t>Atlántico</t>
        </is>
      </c>
      <c r="D1454" t="inlineStr">
        <is>
          <t>Barranquilla</t>
        </is>
      </c>
      <c r="E1454" t="inlineStr">
        <is>
          <t>Moda</t>
        </is>
      </c>
      <c r="F1454" t="inlineStr">
        <is>
          <t>Web</t>
        </is>
      </c>
      <c r="G1454" t="inlineStr">
        <is>
          <t>1. Visita</t>
        </is>
      </c>
      <c r="H1454" t="n">
        <v>5</v>
      </c>
      <c r="I1454" s="73" t="n">
        <v>129800</v>
      </c>
      <c r="J1454" s="73" t="n">
        <v>649000</v>
      </c>
      <c r="K1454" s="73" t="n">
        <v>411774</v>
      </c>
    </row>
    <row r="1455">
      <c r="A1455" t="n">
        <v>11756</v>
      </c>
      <c r="B1455" s="72" t="n">
        <v>45700.52013888889</v>
      </c>
      <c r="C1455" t="inlineStr">
        <is>
          <t>Nariño</t>
        </is>
      </c>
      <c r="D1455" t="inlineStr">
        <is>
          <t>Pasto</t>
        </is>
      </c>
      <c r="E1455" t="inlineStr">
        <is>
          <t>Deportes</t>
        </is>
      </c>
      <c r="F1455" t="inlineStr">
        <is>
          <t>App</t>
        </is>
      </c>
      <c r="G1455" t="inlineStr">
        <is>
          <t>1. Visita</t>
        </is>
      </c>
      <c r="H1455" t="n">
        <v>3</v>
      </c>
      <c r="I1455" s="73" t="n">
        <v>122700</v>
      </c>
      <c r="J1455" s="73" t="n">
        <v>368100</v>
      </c>
      <c r="K1455" s="73" t="n">
        <v>235673</v>
      </c>
    </row>
    <row r="1456">
      <c r="A1456" t="n">
        <v>11563</v>
      </c>
      <c r="B1456" s="72" t="n">
        <v>45700.59097222222</v>
      </c>
      <c r="C1456" t="inlineStr">
        <is>
          <t>Antioquia</t>
        </is>
      </c>
      <c r="D1456" t="inlineStr">
        <is>
          <t>Medellín</t>
        </is>
      </c>
      <c r="E1456" t="inlineStr">
        <is>
          <t>Moda</t>
        </is>
      </c>
      <c r="F1456" t="inlineStr">
        <is>
          <t>App</t>
        </is>
      </c>
      <c r="G1456" t="inlineStr">
        <is>
          <t>4. Compra</t>
        </is>
      </c>
      <c r="H1456" t="n">
        <v>3</v>
      </c>
      <c r="I1456" s="73" t="n">
        <v>121200</v>
      </c>
      <c r="J1456" s="73" t="n">
        <v>363600</v>
      </c>
      <c r="K1456" s="73" t="n">
        <v>225089</v>
      </c>
    </row>
    <row r="1457">
      <c r="A1457" t="n">
        <v>10552</v>
      </c>
      <c r="B1457" s="72" t="n">
        <v>45700.71875</v>
      </c>
      <c r="C1457" t="inlineStr">
        <is>
          <t>Bogotá D.C.</t>
        </is>
      </c>
      <c r="D1457" t="inlineStr">
        <is>
          <t>Bogotá</t>
        </is>
      </c>
      <c r="E1457" t="inlineStr">
        <is>
          <t>Tecnología</t>
        </is>
      </c>
      <c r="F1457" t="inlineStr">
        <is>
          <t>Web</t>
        </is>
      </c>
      <c r="G1457" t="inlineStr">
        <is>
          <t>3. Pago</t>
        </is>
      </c>
      <c r="H1457" t="n">
        <v>1</v>
      </c>
      <c r="I1457" s="73" t="n">
        <v>995900</v>
      </c>
      <c r="J1457" s="73" t="n">
        <v>995900</v>
      </c>
      <c r="K1457" s="73" t="n">
        <v>701333</v>
      </c>
    </row>
    <row r="1458">
      <c r="A1458" t="n">
        <v>11527</v>
      </c>
      <c r="B1458" s="72" t="n">
        <v>45701.23680555556</v>
      </c>
      <c r="C1458" t="inlineStr">
        <is>
          <t>Bogotá D.C.</t>
        </is>
      </c>
      <c r="D1458" t="inlineStr">
        <is>
          <t>Bogotá</t>
        </is>
      </c>
      <c r="E1458" t="inlineStr">
        <is>
          <t>Tecnología</t>
        </is>
      </c>
      <c r="F1458" t="inlineStr">
        <is>
          <t>App</t>
        </is>
      </c>
      <c r="G1458" t="inlineStr">
        <is>
          <t>2. Carrito</t>
        </is>
      </c>
      <c r="H1458" t="n">
        <v>5</v>
      </c>
      <c r="I1458" s="73" t="n">
        <v>845100</v>
      </c>
      <c r="J1458" s="73" t="n">
        <v>4225500</v>
      </c>
      <c r="K1458" s="73" t="n">
        <v>2884785</v>
      </c>
    </row>
    <row r="1459">
      <c r="A1459" t="n">
        <v>11626</v>
      </c>
      <c r="B1459" s="72" t="n">
        <v>45701.37222222222</v>
      </c>
      <c r="C1459" t="inlineStr">
        <is>
          <t>Bogotá D.C.</t>
        </is>
      </c>
      <c r="D1459" t="inlineStr">
        <is>
          <t>Bogotá</t>
        </is>
      </c>
      <c r="E1459" t="inlineStr">
        <is>
          <t>Belleza</t>
        </is>
      </c>
      <c r="F1459" t="inlineStr">
        <is>
          <t>App</t>
        </is>
      </c>
      <c r="G1459" t="inlineStr">
        <is>
          <t>3. Pago</t>
        </is>
      </c>
      <c r="H1459" t="n">
        <v>4</v>
      </c>
      <c r="I1459" s="73" t="n">
        <v>74800</v>
      </c>
      <c r="J1459" s="73" t="n">
        <v>299200</v>
      </c>
      <c r="K1459" s="73" t="n">
        <v>166795</v>
      </c>
    </row>
    <row r="1460">
      <c r="A1460" t="n">
        <v>11834</v>
      </c>
      <c r="B1460" s="72" t="n">
        <v>45701.99375</v>
      </c>
      <c r="C1460" t="inlineStr">
        <is>
          <t>Antioquia</t>
        </is>
      </c>
      <c r="D1460" t="inlineStr">
        <is>
          <t>Medellín</t>
        </is>
      </c>
      <c r="E1460" t="inlineStr">
        <is>
          <t>Deportes</t>
        </is>
      </c>
      <c r="F1460" t="inlineStr">
        <is>
          <t>App</t>
        </is>
      </c>
      <c r="G1460" t="inlineStr">
        <is>
          <t>1. Visita</t>
        </is>
      </c>
      <c r="H1460" t="n">
        <v>5</v>
      </c>
      <c r="I1460" s="73" t="n">
        <v>198200</v>
      </c>
      <c r="J1460" s="73" t="n">
        <v>991000</v>
      </c>
      <c r="K1460" s="73" t="n">
        <v>740876</v>
      </c>
    </row>
    <row r="1461">
      <c r="A1461" t="n">
        <v>12232</v>
      </c>
      <c r="B1461" s="72" t="n">
        <v>45702.34513888889</v>
      </c>
      <c r="C1461" t="inlineStr">
        <is>
          <t>Atlántico</t>
        </is>
      </c>
      <c r="D1461" t="inlineStr">
        <is>
          <t>Barranquilla</t>
        </is>
      </c>
      <c r="E1461" t="inlineStr">
        <is>
          <t>Tecnología</t>
        </is>
      </c>
      <c r="F1461" t="inlineStr">
        <is>
          <t>Tienda física</t>
        </is>
      </c>
      <c r="G1461" t="inlineStr">
        <is>
          <t>1. Visita</t>
        </is>
      </c>
      <c r="H1461" t="n">
        <v>3</v>
      </c>
      <c r="I1461" s="73" t="n">
        <v>602100</v>
      </c>
      <c r="J1461" s="73" t="n">
        <v>2077245</v>
      </c>
      <c r="K1461" s="73" t="n">
        <v>1284187</v>
      </c>
    </row>
    <row r="1462">
      <c r="A1462" t="n">
        <v>11803</v>
      </c>
      <c r="B1462" s="72" t="n">
        <v>45702.38472222222</v>
      </c>
      <c r="C1462" t="inlineStr">
        <is>
          <t>Antioquia</t>
        </is>
      </c>
      <c r="D1462" t="inlineStr">
        <is>
          <t>Medellín</t>
        </is>
      </c>
      <c r="E1462" t="inlineStr">
        <is>
          <t>Tecnología</t>
        </is>
      </c>
      <c r="F1462" t="inlineStr">
        <is>
          <t>Marketplace</t>
        </is>
      </c>
      <c r="G1462" t="inlineStr">
        <is>
          <t>2. Carrito</t>
        </is>
      </c>
      <c r="H1462" t="n">
        <v>1</v>
      </c>
      <c r="I1462" s="73" t="n">
        <v>633500</v>
      </c>
      <c r="J1462" s="73" t="n">
        <v>728525</v>
      </c>
      <c r="K1462" s="73" t="n">
        <v>501571</v>
      </c>
    </row>
    <row r="1463">
      <c r="A1463" t="n">
        <v>10515</v>
      </c>
      <c r="B1463" s="72" t="n">
        <v>45702.69375</v>
      </c>
      <c r="C1463" t="inlineStr">
        <is>
          <t>Bolívar</t>
        </is>
      </c>
      <c r="D1463" t="inlineStr">
        <is>
          <t>Cartagena</t>
        </is>
      </c>
      <c r="E1463" t="inlineStr">
        <is>
          <t>Hogar</t>
        </is>
      </c>
      <c r="F1463" t="inlineStr">
        <is>
          <t>Tienda física</t>
        </is>
      </c>
      <c r="G1463" t="inlineStr">
        <is>
          <t>1. Visita</t>
        </is>
      </c>
      <c r="H1463" t="n">
        <v>5</v>
      </c>
      <c r="I1463" s="73" t="n">
        <v>255500</v>
      </c>
      <c r="J1463" s="73" t="n">
        <v>1469125</v>
      </c>
      <c r="K1463" s="73" t="n">
        <v>868484</v>
      </c>
    </row>
    <row r="1464">
      <c r="A1464" t="n">
        <v>10637</v>
      </c>
      <c r="B1464" s="72" t="n">
        <v>45702.84236111111</v>
      </c>
      <c r="C1464" t="inlineStr">
        <is>
          <t>Antioquia</t>
        </is>
      </c>
      <c r="D1464" t="inlineStr">
        <is>
          <t>Medellín</t>
        </is>
      </c>
      <c r="E1464" t="inlineStr">
        <is>
          <t>Tecnología</t>
        </is>
      </c>
      <c r="F1464" t="inlineStr">
        <is>
          <t>Marketplace</t>
        </is>
      </c>
      <c r="G1464" t="inlineStr">
        <is>
          <t>1. Visita</t>
        </is>
      </c>
      <c r="H1464" t="n">
        <v>2</v>
      </c>
      <c r="I1464" s="73" t="n">
        <v>706000</v>
      </c>
      <c r="J1464" s="73" t="n">
        <v>1623800</v>
      </c>
      <c r="K1464" s="73" t="n">
        <v>1153447</v>
      </c>
    </row>
    <row r="1465">
      <c r="A1465" t="n">
        <v>11025</v>
      </c>
      <c r="B1465" s="72" t="n">
        <v>45703.29444444444</v>
      </c>
      <c r="C1465" t="inlineStr">
        <is>
          <t>Bogotá D.C.</t>
        </is>
      </c>
      <c r="D1465" t="inlineStr">
        <is>
          <t>Bogotá</t>
        </is>
      </c>
      <c r="E1465" t="inlineStr">
        <is>
          <t>Tecnología</t>
        </is>
      </c>
      <c r="F1465" t="inlineStr">
        <is>
          <t>Tienda física</t>
        </is>
      </c>
      <c r="G1465" t="inlineStr">
        <is>
          <t>3. Pago</t>
        </is>
      </c>
      <c r="H1465" t="n">
        <v>2</v>
      </c>
      <c r="I1465" s="73" t="n">
        <v>823000</v>
      </c>
      <c r="J1465" s="73" t="n">
        <v>1892900</v>
      </c>
      <c r="K1465" s="73" t="n">
        <v>1381189</v>
      </c>
    </row>
    <row r="1466">
      <c r="A1466" t="n">
        <v>10870</v>
      </c>
      <c r="B1466" s="72" t="n">
        <v>45703.49236111111</v>
      </c>
      <c r="C1466" t="inlineStr">
        <is>
          <t>Bogotá D.C.</t>
        </is>
      </c>
      <c r="D1466" t="inlineStr">
        <is>
          <t>Bogotá</t>
        </is>
      </c>
      <c r="E1466" t="inlineStr">
        <is>
          <t>Juguetes</t>
        </is>
      </c>
      <c r="F1466" t="inlineStr">
        <is>
          <t>Tienda física</t>
        </is>
      </c>
      <c r="G1466" t="inlineStr">
        <is>
          <t>1. Visita</t>
        </is>
      </c>
      <c r="H1466" t="n">
        <v>4</v>
      </c>
      <c r="I1466" s="73" t="n">
        <v>108700</v>
      </c>
      <c r="J1466" s="73" t="n">
        <v>500020</v>
      </c>
      <c r="K1466" s="73" t="n">
        <v>320357</v>
      </c>
    </row>
    <row r="1467">
      <c r="A1467" t="n">
        <v>12010</v>
      </c>
      <c r="B1467" s="72" t="n">
        <v>45703.54305555556</v>
      </c>
      <c r="C1467" t="inlineStr">
        <is>
          <t>Risaralda</t>
        </is>
      </c>
      <c r="D1467" t="inlineStr">
        <is>
          <t>Pereira</t>
        </is>
      </c>
      <c r="E1467" t="inlineStr">
        <is>
          <t>Juguetes</t>
        </is>
      </c>
      <c r="F1467" t="inlineStr">
        <is>
          <t>Web</t>
        </is>
      </c>
      <c r="G1467" t="inlineStr">
        <is>
          <t>1. Visita</t>
        </is>
      </c>
      <c r="H1467" t="n">
        <v>2</v>
      </c>
      <c r="I1467" s="73" t="n">
        <v>83800</v>
      </c>
      <c r="J1467" s="73" t="n">
        <v>192740</v>
      </c>
      <c r="K1467" s="73" t="n">
        <v>110670</v>
      </c>
    </row>
    <row r="1468">
      <c r="A1468" t="n">
        <v>10787</v>
      </c>
      <c r="B1468" s="72" t="n">
        <v>45703.62291666667</v>
      </c>
      <c r="C1468" t="inlineStr">
        <is>
          <t>Antioquia</t>
        </is>
      </c>
      <c r="D1468" t="inlineStr">
        <is>
          <t>Medellín</t>
        </is>
      </c>
      <c r="E1468" t="inlineStr">
        <is>
          <t>Juguetes</t>
        </is>
      </c>
      <c r="F1468" t="inlineStr">
        <is>
          <t>Web</t>
        </is>
      </c>
      <c r="G1468" t="inlineStr">
        <is>
          <t>1. Visita</t>
        </is>
      </c>
      <c r="H1468" t="n">
        <v>2</v>
      </c>
      <c r="I1468" s="73" t="n">
        <v>76600</v>
      </c>
      <c r="J1468" s="73" t="n">
        <v>176180</v>
      </c>
      <c r="K1468" s="73" t="n">
        <v>99051</v>
      </c>
    </row>
    <row r="1469">
      <c r="A1469" t="n">
        <v>11089</v>
      </c>
      <c r="B1469" s="72" t="n">
        <v>45703.77777777778</v>
      </c>
      <c r="C1469" t="inlineStr">
        <is>
          <t>Risaralda</t>
        </is>
      </c>
      <c r="D1469" t="inlineStr">
        <is>
          <t>Pereira</t>
        </is>
      </c>
      <c r="E1469" t="inlineStr">
        <is>
          <t>Deportes</t>
        </is>
      </c>
      <c r="F1469" t="inlineStr">
        <is>
          <t>App</t>
        </is>
      </c>
      <c r="G1469" t="inlineStr">
        <is>
          <t>3. Pago</t>
        </is>
      </c>
      <c r="H1469" t="n">
        <v>2</v>
      </c>
      <c r="I1469" s="73" t="n">
        <v>195500</v>
      </c>
      <c r="J1469" s="73" t="n">
        <v>449650</v>
      </c>
      <c r="K1469" s="73" t="n">
        <v>313409</v>
      </c>
    </row>
    <row r="1470">
      <c r="A1470" t="n">
        <v>11197</v>
      </c>
      <c r="B1470" s="72" t="n">
        <v>45703.85</v>
      </c>
      <c r="C1470" t="inlineStr">
        <is>
          <t>Antioquia</t>
        </is>
      </c>
      <c r="D1470" t="inlineStr">
        <is>
          <t>Medellín</t>
        </is>
      </c>
      <c r="E1470" t="inlineStr">
        <is>
          <t>Belleza</t>
        </is>
      </c>
      <c r="F1470" t="inlineStr">
        <is>
          <t>Web</t>
        </is>
      </c>
      <c r="G1470" t="inlineStr">
        <is>
          <t>1. Visita</t>
        </is>
      </c>
      <c r="H1470" t="n">
        <v>3</v>
      </c>
      <c r="I1470" s="73" t="n">
        <v>59900</v>
      </c>
      <c r="J1470" s="73" t="n">
        <v>206655</v>
      </c>
      <c r="K1470" s="73" t="n">
        <v>122599</v>
      </c>
    </row>
    <row r="1471">
      <c r="A1471" t="n">
        <v>11460</v>
      </c>
      <c r="B1471" s="72" t="n">
        <v>45704.3625</v>
      </c>
      <c r="C1471" t="inlineStr">
        <is>
          <t>Meta</t>
        </is>
      </c>
      <c r="D1471" t="inlineStr">
        <is>
          <t>Villavicencio</t>
        </is>
      </c>
      <c r="E1471" t="inlineStr">
        <is>
          <t>Moda</t>
        </is>
      </c>
      <c r="F1471" t="inlineStr">
        <is>
          <t>App</t>
        </is>
      </c>
      <c r="G1471" t="inlineStr">
        <is>
          <t>1. Visita</t>
        </is>
      </c>
      <c r="H1471" t="n">
        <v>4</v>
      </c>
      <c r="I1471" s="73" t="n">
        <v>123400</v>
      </c>
      <c r="J1471" s="73" t="n">
        <v>567640</v>
      </c>
      <c r="K1471" s="73" t="n">
        <v>380853</v>
      </c>
    </row>
    <row r="1472">
      <c r="A1472" t="n">
        <v>10934</v>
      </c>
      <c r="B1472" s="72" t="n">
        <v>45704.37152777778</v>
      </c>
      <c r="C1472" t="inlineStr">
        <is>
          <t>Bogotá D.C.</t>
        </is>
      </c>
      <c r="D1472" t="inlineStr">
        <is>
          <t>Bogotá</t>
        </is>
      </c>
      <c r="E1472" t="inlineStr">
        <is>
          <t>Hogar</t>
        </is>
      </c>
      <c r="F1472" t="inlineStr">
        <is>
          <t>App</t>
        </is>
      </c>
      <c r="G1472" t="inlineStr">
        <is>
          <t>1. Visita</t>
        </is>
      </c>
      <c r="H1472" t="n">
        <v>5</v>
      </c>
      <c r="I1472" s="73" t="n">
        <v>215600</v>
      </c>
      <c r="J1472" s="73" t="n">
        <v>1239700</v>
      </c>
      <c r="K1472" s="73" t="n">
        <v>815776</v>
      </c>
    </row>
    <row r="1473">
      <c r="A1473" t="n">
        <v>11784</v>
      </c>
      <c r="B1473" s="72" t="n">
        <v>45704.40694444445</v>
      </c>
      <c r="C1473" t="inlineStr">
        <is>
          <t>Santander</t>
        </is>
      </c>
      <c r="D1473" t="inlineStr">
        <is>
          <t>Bucaramanga</t>
        </is>
      </c>
      <c r="E1473" t="inlineStr">
        <is>
          <t>Belleza</t>
        </is>
      </c>
      <c r="F1473" t="inlineStr">
        <is>
          <t>Web</t>
        </is>
      </c>
      <c r="G1473" t="inlineStr">
        <is>
          <t>1. Visita</t>
        </is>
      </c>
      <c r="H1473" t="n">
        <v>5</v>
      </c>
      <c r="I1473" s="73" t="n">
        <v>59000</v>
      </c>
      <c r="J1473" s="73" t="n">
        <v>339250</v>
      </c>
      <c r="K1473" s="73" t="n">
        <v>193370</v>
      </c>
    </row>
    <row r="1474">
      <c r="A1474" t="n">
        <v>12274</v>
      </c>
      <c r="B1474" s="72" t="n">
        <v>45704.45833333334</v>
      </c>
      <c r="C1474" t="inlineStr">
        <is>
          <t>Bolívar</t>
        </is>
      </c>
      <c r="D1474" t="inlineStr">
        <is>
          <t>Cartagena</t>
        </is>
      </c>
      <c r="E1474" t="inlineStr">
        <is>
          <t>Hogar</t>
        </is>
      </c>
      <c r="F1474" t="inlineStr">
        <is>
          <t>App</t>
        </is>
      </c>
      <c r="G1474" t="inlineStr">
        <is>
          <t>2. Carrito</t>
        </is>
      </c>
      <c r="H1474" t="n">
        <v>3</v>
      </c>
      <c r="I1474" s="73" t="n">
        <v>189300</v>
      </c>
      <c r="J1474" s="73" t="n">
        <v>653085</v>
      </c>
      <c r="K1474" s="73" t="n">
        <v>384175</v>
      </c>
    </row>
    <row r="1475">
      <c r="A1475" t="n">
        <v>12249</v>
      </c>
      <c r="B1475" s="72" t="n">
        <v>45704.59791666667</v>
      </c>
      <c r="C1475" t="inlineStr">
        <is>
          <t>Bolívar</t>
        </is>
      </c>
      <c r="D1475" t="inlineStr">
        <is>
          <t>Cartagena</t>
        </is>
      </c>
      <c r="E1475" t="inlineStr">
        <is>
          <t>Belleza</t>
        </is>
      </c>
      <c r="F1475" t="inlineStr">
        <is>
          <t>Tienda física</t>
        </is>
      </c>
      <c r="G1475" t="inlineStr">
        <is>
          <t>1. Visita</t>
        </is>
      </c>
      <c r="H1475" t="n">
        <v>1</v>
      </c>
      <c r="I1475" s="73" t="n">
        <v>84700</v>
      </c>
      <c r="J1475" s="73" t="n">
        <v>97405</v>
      </c>
      <c r="K1475" s="73" t="n">
        <v>54484</v>
      </c>
    </row>
    <row r="1476">
      <c r="A1476" t="n">
        <v>11588</v>
      </c>
      <c r="B1476" s="72" t="n">
        <v>45704.81111111111</v>
      </c>
      <c r="C1476" t="inlineStr">
        <is>
          <t>Bogotá D.C.</t>
        </is>
      </c>
      <c r="D1476" t="inlineStr">
        <is>
          <t>Bogotá</t>
        </is>
      </c>
      <c r="E1476" t="inlineStr">
        <is>
          <t>Juguetes</t>
        </is>
      </c>
      <c r="F1476" t="inlineStr">
        <is>
          <t>Tienda física</t>
        </is>
      </c>
      <c r="G1476" t="inlineStr">
        <is>
          <t>2. Carrito</t>
        </is>
      </c>
      <c r="H1476" t="n">
        <v>4</v>
      </c>
      <c r="I1476" s="73" t="n">
        <v>114800</v>
      </c>
      <c r="J1476" s="73" t="n">
        <v>528080</v>
      </c>
      <c r="K1476" s="73" t="n">
        <v>379793</v>
      </c>
    </row>
    <row r="1477">
      <c r="A1477" t="n">
        <v>10663</v>
      </c>
      <c r="B1477" s="72" t="n">
        <v>45704.86736111111</v>
      </c>
      <c r="C1477" t="inlineStr">
        <is>
          <t>Bogotá D.C.</t>
        </is>
      </c>
      <c r="D1477" t="inlineStr">
        <is>
          <t>Bogotá</t>
        </is>
      </c>
      <c r="E1477" t="inlineStr">
        <is>
          <t>Belleza</t>
        </is>
      </c>
      <c r="F1477" t="inlineStr">
        <is>
          <t>Tienda física</t>
        </is>
      </c>
      <c r="G1477" t="inlineStr">
        <is>
          <t>4. Compra</t>
        </is>
      </c>
      <c r="H1477" t="n">
        <v>2</v>
      </c>
      <c r="I1477" s="73" t="n">
        <v>57700</v>
      </c>
      <c r="J1477" s="73" t="n">
        <v>132710</v>
      </c>
      <c r="K1477" s="73" t="n">
        <v>97940</v>
      </c>
    </row>
    <row r="1478">
      <c r="A1478" t="n">
        <v>10626</v>
      </c>
      <c r="B1478" s="72" t="n">
        <v>45705.35138888889</v>
      </c>
      <c r="C1478" t="inlineStr">
        <is>
          <t>Bogotá D.C.</t>
        </is>
      </c>
      <c r="D1478" t="inlineStr">
        <is>
          <t>Bogotá</t>
        </is>
      </c>
      <c r="E1478" t="inlineStr">
        <is>
          <t>Belleza</t>
        </is>
      </c>
      <c r="F1478" t="inlineStr">
        <is>
          <t>App</t>
        </is>
      </c>
      <c r="G1478" t="inlineStr">
        <is>
          <t>2. Carrito</t>
        </is>
      </c>
      <c r="H1478" t="n">
        <v>4</v>
      </c>
      <c r="I1478" s="73" t="n">
        <v>53200</v>
      </c>
      <c r="J1478" s="73" t="n">
        <v>212800</v>
      </c>
      <c r="K1478" s="73" t="n">
        <v>141240</v>
      </c>
    </row>
    <row r="1479">
      <c r="A1479" t="n">
        <v>12145</v>
      </c>
      <c r="B1479" s="72" t="n">
        <v>45705.60208333333</v>
      </c>
      <c r="C1479" t="inlineStr">
        <is>
          <t>Nariño</t>
        </is>
      </c>
      <c r="D1479" t="inlineStr">
        <is>
          <t>Pasto</t>
        </is>
      </c>
      <c r="E1479" t="inlineStr">
        <is>
          <t>Deportes</t>
        </is>
      </c>
      <c r="F1479" t="inlineStr">
        <is>
          <t>Tienda física</t>
        </is>
      </c>
      <c r="G1479" t="inlineStr">
        <is>
          <t>1. Visita</t>
        </is>
      </c>
      <c r="H1479" t="n">
        <v>1</v>
      </c>
      <c r="I1479" s="73" t="n">
        <v>207000</v>
      </c>
      <c r="J1479" s="73" t="n">
        <v>207000</v>
      </c>
      <c r="K1479" s="73" t="n">
        <v>125268</v>
      </c>
    </row>
    <row r="1480">
      <c r="A1480" t="n">
        <v>11070</v>
      </c>
      <c r="B1480" s="72" t="n">
        <v>45705.86111111111</v>
      </c>
      <c r="C1480" t="inlineStr">
        <is>
          <t>Santander</t>
        </is>
      </c>
      <c r="D1480" t="inlineStr">
        <is>
          <t>Bucaramanga</t>
        </is>
      </c>
      <c r="E1480" t="inlineStr">
        <is>
          <t>Tecnología</t>
        </is>
      </c>
      <c r="F1480" t="inlineStr">
        <is>
          <t>Tienda física</t>
        </is>
      </c>
      <c r="G1480" t="inlineStr">
        <is>
          <t>1. Visita</t>
        </is>
      </c>
      <c r="H1480" t="n">
        <v>5</v>
      </c>
      <c r="I1480" s="73" t="n">
        <v>1015600</v>
      </c>
      <c r="J1480" s="73" t="n">
        <v>5078000</v>
      </c>
      <c r="K1480" s="73" t="n">
        <v>2864953</v>
      </c>
    </row>
    <row r="1481">
      <c r="A1481" t="n">
        <v>10792</v>
      </c>
      <c r="B1481" s="72" t="n">
        <v>45705.91597222222</v>
      </c>
      <c r="C1481" t="inlineStr">
        <is>
          <t>Santander</t>
        </is>
      </c>
      <c r="D1481" t="inlineStr">
        <is>
          <t>Bucaramanga</t>
        </is>
      </c>
      <c r="E1481" t="inlineStr">
        <is>
          <t>Juguetes</t>
        </is>
      </c>
      <c r="F1481" t="inlineStr">
        <is>
          <t>Web</t>
        </is>
      </c>
      <c r="G1481" t="inlineStr">
        <is>
          <t>2. Carrito</t>
        </is>
      </c>
      <c r="H1481" t="n">
        <v>1</v>
      </c>
      <c r="I1481" s="73" t="n">
        <v>108500</v>
      </c>
      <c r="J1481" s="73" t="n">
        <v>108500</v>
      </c>
      <c r="K1481" s="73" t="n">
        <v>63410</v>
      </c>
    </row>
    <row r="1482">
      <c r="A1482" t="n">
        <v>10262</v>
      </c>
      <c r="B1482" s="72" t="n">
        <v>45706.55069444444</v>
      </c>
      <c r="C1482" t="inlineStr">
        <is>
          <t>Valle del Cauca</t>
        </is>
      </c>
      <c r="D1482" t="inlineStr">
        <is>
          <t>Cali</t>
        </is>
      </c>
      <c r="E1482" t="inlineStr">
        <is>
          <t>Juguetes</t>
        </is>
      </c>
      <c r="F1482" t="inlineStr">
        <is>
          <t>Tienda física</t>
        </is>
      </c>
      <c r="G1482" t="inlineStr">
        <is>
          <t>1. Visita</t>
        </is>
      </c>
      <c r="H1482" t="n">
        <v>1</v>
      </c>
      <c r="I1482" s="73" t="n">
        <v>96400</v>
      </c>
      <c r="J1482" s="73" t="n">
        <v>96400</v>
      </c>
      <c r="K1482" s="73" t="n">
        <v>54307</v>
      </c>
    </row>
    <row r="1483">
      <c r="A1483" t="n">
        <v>10540</v>
      </c>
      <c r="B1483" s="72" t="n">
        <v>45706.58611111111</v>
      </c>
      <c r="C1483" t="inlineStr">
        <is>
          <t>Bogotá D.C.</t>
        </is>
      </c>
      <c r="D1483" t="inlineStr">
        <is>
          <t>Bogotá</t>
        </is>
      </c>
      <c r="E1483" t="inlineStr">
        <is>
          <t>Tecnología</t>
        </is>
      </c>
      <c r="F1483" t="inlineStr">
        <is>
          <t>App</t>
        </is>
      </c>
      <c r="G1483" t="inlineStr">
        <is>
          <t>1. Visita</t>
        </is>
      </c>
      <c r="H1483" t="n">
        <v>4</v>
      </c>
      <c r="I1483" s="73" t="n">
        <v>603300</v>
      </c>
      <c r="J1483" s="73" t="n">
        <v>2413200</v>
      </c>
      <c r="K1483" s="73" t="n">
        <v>1530383</v>
      </c>
    </row>
    <row r="1484">
      <c r="A1484" t="n">
        <v>11594</v>
      </c>
      <c r="B1484" s="72" t="n">
        <v>45706.92847222222</v>
      </c>
      <c r="C1484" t="inlineStr">
        <is>
          <t>Valle del Cauca</t>
        </is>
      </c>
      <c r="D1484" t="inlineStr">
        <is>
          <t>Cali</t>
        </is>
      </c>
      <c r="E1484" t="inlineStr">
        <is>
          <t>Juguetes</t>
        </is>
      </c>
      <c r="F1484" t="inlineStr">
        <is>
          <t>App</t>
        </is>
      </c>
      <c r="G1484" t="inlineStr">
        <is>
          <t>1. Visita</t>
        </is>
      </c>
      <c r="H1484" t="n">
        <v>4</v>
      </c>
      <c r="I1484" s="73" t="n">
        <v>78500</v>
      </c>
      <c r="J1484" s="73" t="n">
        <v>314000</v>
      </c>
      <c r="K1484" s="73" t="n">
        <v>186416</v>
      </c>
    </row>
    <row r="1485">
      <c r="A1485" t="n">
        <v>10066</v>
      </c>
      <c r="B1485" s="72" t="n">
        <v>45706.94444444445</v>
      </c>
      <c r="C1485" t="inlineStr">
        <is>
          <t>Valle del Cauca</t>
        </is>
      </c>
      <c r="D1485" t="inlineStr">
        <is>
          <t>Cali</t>
        </is>
      </c>
      <c r="E1485" t="inlineStr">
        <is>
          <t>Juguetes</t>
        </is>
      </c>
      <c r="F1485" t="inlineStr">
        <is>
          <t>Tienda física</t>
        </is>
      </c>
      <c r="G1485" t="inlineStr">
        <is>
          <t>1. Visita</t>
        </is>
      </c>
      <c r="H1485" t="n">
        <v>5</v>
      </c>
      <c r="I1485" s="73" t="n">
        <v>70600</v>
      </c>
      <c r="J1485" s="73" t="n">
        <v>353000</v>
      </c>
      <c r="K1485" s="73" t="n">
        <v>256043</v>
      </c>
    </row>
    <row r="1486">
      <c r="A1486" t="n">
        <v>11754</v>
      </c>
      <c r="B1486" s="72" t="n">
        <v>45707.40555555555</v>
      </c>
      <c r="C1486" t="inlineStr">
        <is>
          <t>Bogotá D.C.</t>
        </is>
      </c>
      <c r="D1486" t="inlineStr">
        <is>
          <t>Bogotá</t>
        </is>
      </c>
      <c r="E1486" t="inlineStr">
        <is>
          <t>Moda</t>
        </is>
      </c>
      <c r="F1486" t="inlineStr">
        <is>
          <t>App</t>
        </is>
      </c>
      <c r="G1486" t="inlineStr">
        <is>
          <t>4. Compra</t>
        </is>
      </c>
      <c r="H1486" t="n">
        <v>3</v>
      </c>
      <c r="I1486" s="73" t="n">
        <v>103400</v>
      </c>
      <c r="J1486" s="73" t="n">
        <v>310200</v>
      </c>
      <c r="K1486" s="73" t="n">
        <v>216133</v>
      </c>
    </row>
    <row r="1487">
      <c r="A1487" t="n">
        <v>10745</v>
      </c>
      <c r="B1487" s="72" t="n">
        <v>45707.44027777778</v>
      </c>
      <c r="C1487" t="inlineStr">
        <is>
          <t>Bogotá D.C.</t>
        </is>
      </c>
      <c r="D1487" t="inlineStr">
        <is>
          <t>Bogotá</t>
        </is>
      </c>
      <c r="E1487" t="inlineStr">
        <is>
          <t>Belleza</t>
        </is>
      </c>
      <c r="F1487" t="inlineStr">
        <is>
          <t>App</t>
        </is>
      </c>
      <c r="G1487" t="inlineStr">
        <is>
          <t>2. Carrito</t>
        </is>
      </c>
      <c r="H1487" t="n">
        <v>1</v>
      </c>
      <c r="I1487" s="73" t="n">
        <v>77100</v>
      </c>
      <c r="J1487" s="73" t="n">
        <v>77100</v>
      </c>
      <c r="K1487" s="73" t="n">
        <v>55416</v>
      </c>
    </row>
    <row r="1488">
      <c r="A1488" t="n">
        <v>12149</v>
      </c>
      <c r="B1488" s="72" t="n">
        <v>45707.67847222222</v>
      </c>
      <c r="C1488" t="inlineStr">
        <is>
          <t>Valle del Cauca</t>
        </is>
      </c>
      <c r="D1488" t="inlineStr">
        <is>
          <t>Cali</t>
        </is>
      </c>
      <c r="E1488" t="inlineStr">
        <is>
          <t>Deportes</t>
        </is>
      </c>
      <c r="F1488" t="inlineStr">
        <is>
          <t>Marketplace</t>
        </is>
      </c>
      <c r="G1488" t="inlineStr">
        <is>
          <t>2. Carrito</t>
        </is>
      </c>
      <c r="H1488" t="n">
        <v>1</v>
      </c>
      <c r="I1488" s="73" t="n">
        <v>183900</v>
      </c>
      <c r="J1488" s="73" t="n">
        <v>183900</v>
      </c>
      <c r="K1488" s="73" t="n">
        <v>129281</v>
      </c>
    </row>
    <row r="1489">
      <c r="A1489" t="n">
        <v>12081</v>
      </c>
      <c r="B1489" s="72" t="n">
        <v>45707.68888888889</v>
      </c>
      <c r="C1489" t="inlineStr">
        <is>
          <t>Valle del Cauca</t>
        </is>
      </c>
      <c r="D1489" t="inlineStr">
        <is>
          <t>Cali</t>
        </is>
      </c>
      <c r="E1489" t="inlineStr">
        <is>
          <t>Juguetes</t>
        </is>
      </c>
      <c r="F1489" t="inlineStr">
        <is>
          <t>App</t>
        </is>
      </c>
      <c r="G1489" t="inlineStr">
        <is>
          <t>2. Carrito</t>
        </is>
      </c>
      <c r="H1489" t="n">
        <v>3</v>
      </c>
      <c r="I1489" s="73" t="n">
        <v>99500</v>
      </c>
      <c r="J1489" s="73" t="n">
        <v>298500</v>
      </c>
      <c r="K1489" s="73" t="n">
        <v>188314</v>
      </c>
    </row>
    <row r="1490">
      <c r="A1490" t="n">
        <v>12167</v>
      </c>
      <c r="B1490" s="72" t="n">
        <v>45707.71875</v>
      </c>
      <c r="C1490" t="inlineStr">
        <is>
          <t>Bogotá D.C.</t>
        </is>
      </c>
      <c r="D1490" t="inlineStr">
        <is>
          <t>Bogotá</t>
        </is>
      </c>
      <c r="E1490" t="inlineStr">
        <is>
          <t>Belleza</t>
        </is>
      </c>
      <c r="F1490" t="inlineStr">
        <is>
          <t>Web</t>
        </is>
      </c>
      <c r="G1490" t="inlineStr">
        <is>
          <t>1. Visita</t>
        </is>
      </c>
      <c r="H1490" t="n">
        <v>1</v>
      </c>
      <c r="I1490" s="73" t="n">
        <v>54400</v>
      </c>
      <c r="J1490" s="73" t="n">
        <v>54400</v>
      </c>
      <c r="K1490" s="73" t="n">
        <v>38013</v>
      </c>
    </row>
    <row r="1491">
      <c r="A1491" t="n">
        <v>10209</v>
      </c>
      <c r="B1491" s="72" t="n">
        <v>45707.99097222222</v>
      </c>
      <c r="C1491" t="inlineStr">
        <is>
          <t>Bolívar</t>
        </is>
      </c>
      <c r="D1491" t="inlineStr">
        <is>
          <t>Cartagena</t>
        </is>
      </c>
      <c r="E1491" t="inlineStr">
        <is>
          <t>Moda</t>
        </is>
      </c>
      <c r="F1491" t="inlineStr">
        <is>
          <t>Tienda física</t>
        </is>
      </c>
      <c r="G1491" t="inlineStr">
        <is>
          <t>2. Carrito</t>
        </is>
      </c>
      <c r="H1491" t="n">
        <v>3</v>
      </c>
      <c r="I1491" s="73" t="n">
        <v>124500</v>
      </c>
      <c r="J1491" s="73" t="n">
        <v>373500</v>
      </c>
      <c r="K1491" s="73" t="n">
        <v>210722</v>
      </c>
    </row>
    <row r="1492">
      <c r="A1492" t="n">
        <v>12266</v>
      </c>
      <c r="B1492" s="72" t="n">
        <v>45708.34166666667</v>
      </c>
      <c r="C1492" t="inlineStr">
        <is>
          <t>Valle del Cauca</t>
        </is>
      </c>
      <c r="D1492" t="inlineStr">
        <is>
          <t>Cali</t>
        </is>
      </c>
      <c r="E1492" t="inlineStr">
        <is>
          <t>Tecnología</t>
        </is>
      </c>
      <c r="F1492" t="inlineStr">
        <is>
          <t>Web</t>
        </is>
      </c>
      <c r="G1492" t="inlineStr">
        <is>
          <t>2. Carrito</t>
        </is>
      </c>
      <c r="H1492" t="n">
        <v>3</v>
      </c>
      <c r="I1492" s="73" t="n">
        <v>869500</v>
      </c>
      <c r="J1492" s="73" t="n">
        <v>2608500</v>
      </c>
      <c r="K1492" s="73" t="n">
        <v>1861040</v>
      </c>
    </row>
    <row r="1493">
      <c r="A1493" t="n">
        <v>10147</v>
      </c>
      <c r="B1493" s="72" t="n">
        <v>45708.3875</v>
      </c>
      <c r="C1493" t="inlineStr">
        <is>
          <t>Atlántico</t>
        </is>
      </c>
      <c r="D1493" t="inlineStr">
        <is>
          <t>Barranquilla</t>
        </is>
      </c>
      <c r="E1493" t="inlineStr">
        <is>
          <t>Hogar</t>
        </is>
      </c>
      <c r="F1493" t="inlineStr">
        <is>
          <t>Web</t>
        </is>
      </c>
      <c r="G1493" t="inlineStr">
        <is>
          <t>3. Pago</t>
        </is>
      </c>
      <c r="H1493" t="n">
        <v>1</v>
      </c>
      <c r="I1493" s="73" t="n">
        <v>247700</v>
      </c>
      <c r="J1493" s="73" t="n">
        <v>247700</v>
      </c>
      <c r="K1493" s="73" t="n">
        <v>181351</v>
      </c>
    </row>
    <row r="1494">
      <c r="A1494" t="n">
        <v>10850</v>
      </c>
      <c r="B1494" s="72" t="n">
        <v>45708.43958333333</v>
      </c>
      <c r="C1494" t="inlineStr">
        <is>
          <t>Bolívar</t>
        </is>
      </c>
      <c r="D1494" t="inlineStr">
        <is>
          <t>Cartagena</t>
        </is>
      </c>
      <c r="E1494" t="inlineStr">
        <is>
          <t>Juguetes</t>
        </is>
      </c>
      <c r="F1494" t="inlineStr">
        <is>
          <t>Web</t>
        </is>
      </c>
      <c r="G1494" t="inlineStr">
        <is>
          <t>3. Pago</t>
        </is>
      </c>
      <c r="H1494" t="n">
        <v>1</v>
      </c>
      <c r="I1494" s="73" t="n">
        <v>66800</v>
      </c>
      <c r="J1494" s="73" t="n">
        <v>66800</v>
      </c>
      <c r="K1494" s="73" t="n">
        <v>45931</v>
      </c>
    </row>
    <row r="1495">
      <c r="A1495" t="n">
        <v>11103</v>
      </c>
      <c r="B1495" s="72" t="n">
        <v>45708.57847222222</v>
      </c>
      <c r="C1495" t="inlineStr">
        <is>
          <t>Bogotá D.C.</t>
        </is>
      </c>
      <c r="D1495" t="inlineStr">
        <is>
          <t>Bogotá</t>
        </is>
      </c>
      <c r="E1495" t="inlineStr">
        <is>
          <t>Moda</t>
        </is>
      </c>
      <c r="F1495" t="inlineStr">
        <is>
          <t>Tienda física</t>
        </is>
      </c>
      <c r="G1495" t="inlineStr">
        <is>
          <t>2. Carrito</t>
        </is>
      </c>
      <c r="H1495" t="n">
        <v>2</v>
      </c>
      <c r="I1495" s="73" t="n">
        <v>104600</v>
      </c>
      <c r="J1495" s="73" t="n">
        <v>209200</v>
      </c>
      <c r="K1495" s="73" t="n">
        <v>152265</v>
      </c>
    </row>
    <row r="1496">
      <c r="A1496" t="n">
        <v>11083</v>
      </c>
      <c r="B1496" s="72" t="n">
        <v>45708.61111111111</v>
      </c>
      <c r="C1496" t="inlineStr">
        <is>
          <t>Bogotá D.C.</t>
        </is>
      </c>
      <c r="D1496" t="inlineStr">
        <is>
          <t>Bogotá</t>
        </is>
      </c>
      <c r="E1496" t="inlineStr">
        <is>
          <t>Deportes</t>
        </is>
      </c>
      <c r="F1496" t="inlineStr">
        <is>
          <t>Web</t>
        </is>
      </c>
      <c r="G1496" t="inlineStr">
        <is>
          <t>1. Visita</t>
        </is>
      </c>
      <c r="H1496" t="n">
        <v>2</v>
      </c>
      <c r="I1496" s="73" t="n">
        <v>128800</v>
      </c>
      <c r="J1496" s="73" t="n">
        <v>257600</v>
      </c>
      <c r="K1496" s="73" t="n">
        <v>165111</v>
      </c>
    </row>
    <row r="1497">
      <c r="A1497" t="n">
        <v>10213</v>
      </c>
      <c r="B1497" s="72" t="n">
        <v>45709.01875</v>
      </c>
      <c r="C1497" t="inlineStr">
        <is>
          <t>Antioquia</t>
        </is>
      </c>
      <c r="D1497" t="inlineStr">
        <is>
          <t>Medellín</t>
        </is>
      </c>
      <c r="E1497" t="inlineStr">
        <is>
          <t>Hogar</t>
        </is>
      </c>
      <c r="F1497" t="inlineStr">
        <is>
          <t>Marketplace</t>
        </is>
      </c>
      <c r="G1497" t="inlineStr">
        <is>
          <t>3. Pago</t>
        </is>
      </c>
      <c r="H1497" t="n">
        <v>3</v>
      </c>
      <c r="I1497" s="73" t="n">
        <v>249900</v>
      </c>
      <c r="J1497" s="73" t="n">
        <v>862155</v>
      </c>
      <c r="K1497" s="73" t="n">
        <v>564611</v>
      </c>
    </row>
    <row r="1498">
      <c r="A1498" t="n">
        <v>11542</v>
      </c>
      <c r="B1498" s="72" t="n">
        <v>45709.27638888889</v>
      </c>
      <c r="C1498" t="inlineStr">
        <is>
          <t>Risaralda</t>
        </is>
      </c>
      <c r="D1498" t="inlineStr">
        <is>
          <t>Pereira</t>
        </is>
      </c>
      <c r="E1498" t="inlineStr">
        <is>
          <t>Juguetes</t>
        </is>
      </c>
      <c r="F1498" t="inlineStr">
        <is>
          <t>Tienda física</t>
        </is>
      </c>
      <c r="G1498" t="inlineStr">
        <is>
          <t>2. Carrito</t>
        </is>
      </c>
      <c r="H1498" t="n">
        <v>3</v>
      </c>
      <c r="I1498" s="73" t="n">
        <v>80700</v>
      </c>
      <c r="J1498" s="73" t="n">
        <v>278415</v>
      </c>
      <c r="K1498" s="73" t="n">
        <v>153306</v>
      </c>
    </row>
    <row r="1499">
      <c r="A1499" t="n">
        <v>10836</v>
      </c>
      <c r="B1499" s="72" t="n">
        <v>45710.29097222222</v>
      </c>
      <c r="C1499" t="inlineStr">
        <is>
          <t>Santander</t>
        </is>
      </c>
      <c r="D1499" t="inlineStr">
        <is>
          <t>Bucaramanga</t>
        </is>
      </c>
      <c r="E1499" t="inlineStr">
        <is>
          <t>Moda</t>
        </is>
      </c>
      <c r="F1499" t="inlineStr">
        <is>
          <t>App</t>
        </is>
      </c>
      <c r="G1499" t="inlineStr">
        <is>
          <t>3. Pago</t>
        </is>
      </c>
      <c r="H1499" t="n">
        <v>3</v>
      </c>
      <c r="I1499" s="73" t="n">
        <v>135000</v>
      </c>
      <c r="J1499" s="73" t="n">
        <v>465750</v>
      </c>
      <c r="K1499" s="73" t="n">
        <v>308159</v>
      </c>
    </row>
    <row r="1500">
      <c r="A1500" t="n">
        <v>11846</v>
      </c>
      <c r="B1500" s="72" t="n">
        <v>45710.43125</v>
      </c>
      <c r="C1500" t="inlineStr">
        <is>
          <t>Santander</t>
        </is>
      </c>
      <c r="D1500" t="inlineStr">
        <is>
          <t>Bucaramanga</t>
        </is>
      </c>
      <c r="E1500" t="inlineStr">
        <is>
          <t>Deportes</t>
        </is>
      </c>
      <c r="F1500" t="inlineStr">
        <is>
          <t>App</t>
        </is>
      </c>
      <c r="G1500" t="inlineStr">
        <is>
          <t>2. Carrito</t>
        </is>
      </c>
      <c r="H1500" t="n">
        <v>4</v>
      </c>
      <c r="I1500" s="73" t="n">
        <v>178800</v>
      </c>
      <c r="J1500" s="73" t="n">
        <v>822480</v>
      </c>
      <c r="K1500" s="73" t="n">
        <v>480973</v>
      </c>
    </row>
    <row r="1501">
      <c r="A1501" t="n">
        <v>10916</v>
      </c>
      <c r="B1501" s="72" t="n">
        <v>45710.83819444444</v>
      </c>
      <c r="C1501" t="inlineStr">
        <is>
          <t>Huila</t>
        </is>
      </c>
      <c r="D1501" t="inlineStr">
        <is>
          <t>Neiva</t>
        </is>
      </c>
      <c r="E1501" t="inlineStr">
        <is>
          <t>Moda</t>
        </is>
      </c>
      <c r="F1501" t="inlineStr">
        <is>
          <t>Web</t>
        </is>
      </c>
      <c r="G1501" t="inlineStr">
        <is>
          <t>4. Compra</t>
        </is>
      </c>
      <c r="H1501" t="n">
        <v>3</v>
      </c>
      <c r="I1501" s="73" t="n">
        <v>138000</v>
      </c>
      <c r="J1501" s="73" t="n">
        <v>476100</v>
      </c>
      <c r="K1501" s="73" t="n">
        <v>349563</v>
      </c>
    </row>
    <row r="1502">
      <c r="A1502" t="n">
        <v>10823</v>
      </c>
      <c r="B1502" s="72" t="n">
        <v>45710.95</v>
      </c>
      <c r="C1502" t="inlineStr">
        <is>
          <t>Bolívar</t>
        </is>
      </c>
      <c r="D1502" t="inlineStr">
        <is>
          <t>Cartagena</t>
        </is>
      </c>
      <c r="E1502" t="inlineStr">
        <is>
          <t>Hogar</t>
        </is>
      </c>
      <c r="F1502" t="inlineStr">
        <is>
          <t>Web</t>
        </is>
      </c>
      <c r="G1502" t="inlineStr">
        <is>
          <t>2. Carrito</t>
        </is>
      </c>
      <c r="H1502" t="n">
        <v>3</v>
      </c>
      <c r="I1502" s="73" t="n">
        <v>158900</v>
      </c>
      <c r="J1502" s="73" t="n">
        <v>548205</v>
      </c>
      <c r="K1502" s="73" t="n">
        <v>324430</v>
      </c>
    </row>
    <row r="1503">
      <c r="A1503" t="n">
        <v>11041</v>
      </c>
      <c r="B1503" s="72" t="n">
        <v>45711.84236111111</v>
      </c>
      <c r="C1503" t="inlineStr">
        <is>
          <t>Atlántico</t>
        </is>
      </c>
      <c r="D1503" t="inlineStr">
        <is>
          <t>Barranquilla</t>
        </is>
      </c>
      <c r="E1503" t="inlineStr">
        <is>
          <t>Deportes</t>
        </is>
      </c>
      <c r="F1503" t="inlineStr">
        <is>
          <t>App</t>
        </is>
      </c>
      <c r="G1503" t="inlineStr">
        <is>
          <t>1. Visita</t>
        </is>
      </c>
      <c r="H1503" t="n">
        <v>1</v>
      </c>
      <c r="I1503" s="73" t="n">
        <v>134700</v>
      </c>
      <c r="J1503" s="73" t="n">
        <v>154905</v>
      </c>
      <c r="K1503" s="73" t="n">
        <v>87813</v>
      </c>
    </row>
    <row r="1504">
      <c r="A1504" t="n">
        <v>11412</v>
      </c>
      <c r="B1504" s="72" t="n">
        <v>45712.77152777778</v>
      </c>
      <c r="C1504" t="inlineStr">
        <is>
          <t>Meta</t>
        </is>
      </c>
      <c r="D1504" t="inlineStr">
        <is>
          <t>Villavicencio</t>
        </is>
      </c>
      <c r="E1504" t="inlineStr">
        <is>
          <t>Deportes</t>
        </is>
      </c>
      <c r="F1504" t="inlineStr">
        <is>
          <t>App</t>
        </is>
      </c>
      <c r="G1504" t="inlineStr">
        <is>
          <t>3. Pago</t>
        </is>
      </c>
      <c r="H1504" t="n">
        <v>3</v>
      </c>
      <c r="I1504" s="73" t="n">
        <v>134600</v>
      </c>
      <c r="J1504" s="73" t="n">
        <v>403800</v>
      </c>
      <c r="K1504" s="73" t="n">
        <v>228080</v>
      </c>
    </row>
    <row r="1505">
      <c r="A1505" t="n">
        <v>10019</v>
      </c>
      <c r="B1505" s="72" t="n">
        <v>45712.86319444444</v>
      </c>
      <c r="C1505" t="inlineStr">
        <is>
          <t>Santander</t>
        </is>
      </c>
      <c r="D1505" t="inlineStr">
        <is>
          <t>Bucaramanga</t>
        </is>
      </c>
      <c r="E1505" t="inlineStr">
        <is>
          <t>Deportes</t>
        </is>
      </c>
      <c r="F1505" t="inlineStr">
        <is>
          <t>Web</t>
        </is>
      </c>
      <c r="G1505" t="inlineStr">
        <is>
          <t>1. Visita</t>
        </is>
      </c>
      <c r="H1505" t="n">
        <v>2</v>
      </c>
      <c r="I1505" s="73" t="n">
        <v>187800</v>
      </c>
      <c r="J1505" s="73" t="n">
        <v>375600</v>
      </c>
      <c r="K1505" s="73" t="n">
        <v>235906</v>
      </c>
    </row>
    <row r="1506">
      <c r="A1506" t="n">
        <v>10355</v>
      </c>
      <c r="B1506" s="72" t="n">
        <v>45712.94930555556</v>
      </c>
      <c r="C1506" t="inlineStr">
        <is>
          <t>Bogotá D.C.</t>
        </is>
      </c>
      <c r="D1506" t="inlineStr">
        <is>
          <t>Bogotá</t>
        </is>
      </c>
      <c r="E1506" t="inlineStr">
        <is>
          <t>Deportes</t>
        </is>
      </c>
      <c r="F1506" t="inlineStr">
        <is>
          <t>Tienda física</t>
        </is>
      </c>
      <c r="G1506" t="inlineStr">
        <is>
          <t>1. Visita</t>
        </is>
      </c>
      <c r="H1506" t="n">
        <v>4</v>
      </c>
      <c r="I1506" s="73" t="n">
        <v>167800</v>
      </c>
      <c r="J1506" s="73" t="n">
        <v>671200</v>
      </c>
      <c r="K1506" s="73" t="n">
        <v>452645</v>
      </c>
    </row>
    <row r="1507">
      <c r="A1507" t="n">
        <v>10006</v>
      </c>
      <c r="B1507" s="72" t="n">
        <v>45713.41736111111</v>
      </c>
      <c r="C1507" t="inlineStr">
        <is>
          <t>Bogotá D.C.</t>
        </is>
      </c>
      <c r="D1507" t="inlineStr">
        <is>
          <t>Bogotá</t>
        </is>
      </c>
      <c r="E1507" t="inlineStr">
        <is>
          <t>Belleza</t>
        </is>
      </c>
      <c r="F1507" t="inlineStr">
        <is>
          <t>Tienda física</t>
        </is>
      </c>
      <c r="G1507" t="inlineStr">
        <is>
          <t>1. Visita</t>
        </is>
      </c>
      <c r="H1507" t="n">
        <v>3</v>
      </c>
      <c r="I1507" s="73" t="n">
        <v>87100</v>
      </c>
      <c r="J1507" s="73" t="n">
        <v>261300</v>
      </c>
      <c r="K1507" s="73" t="n">
        <v>144597</v>
      </c>
    </row>
    <row r="1508">
      <c r="A1508" t="n">
        <v>10229</v>
      </c>
      <c r="B1508" s="72" t="n">
        <v>45713.50277777778</v>
      </c>
      <c r="C1508" t="inlineStr">
        <is>
          <t>Atlántico</t>
        </is>
      </c>
      <c r="D1508" t="inlineStr">
        <is>
          <t>Barranquilla</t>
        </is>
      </c>
      <c r="E1508" t="inlineStr">
        <is>
          <t>Hogar</t>
        </is>
      </c>
      <c r="F1508" t="inlineStr">
        <is>
          <t>Marketplace</t>
        </is>
      </c>
      <c r="G1508" t="inlineStr">
        <is>
          <t>2. Carrito</t>
        </is>
      </c>
      <c r="H1508" t="n">
        <v>3</v>
      </c>
      <c r="I1508" s="73" t="n">
        <v>249300</v>
      </c>
      <c r="J1508" s="73" t="n">
        <v>747900</v>
      </c>
      <c r="K1508" s="73" t="n">
        <v>462940</v>
      </c>
    </row>
    <row r="1509">
      <c r="A1509" t="n">
        <v>10468</v>
      </c>
      <c r="B1509" s="72" t="n">
        <v>45713.61805555555</v>
      </c>
      <c r="C1509" t="inlineStr">
        <is>
          <t>Atlántico</t>
        </is>
      </c>
      <c r="D1509" t="inlineStr">
        <is>
          <t>Barranquilla</t>
        </is>
      </c>
      <c r="E1509" t="inlineStr">
        <is>
          <t>Tecnología</t>
        </is>
      </c>
      <c r="F1509" t="inlineStr">
        <is>
          <t>Web</t>
        </is>
      </c>
      <c r="G1509" t="inlineStr">
        <is>
          <t>1. Visita</t>
        </is>
      </c>
      <c r="H1509" t="n">
        <v>5</v>
      </c>
      <c r="I1509" s="73" t="n">
        <v>743400</v>
      </c>
      <c r="J1509" s="73" t="n">
        <v>3717000</v>
      </c>
      <c r="K1509" s="73" t="n">
        <v>2556399</v>
      </c>
    </row>
    <row r="1510">
      <c r="A1510" t="n">
        <v>12157</v>
      </c>
      <c r="B1510" s="72" t="n">
        <v>45713.64861111111</v>
      </c>
      <c r="C1510" t="inlineStr">
        <is>
          <t>Antioquia</t>
        </is>
      </c>
      <c r="D1510" t="inlineStr">
        <is>
          <t>Medellín</t>
        </is>
      </c>
      <c r="E1510" t="inlineStr">
        <is>
          <t>Deportes</t>
        </is>
      </c>
      <c r="F1510" t="inlineStr">
        <is>
          <t>Tienda física</t>
        </is>
      </c>
      <c r="G1510" t="inlineStr">
        <is>
          <t>4. Compra</t>
        </is>
      </c>
      <c r="H1510" t="n">
        <v>4</v>
      </c>
      <c r="I1510" s="73" t="n">
        <v>134600</v>
      </c>
      <c r="J1510" s="73" t="n">
        <v>538400</v>
      </c>
      <c r="K1510" s="73" t="n">
        <v>354787</v>
      </c>
    </row>
    <row r="1511">
      <c r="A1511" t="n">
        <v>11388</v>
      </c>
      <c r="B1511" s="72" t="n">
        <v>45713.74305555555</v>
      </c>
      <c r="C1511" t="inlineStr">
        <is>
          <t>Bogotá D.C.</t>
        </is>
      </c>
      <c r="D1511" t="inlineStr">
        <is>
          <t>Bogotá</t>
        </is>
      </c>
      <c r="E1511" t="inlineStr">
        <is>
          <t>Hogar</t>
        </is>
      </c>
      <c r="F1511" t="inlineStr">
        <is>
          <t>App</t>
        </is>
      </c>
      <c r="G1511" t="inlineStr">
        <is>
          <t>2. Carrito</t>
        </is>
      </c>
      <c r="H1511" t="n">
        <v>3</v>
      </c>
      <c r="I1511" s="73" t="n">
        <v>189400</v>
      </c>
      <c r="J1511" s="73" t="n">
        <v>568200</v>
      </c>
      <c r="K1511" s="73" t="n">
        <v>342708</v>
      </c>
    </row>
    <row r="1512">
      <c r="A1512" t="n">
        <v>12122</v>
      </c>
      <c r="B1512" s="72" t="n">
        <v>45714.20347222222</v>
      </c>
      <c r="C1512" t="inlineStr">
        <is>
          <t>Bogotá D.C.</t>
        </is>
      </c>
      <c r="D1512" t="inlineStr">
        <is>
          <t>Bogotá</t>
        </is>
      </c>
      <c r="E1512" t="inlineStr">
        <is>
          <t>Tecnología</t>
        </is>
      </c>
      <c r="F1512" t="inlineStr">
        <is>
          <t>App</t>
        </is>
      </c>
      <c r="G1512" t="inlineStr">
        <is>
          <t>4. Compra</t>
        </is>
      </c>
      <c r="H1512" t="n">
        <v>3</v>
      </c>
      <c r="I1512" s="73" t="n">
        <v>687400</v>
      </c>
      <c r="J1512" s="73" t="n">
        <v>2062200</v>
      </c>
      <c r="K1512" s="73" t="n">
        <v>1525528</v>
      </c>
    </row>
    <row r="1513">
      <c r="A1513" t="n">
        <v>10689</v>
      </c>
      <c r="B1513" s="72" t="n">
        <v>45714.55069444444</v>
      </c>
      <c r="C1513" t="inlineStr">
        <is>
          <t>Bogotá D.C.</t>
        </is>
      </c>
      <c r="D1513" t="inlineStr">
        <is>
          <t>Bogotá</t>
        </is>
      </c>
      <c r="E1513" t="inlineStr">
        <is>
          <t>Tecnología</t>
        </is>
      </c>
      <c r="F1513" t="inlineStr">
        <is>
          <t>Marketplace</t>
        </is>
      </c>
      <c r="G1513" t="inlineStr">
        <is>
          <t>1. Visita</t>
        </is>
      </c>
      <c r="H1513" t="n">
        <v>1</v>
      </c>
      <c r="I1513" s="73" t="n">
        <v>613400</v>
      </c>
      <c r="J1513" s="73" t="n">
        <v>613400</v>
      </c>
      <c r="K1513" s="73" t="n">
        <v>424102</v>
      </c>
    </row>
    <row r="1514">
      <c r="A1514" t="n">
        <v>12184</v>
      </c>
      <c r="B1514" s="72" t="n">
        <v>45714.62569444445</v>
      </c>
      <c r="C1514" t="inlineStr">
        <is>
          <t>Valle del Cauca</t>
        </is>
      </c>
      <c r="D1514" t="inlineStr">
        <is>
          <t>Cali</t>
        </is>
      </c>
      <c r="E1514" t="inlineStr">
        <is>
          <t>Moda</t>
        </is>
      </c>
      <c r="F1514" t="inlineStr">
        <is>
          <t>App</t>
        </is>
      </c>
      <c r="G1514" t="inlineStr">
        <is>
          <t>1. Visita</t>
        </is>
      </c>
      <c r="H1514" t="n">
        <v>1</v>
      </c>
      <c r="I1514" s="73" t="n">
        <v>90200</v>
      </c>
      <c r="J1514" s="73" t="n">
        <v>90200</v>
      </c>
      <c r="K1514" s="73" t="n">
        <v>51886</v>
      </c>
    </row>
    <row r="1515">
      <c r="A1515" t="n">
        <v>11113</v>
      </c>
      <c r="B1515" s="72" t="n">
        <v>45714.77222222222</v>
      </c>
      <c r="C1515" t="inlineStr">
        <is>
          <t>Bogotá D.C.</t>
        </is>
      </c>
      <c r="D1515" t="inlineStr">
        <is>
          <t>Bogotá</t>
        </is>
      </c>
      <c r="E1515" t="inlineStr">
        <is>
          <t>Deportes</t>
        </is>
      </c>
      <c r="F1515" t="inlineStr">
        <is>
          <t>Web</t>
        </is>
      </c>
      <c r="G1515" t="inlineStr">
        <is>
          <t>1. Visita</t>
        </is>
      </c>
      <c r="H1515" t="n">
        <v>2</v>
      </c>
      <c r="I1515" s="73" t="n">
        <v>178900</v>
      </c>
      <c r="J1515" s="73" t="n">
        <v>357800</v>
      </c>
      <c r="K1515" s="73" t="n">
        <v>231131</v>
      </c>
    </row>
    <row r="1516">
      <c r="A1516" t="n">
        <v>10793</v>
      </c>
      <c r="B1516" s="72" t="n">
        <v>45714.77916666667</v>
      </c>
      <c r="C1516" t="inlineStr">
        <is>
          <t>Bogotá D.C.</t>
        </is>
      </c>
      <c r="D1516" t="inlineStr">
        <is>
          <t>Bogotá</t>
        </is>
      </c>
      <c r="E1516" t="inlineStr">
        <is>
          <t>Juguetes</t>
        </is>
      </c>
      <c r="F1516" t="inlineStr">
        <is>
          <t>Marketplace</t>
        </is>
      </c>
      <c r="G1516" t="inlineStr">
        <is>
          <t>1. Visita</t>
        </is>
      </c>
      <c r="H1516" t="n">
        <v>2</v>
      </c>
      <c r="I1516" s="73" t="n">
        <v>108500</v>
      </c>
      <c r="J1516" s="73" t="n">
        <v>217000</v>
      </c>
      <c r="K1516" s="73" t="n">
        <v>162556</v>
      </c>
    </row>
    <row r="1517">
      <c r="A1517" t="n">
        <v>10423</v>
      </c>
      <c r="B1517" s="72" t="n">
        <v>45715.40208333333</v>
      </c>
      <c r="C1517" t="inlineStr">
        <is>
          <t>Valle del Cauca</t>
        </is>
      </c>
      <c r="D1517" t="inlineStr">
        <is>
          <t>Cali</t>
        </is>
      </c>
      <c r="E1517" t="inlineStr">
        <is>
          <t>Hogar</t>
        </is>
      </c>
      <c r="F1517" t="inlineStr">
        <is>
          <t>Web</t>
        </is>
      </c>
      <c r="G1517" t="inlineStr">
        <is>
          <t>1. Visita</t>
        </is>
      </c>
      <c r="H1517" t="n">
        <v>5</v>
      </c>
      <c r="I1517" s="73" t="n">
        <v>213400</v>
      </c>
      <c r="J1517" s="73" t="n">
        <v>1067000</v>
      </c>
      <c r="K1517" s="73" t="n">
        <v>685834</v>
      </c>
    </row>
    <row r="1518">
      <c r="A1518" t="n">
        <v>11463</v>
      </c>
      <c r="B1518" s="72" t="n">
        <v>45715.59375</v>
      </c>
      <c r="C1518" t="inlineStr">
        <is>
          <t>Santander</t>
        </is>
      </c>
      <c r="D1518" t="inlineStr">
        <is>
          <t>Bucaramanga</t>
        </is>
      </c>
      <c r="E1518" t="inlineStr">
        <is>
          <t>Belleza</t>
        </is>
      </c>
      <c r="F1518" t="inlineStr">
        <is>
          <t>App</t>
        </is>
      </c>
      <c r="G1518" t="inlineStr">
        <is>
          <t>4. Compra</t>
        </is>
      </c>
      <c r="H1518" t="n">
        <v>1</v>
      </c>
      <c r="I1518" s="73" t="n">
        <v>59500</v>
      </c>
      <c r="J1518" s="73" t="n">
        <v>59500</v>
      </c>
      <c r="K1518" s="73" t="n">
        <v>35570</v>
      </c>
    </row>
    <row r="1519">
      <c r="A1519" t="n">
        <v>11480</v>
      </c>
      <c r="B1519" s="72" t="n">
        <v>45715.65486111111</v>
      </c>
      <c r="C1519" t="inlineStr">
        <is>
          <t>Antioquia</t>
        </is>
      </c>
      <c r="D1519" t="inlineStr">
        <is>
          <t>Medellín</t>
        </is>
      </c>
      <c r="E1519" t="inlineStr">
        <is>
          <t>Moda</t>
        </is>
      </c>
      <c r="F1519" t="inlineStr">
        <is>
          <t>App</t>
        </is>
      </c>
      <c r="G1519" t="inlineStr">
        <is>
          <t>1. Visita</t>
        </is>
      </c>
      <c r="H1519" t="n">
        <v>3</v>
      </c>
      <c r="I1519" s="73" t="n">
        <v>104700</v>
      </c>
      <c r="J1519" s="73" t="n">
        <v>314100</v>
      </c>
      <c r="K1519" s="73" t="n">
        <v>211041</v>
      </c>
    </row>
    <row r="1520">
      <c r="A1520" t="n">
        <v>11758</v>
      </c>
      <c r="B1520" s="72" t="n">
        <v>45715.76875</v>
      </c>
      <c r="C1520" t="inlineStr">
        <is>
          <t>Valle del Cauca</t>
        </is>
      </c>
      <c r="D1520" t="inlineStr">
        <is>
          <t>Cali</t>
        </is>
      </c>
      <c r="E1520" t="inlineStr">
        <is>
          <t>Juguetes</t>
        </is>
      </c>
      <c r="F1520" t="inlineStr">
        <is>
          <t>Marketplace</t>
        </is>
      </c>
      <c r="G1520" t="inlineStr">
        <is>
          <t>1. Visita</t>
        </is>
      </c>
      <c r="H1520" t="n">
        <v>1</v>
      </c>
      <c r="I1520" s="73" t="n">
        <v>90000</v>
      </c>
      <c r="J1520" s="73" t="n">
        <v>90000</v>
      </c>
      <c r="K1520" s="73" t="n">
        <v>52097</v>
      </c>
    </row>
    <row r="1521">
      <c r="A1521" t="n">
        <v>11129</v>
      </c>
      <c r="B1521" s="72" t="n">
        <v>45715.77013888889</v>
      </c>
      <c r="C1521" t="inlineStr">
        <is>
          <t>Santander</t>
        </is>
      </c>
      <c r="D1521" t="inlineStr">
        <is>
          <t>Bucaramanga</t>
        </is>
      </c>
      <c r="E1521" t="inlineStr">
        <is>
          <t>Moda</t>
        </is>
      </c>
      <c r="F1521" t="inlineStr">
        <is>
          <t>Tienda física</t>
        </is>
      </c>
      <c r="G1521" t="inlineStr">
        <is>
          <t>1. Visita</t>
        </is>
      </c>
      <c r="H1521" t="n">
        <v>1</v>
      </c>
      <c r="I1521" s="73" t="n">
        <v>114300</v>
      </c>
      <c r="J1521" s="73" t="n">
        <v>114300</v>
      </c>
      <c r="K1521" s="73" t="n">
        <v>62905</v>
      </c>
    </row>
    <row r="1522">
      <c r="A1522" t="n">
        <v>11321</v>
      </c>
      <c r="B1522" s="72" t="n">
        <v>45715.81180555555</v>
      </c>
      <c r="C1522" t="inlineStr">
        <is>
          <t>Valle del Cauca</t>
        </is>
      </c>
      <c r="D1522" t="inlineStr">
        <is>
          <t>Cali</t>
        </is>
      </c>
      <c r="E1522" t="inlineStr">
        <is>
          <t>Hogar</t>
        </is>
      </c>
      <c r="F1522" t="inlineStr">
        <is>
          <t>App</t>
        </is>
      </c>
      <c r="G1522" t="inlineStr">
        <is>
          <t>1. Visita</t>
        </is>
      </c>
      <c r="H1522" t="n">
        <v>4</v>
      </c>
      <c r="I1522" s="73" t="n">
        <v>181500</v>
      </c>
      <c r="J1522" s="73" t="n">
        <v>726000</v>
      </c>
      <c r="K1522" s="73" t="n">
        <v>532562</v>
      </c>
    </row>
    <row r="1523">
      <c r="A1523" t="n">
        <v>10318</v>
      </c>
      <c r="B1523" s="72" t="n">
        <v>45716.42708333334</v>
      </c>
      <c r="C1523" t="inlineStr">
        <is>
          <t>Bogotá D.C.</t>
        </is>
      </c>
      <c r="D1523" t="inlineStr">
        <is>
          <t>Bogotá</t>
        </is>
      </c>
      <c r="E1523" t="inlineStr">
        <is>
          <t>Belleza</t>
        </is>
      </c>
      <c r="F1523" t="inlineStr">
        <is>
          <t>Web</t>
        </is>
      </c>
      <c r="G1523" t="inlineStr">
        <is>
          <t>1. Visita</t>
        </is>
      </c>
      <c r="H1523" t="n">
        <v>5</v>
      </c>
      <c r="I1523" s="73" t="n">
        <v>79000</v>
      </c>
      <c r="J1523" s="73" t="n">
        <v>454250</v>
      </c>
      <c r="K1523" s="73" t="n">
        <v>274447</v>
      </c>
    </row>
    <row r="1524">
      <c r="A1524" t="n">
        <v>10724</v>
      </c>
      <c r="B1524" s="72" t="n">
        <v>45716.44097222222</v>
      </c>
      <c r="C1524" t="inlineStr">
        <is>
          <t>Bogotá D.C.</t>
        </is>
      </c>
      <c r="D1524" t="inlineStr">
        <is>
          <t>Bogotá</t>
        </is>
      </c>
      <c r="E1524" t="inlineStr">
        <is>
          <t>Deportes</t>
        </is>
      </c>
      <c r="F1524" t="inlineStr">
        <is>
          <t>App</t>
        </is>
      </c>
      <c r="G1524" t="inlineStr">
        <is>
          <t>1. Visita</t>
        </is>
      </c>
      <c r="H1524" t="n">
        <v>3</v>
      </c>
      <c r="I1524" s="73" t="n">
        <v>132900</v>
      </c>
      <c r="J1524" s="73" t="n">
        <v>458505</v>
      </c>
      <c r="K1524" s="73" t="n">
        <v>261202</v>
      </c>
    </row>
    <row r="1525">
      <c r="A1525" t="n">
        <v>10104</v>
      </c>
      <c r="B1525" s="72" t="n">
        <v>45716.44236111111</v>
      </c>
      <c r="C1525" t="inlineStr">
        <is>
          <t>Bogotá D.C.</t>
        </is>
      </c>
      <c r="D1525" t="inlineStr">
        <is>
          <t>Bogotá</t>
        </is>
      </c>
      <c r="E1525" t="inlineStr">
        <is>
          <t>Belleza</t>
        </is>
      </c>
      <c r="F1525" t="inlineStr">
        <is>
          <t>Tienda física</t>
        </is>
      </c>
      <c r="G1525" t="inlineStr">
        <is>
          <t>1. Visita</t>
        </is>
      </c>
      <c r="H1525" t="n">
        <v>5</v>
      </c>
      <c r="I1525" s="73" t="n">
        <v>52800</v>
      </c>
      <c r="J1525" s="73" t="n">
        <v>303600</v>
      </c>
      <c r="K1525" s="73" t="n">
        <v>204232</v>
      </c>
    </row>
    <row r="1526">
      <c r="A1526" t="n">
        <v>10759</v>
      </c>
      <c r="B1526" s="72" t="n">
        <v>45716.50347222222</v>
      </c>
      <c r="C1526" t="inlineStr">
        <is>
          <t>Antioquia</t>
        </is>
      </c>
      <c r="D1526" t="inlineStr">
        <is>
          <t>Medellín</t>
        </is>
      </c>
      <c r="E1526" t="inlineStr">
        <is>
          <t>Deportes</t>
        </is>
      </c>
      <c r="F1526" t="inlineStr">
        <is>
          <t>Web</t>
        </is>
      </c>
      <c r="G1526" t="inlineStr">
        <is>
          <t>3. Pago</t>
        </is>
      </c>
      <c r="H1526" t="n">
        <v>2</v>
      </c>
      <c r="I1526" s="73" t="n">
        <v>124900</v>
      </c>
      <c r="J1526" s="73" t="n">
        <v>287270</v>
      </c>
      <c r="K1526" s="73" t="n">
        <v>173889</v>
      </c>
    </row>
    <row r="1527">
      <c r="A1527" t="n">
        <v>11643</v>
      </c>
      <c r="B1527" s="72" t="n">
        <v>45716.69444444445</v>
      </c>
      <c r="C1527" t="inlineStr">
        <is>
          <t>Antioquia</t>
        </is>
      </c>
      <c r="D1527" t="inlineStr">
        <is>
          <t>Medellín</t>
        </is>
      </c>
      <c r="E1527" t="inlineStr">
        <is>
          <t>Moda</t>
        </is>
      </c>
      <c r="F1527" t="inlineStr">
        <is>
          <t>App</t>
        </is>
      </c>
      <c r="G1527" t="inlineStr">
        <is>
          <t>1. Visita</t>
        </is>
      </c>
      <c r="H1527" t="n">
        <v>5</v>
      </c>
      <c r="I1527" s="73" t="n">
        <v>91000</v>
      </c>
      <c r="J1527" s="73" t="n">
        <v>523250</v>
      </c>
      <c r="K1527" s="73" t="n">
        <v>288199</v>
      </c>
    </row>
    <row r="1528">
      <c r="A1528" t="n">
        <v>11073</v>
      </c>
      <c r="B1528" s="72" t="n">
        <v>45716.91180555556</v>
      </c>
      <c r="C1528" t="inlineStr">
        <is>
          <t>Bogotá D.C.</t>
        </is>
      </c>
      <c r="D1528" t="inlineStr">
        <is>
          <t>Bogotá</t>
        </is>
      </c>
      <c r="E1528" t="inlineStr">
        <is>
          <t>Juguetes</t>
        </is>
      </c>
      <c r="F1528" t="inlineStr">
        <is>
          <t>Tienda física</t>
        </is>
      </c>
      <c r="G1528" t="inlineStr">
        <is>
          <t>2. Carrito</t>
        </is>
      </c>
      <c r="H1528" t="n">
        <v>2</v>
      </c>
      <c r="I1528" s="73" t="n">
        <v>69300</v>
      </c>
      <c r="J1528" s="73" t="n">
        <v>159390</v>
      </c>
      <c r="K1528" s="73" t="n">
        <v>99834</v>
      </c>
    </row>
    <row r="1529">
      <c r="A1529" t="n">
        <v>10140</v>
      </c>
      <c r="B1529" s="72" t="n">
        <v>45716.92430555556</v>
      </c>
      <c r="C1529" t="inlineStr">
        <is>
          <t>Bogotá D.C.</t>
        </is>
      </c>
      <c r="D1529" t="inlineStr">
        <is>
          <t>Bogotá</t>
        </is>
      </c>
      <c r="E1529" t="inlineStr">
        <is>
          <t>Deportes</t>
        </is>
      </c>
      <c r="F1529" t="inlineStr">
        <is>
          <t>Tienda física</t>
        </is>
      </c>
      <c r="G1529" t="inlineStr">
        <is>
          <t>2. Carrito</t>
        </is>
      </c>
      <c r="H1529" t="n">
        <v>3</v>
      </c>
      <c r="I1529" s="73" t="n">
        <v>200000</v>
      </c>
      <c r="J1529" s="73" t="n">
        <v>690000</v>
      </c>
      <c r="K1529" s="73" t="n">
        <v>476352</v>
      </c>
    </row>
    <row r="1530">
      <c r="A1530" t="n">
        <v>10068</v>
      </c>
      <c r="B1530" s="72" t="n">
        <v>45716.93958333333</v>
      </c>
      <c r="C1530" t="inlineStr">
        <is>
          <t>Atlántico</t>
        </is>
      </c>
      <c r="D1530" t="inlineStr">
        <is>
          <t>Barranquilla</t>
        </is>
      </c>
      <c r="E1530" t="inlineStr">
        <is>
          <t>Juguetes</t>
        </is>
      </c>
      <c r="F1530" t="inlineStr">
        <is>
          <t>App</t>
        </is>
      </c>
      <c r="G1530" t="inlineStr">
        <is>
          <t>2. Carrito</t>
        </is>
      </c>
      <c r="H1530" t="n">
        <v>2</v>
      </c>
      <c r="I1530" s="73" t="n">
        <v>68800</v>
      </c>
      <c r="J1530" s="73" t="n">
        <v>158240</v>
      </c>
      <c r="K1530" s="73" t="n">
        <v>101852</v>
      </c>
    </row>
    <row r="1531">
      <c r="A1531" t="n">
        <v>10955</v>
      </c>
      <c r="B1531" s="72" t="n">
        <v>45716.94652777778</v>
      </c>
      <c r="C1531" t="inlineStr">
        <is>
          <t>Bogotá D.C.</t>
        </is>
      </c>
      <c r="D1531" t="inlineStr">
        <is>
          <t>Bogotá</t>
        </is>
      </c>
      <c r="E1531" t="inlineStr">
        <is>
          <t>Juguetes</t>
        </is>
      </c>
      <c r="F1531" t="inlineStr">
        <is>
          <t>Web</t>
        </is>
      </c>
      <c r="G1531" t="inlineStr">
        <is>
          <t>1. Visita</t>
        </is>
      </c>
      <c r="H1531" t="n">
        <v>5</v>
      </c>
      <c r="I1531" s="73" t="n">
        <v>103400</v>
      </c>
      <c r="J1531" s="73" t="n">
        <v>594550</v>
      </c>
      <c r="K1531" s="73" t="n">
        <v>335744</v>
      </c>
    </row>
    <row r="1532">
      <c r="A1532" t="n">
        <v>12391</v>
      </c>
      <c r="B1532" s="72" t="n">
        <v>45717.40763888889</v>
      </c>
      <c r="C1532" t="inlineStr">
        <is>
          <t>Meta</t>
        </is>
      </c>
      <c r="D1532" t="inlineStr">
        <is>
          <t>Villavicencio</t>
        </is>
      </c>
      <c r="E1532" t="inlineStr">
        <is>
          <t>Deportes</t>
        </is>
      </c>
      <c r="F1532" t="inlineStr">
        <is>
          <t>App</t>
        </is>
      </c>
      <c r="G1532" t="inlineStr">
        <is>
          <t>1. Visita</t>
        </is>
      </c>
      <c r="H1532" t="n">
        <v>5</v>
      </c>
      <c r="I1532" s="73" t="n">
        <v>113600</v>
      </c>
      <c r="J1532" s="73" t="n">
        <v>653200</v>
      </c>
      <c r="K1532" s="73" t="n">
        <v>393953</v>
      </c>
    </row>
    <row r="1533">
      <c r="A1533" t="n">
        <v>10868</v>
      </c>
      <c r="B1533" s="72" t="n">
        <v>45717.50972222222</v>
      </c>
      <c r="C1533" t="inlineStr">
        <is>
          <t>Santander</t>
        </is>
      </c>
      <c r="D1533" t="inlineStr">
        <is>
          <t>Bucaramanga</t>
        </is>
      </c>
      <c r="E1533" t="inlineStr">
        <is>
          <t>Deportes</t>
        </is>
      </c>
      <c r="F1533" t="inlineStr">
        <is>
          <t>App</t>
        </is>
      </c>
      <c r="G1533" t="inlineStr">
        <is>
          <t>2. Carrito</t>
        </is>
      </c>
      <c r="H1533" t="n">
        <v>3</v>
      </c>
      <c r="I1533" s="73" t="n">
        <v>197100</v>
      </c>
      <c r="J1533" s="73" t="n">
        <v>679995</v>
      </c>
      <c r="K1533" s="73" t="n">
        <v>462909</v>
      </c>
    </row>
    <row r="1534">
      <c r="A1534" t="n">
        <v>10535</v>
      </c>
      <c r="B1534" s="72" t="n">
        <v>45718.52569444444</v>
      </c>
      <c r="C1534" t="inlineStr">
        <is>
          <t>Bogotá D.C.</t>
        </is>
      </c>
      <c r="D1534" t="inlineStr">
        <is>
          <t>Bogotá</t>
        </is>
      </c>
      <c r="E1534" t="inlineStr">
        <is>
          <t>Hogar</t>
        </is>
      </c>
      <c r="F1534" t="inlineStr">
        <is>
          <t>App</t>
        </is>
      </c>
      <c r="G1534" t="inlineStr">
        <is>
          <t>1. Visita</t>
        </is>
      </c>
      <c r="H1534" t="n">
        <v>4</v>
      </c>
      <c r="I1534" s="73" t="n">
        <v>149700</v>
      </c>
      <c r="J1534" s="73" t="n">
        <v>688620</v>
      </c>
      <c r="K1534" s="73" t="n">
        <v>423244</v>
      </c>
    </row>
    <row r="1535">
      <c r="A1535" t="n">
        <v>12014</v>
      </c>
      <c r="B1535" s="72" t="n">
        <v>45718.53680555556</v>
      </c>
      <c r="C1535" t="inlineStr">
        <is>
          <t>Valle del Cauca</t>
        </is>
      </c>
      <c r="D1535" t="inlineStr">
        <is>
          <t>Cali</t>
        </is>
      </c>
      <c r="E1535" t="inlineStr">
        <is>
          <t>Deportes</t>
        </is>
      </c>
      <c r="F1535" t="inlineStr">
        <is>
          <t>Web</t>
        </is>
      </c>
      <c r="G1535" t="inlineStr">
        <is>
          <t>3. Pago</t>
        </is>
      </c>
      <c r="H1535" t="n">
        <v>1</v>
      </c>
      <c r="I1535" s="73" t="n">
        <v>188900</v>
      </c>
      <c r="J1535" s="73" t="n">
        <v>217235</v>
      </c>
      <c r="K1535" s="73" t="n">
        <v>134928</v>
      </c>
    </row>
    <row r="1536">
      <c r="A1536" t="n">
        <v>10178</v>
      </c>
      <c r="B1536" s="72" t="n">
        <v>45718.67152777778</v>
      </c>
      <c r="C1536" t="inlineStr">
        <is>
          <t>Nariño</t>
        </is>
      </c>
      <c r="D1536" t="inlineStr">
        <is>
          <t>Pasto</t>
        </is>
      </c>
      <c r="E1536" t="inlineStr">
        <is>
          <t>Belleza</t>
        </is>
      </c>
      <c r="F1536" t="inlineStr">
        <is>
          <t>App</t>
        </is>
      </c>
      <c r="G1536" t="inlineStr">
        <is>
          <t>1. Visita</t>
        </is>
      </c>
      <c r="H1536" t="n">
        <v>1</v>
      </c>
      <c r="I1536" s="73" t="n">
        <v>52400</v>
      </c>
      <c r="J1536" s="73" t="n">
        <v>60260</v>
      </c>
      <c r="K1536" s="73" t="n">
        <v>36179</v>
      </c>
    </row>
    <row r="1537">
      <c r="A1537" t="n">
        <v>11282</v>
      </c>
      <c r="B1537" s="72" t="n">
        <v>45718.72291666667</v>
      </c>
      <c r="C1537" t="inlineStr">
        <is>
          <t>Bogotá D.C.</t>
        </is>
      </c>
      <c r="D1537" t="inlineStr">
        <is>
          <t>Bogotá</t>
        </is>
      </c>
      <c r="E1537" t="inlineStr">
        <is>
          <t>Belleza</t>
        </is>
      </c>
      <c r="F1537" t="inlineStr">
        <is>
          <t>Tienda física</t>
        </is>
      </c>
      <c r="G1537" t="inlineStr">
        <is>
          <t>1. Visita</t>
        </is>
      </c>
      <c r="H1537" t="n">
        <v>5</v>
      </c>
      <c r="I1537" s="73" t="n">
        <v>82600</v>
      </c>
      <c r="J1537" s="73" t="n">
        <v>474950</v>
      </c>
      <c r="K1537" s="73" t="n">
        <v>272661</v>
      </c>
    </row>
    <row r="1538">
      <c r="A1538" t="n">
        <v>11873</v>
      </c>
      <c r="B1538" s="72" t="n">
        <v>45719.25486111111</v>
      </c>
      <c r="C1538" t="inlineStr">
        <is>
          <t>Bogotá D.C.</t>
        </is>
      </c>
      <c r="D1538" t="inlineStr">
        <is>
          <t>Bogotá</t>
        </is>
      </c>
      <c r="E1538" t="inlineStr">
        <is>
          <t>Tecnología</t>
        </is>
      </c>
      <c r="F1538" t="inlineStr">
        <is>
          <t>Tienda física</t>
        </is>
      </c>
      <c r="G1538" t="inlineStr">
        <is>
          <t>1. Visita</t>
        </is>
      </c>
      <c r="H1538" t="n">
        <v>3</v>
      </c>
      <c r="I1538" s="73" t="n">
        <v>639600</v>
      </c>
      <c r="J1538" s="73" t="n">
        <v>1918800</v>
      </c>
      <c r="K1538" s="73" t="n">
        <v>1142478</v>
      </c>
    </row>
    <row r="1539">
      <c r="A1539" t="n">
        <v>10976</v>
      </c>
      <c r="B1539" s="72" t="n">
        <v>45719.42708333334</v>
      </c>
      <c r="C1539" t="inlineStr">
        <is>
          <t>Atlántico</t>
        </is>
      </c>
      <c r="D1539" t="inlineStr">
        <is>
          <t>Barranquilla</t>
        </is>
      </c>
      <c r="E1539" t="inlineStr">
        <is>
          <t>Juguetes</t>
        </is>
      </c>
      <c r="F1539" t="inlineStr">
        <is>
          <t>Web</t>
        </is>
      </c>
      <c r="G1539" t="inlineStr">
        <is>
          <t>1. Visita</t>
        </is>
      </c>
      <c r="H1539" t="n">
        <v>5</v>
      </c>
      <c r="I1539" s="73" t="n">
        <v>88400</v>
      </c>
      <c r="J1539" s="73" t="n">
        <v>442000</v>
      </c>
      <c r="K1539" s="73" t="n">
        <v>268827</v>
      </c>
    </row>
    <row r="1540">
      <c r="A1540" t="n">
        <v>11520</v>
      </c>
      <c r="B1540" s="72" t="n">
        <v>45719.575</v>
      </c>
      <c r="C1540" t="inlineStr">
        <is>
          <t>Santander</t>
        </is>
      </c>
      <c r="D1540" t="inlineStr">
        <is>
          <t>Bucaramanga</t>
        </is>
      </c>
      <c r="E1540" t="inlineStr">
        <is>
          <t>Belleza</t>
        </is>
      </c>
      <c r="F1540" t="inlineStr">
        <is>
          <t>Web</t>
        </is>
      </c>
      <c r="G1540" t="inlineStr">
        <is>
          <t>3. Pago</t>
        </is>
      </c>
      <c r="H1540" t="n">
        <v>3</v>
      </c>
      <c r="I1540" s="73" t="n">
        <v>81200</v>
      </c>
      <c r="J1540" s="73" t="n">
        <v>243600</v>
      </c>
      <c r="K1540" s="73" t="n">
        <v>139566</v>
      </c>
    </row>
    <row r="1541">
      <c r="A1541" t="n">
        <v>10820</v>
      </c>
      <c r="B1541" s="72" t="n">
        <v>45719.70625</v>
      </c>
      <c r="C1541" t="inlineStr">
        <is>
          <t>Valle del Cauca</t>
        </is>
      </c>
      <c r="D1541" t="inlineStr">
        <is>
          <t>Cali</t>
        </is>
      </c>
      <c r="E1541" t="inlineStr">
        <is>
          <t>Hogar</t>
        </is>
      </c>
      <c r="F1541" t="inlineStr">
        <is>
          <t>Marketplace</t>
        </is>
      </c>
      <c r="G1541" t="inlineStr">
        <is>
          <t>2. Carrito</t>
        </is>
      </c>
      <c r="H1541" t="n">
        <v>2</v>
      </c>
      <c r="I1541" s="73" t="n">
        <v>195800</v>
      </c>
      <c r="J1541" s="73" t="n">
        <v>391600</v>
      </c>
      <c r="K1541" s="73" t="n">
        <v>229768</v>
      </c>
    </row>
    <row r="1542">
      <c r="A1542" t="n">
        <v>11348</v>
      </c>
      <c r="B1542" s="72" t="n">
        <v>45719.82847222222</v>
      </c>
      <c r="C1542" t="inlineStr">
        <is>
          <t>Bogotá D.C.</t>
        </is>
      </c>
      <c r="D1542" t="inlineStr">
        <is>
          <t>Bogotá</t>
        </is>
      </c>
      <c r="E1542" t="inlineStr">
        <is>
          <t>Tecnología</t>
        </is>
      </c>
      <c r="F1542" t="inlineStr">
        <is>
          <t>App</t>
        </is>
      </c>
      <c r="G1542" t="inlineStr">
        <is>
          <t>3. Pago</t>
        </is>
      </c>
      <c r="H1542" t="n">
        <v>4</v>
      </c>
      <c r="I1542" s="73" t="n">
        <v>625000</v>
      </c>
      <c r="J1542" s="73" t="n">
        <v>2500000</v>
      </c>
      <c r="K1542" s="73" t="n">
        <v>1807125</v>
      </c>
    </row>
    <row r="1543">
      <c r="A1543" t="n">
        <v>11991</v>
      </c>
      <c r="B1543" s="72" t="n">
        <v>45719.82847222222</v>
      </c>
      <c r="C1543" t="inlineStr">
        <is>
          <t>Bolívar</t>
        </is>
      </c>
      <c r="D1543" t="inlineStr">
        <is>
          <t>Cartagena</t>
        </is>
      </c>
      <c r="E1543" t="inlineStr">
        <is>
          <t>Tecnología</t>
        </is>
      </c>
      <c r="F1543" t="inlineStr">
        <is>
          <t>Web</t>
        </is>
      </c>
      <c r="G1543" t="inlineStr">
        <is>
          <t>2. Carrito</t>
        </is>
      </c>
      <c r="H1543" t="n">
        <v>3</v>
      </c>
      <c r="I1543" s="73" t="n">
        <v>800500</v>
      </c>
      <c r="J1543" s="73" t="n">
        <v>2401500</v>
      </c>
      <c r="K1543" s="73" t="n">
        <v>1358963</v>
      </c>
    </row>
    <row r="1544">
      <c r="A1544" t="n">
        <v>10985</v>
      </c>
      <c r="B1544" s="72" t="n">
        <v>45719.87013888889</v>
      </c>
      <c r="C1544" t="inlineStr">
        <is>
          <t>Antioquia</t>
        </is>
      </c>
      <c r="D1544" t="inlineStr">
        <is>
          <t>Medellín</t>
        </is>
      </c>
      <c r="E1544" t="inlineStr">
        <is>
          <t>Tecnología</t>
        </is>
      </c>
      <c r="F1544" t="inlineStr">
        <is>
          <t>Tienda física</t>
        </is>
      </c>
      <c r="G1544" t="inlineStr">
        <is>
          <t>3. Pago</t>
        </is>
      </c>
      <c r="H1544" t="n">
        <v>5</v>
      </c>
      <c r="I1544" s="73" t="n">
        <v>905400</v>
      </c>
      <c r="J1544" s="73" t="n">
        <v>4527000</v>
      </c>
      <c r="K1544" s="73" t="n">
        <v>2779007</v>
      </c>
    </row>
    <row r="1545">
      <c r="A1545" t="n">
        <v>12293</v>
      </c>
      <c r="B1545" s="72" t="n">
        <v>45720.33125</v>
      </c>
      <c r="C1545" t="inlineStr">
        <is>
          <t>Bogotá D.C.</t>
        </is>
      </c>
      <c r="D1545" t="inlineStr">
        <is>
          <t>Bogotá</t>
        </is>
      </c>
      <c r="E1545" t="inlineStr">
        <is>
          <t>Tecnología</t>
        </is>
      </c>
      <c r="F1545" t="inlineStr">
        <is>
          <t>Web</t>
        </is>
      </c>
      <c r="G1545" t="inlineStr">
        <is>
          <t>1. Visita</t>
        </is>
      </c>
      <c r="H1545" t="n">
        <v>1</v>
      </c>
      <c r="I1545" s="73" t="n">
        <v>1037200</v>
      </c>
      <c r="J1545" s="73" t="n">
        <v>1037200</v>
      </c>
      <c r="K1545" s="73" t="n">
        <v>674041</v>
      </c>
    </row>
    <row r="1546">
      <c r="A1546" t="n">
        <v>10114</v>
      </c>
      <c r="B1546" s="72" t="n">
        <v>45720.46666666667</v>
      </c>
      <c r="C1546" t="inlineStr">
        <is>
          <t>Valle del Cauca</t>
        </is>
      </c>
      <c r="D1546" t="inlineStr">
        <is>
          <t>Cali</t>
        </is>
      </c>
      <c r="E1546" t="inlineStr">
        <is>
          <t>Hogar</t>
        </is>
      </c>
      <c r="F1546" t="inlineStr">
        <is>
          <t>Tienda física</t>
        </is>
      </c>
      <c r="G1546" t="inlineStr">
        <is>
          <t>2. Carrito</t>
        </is>
      </c>
      <c r="H1546" t="n">
        <v>5</v>
      </c>
      <c r="I1546" s="73" t="n">
        <v>241900</v>
      </c>
      <c r="J1546" s="73" t="n">
        <v>1209500</v>
      </c>
      <c r="K1546" s="73" t="n">
        <v>796662</v>
      </c>
    </row>
    <row r="1547">
      <c r="A1547" t="n">
        <v>10364</v>
      </c>
      <c r="B1547" s="72" t="n">
        <v>45720.57569444444</v>
      </c>
      <c r="C1547" t="inlineStr">
        <is>
          <t>Atlántico</t>
        </is>
      </c>
      <c r="D1547" t="inlineStr">
        <is>
          <t>Barranquilla</t>
        </is>
      </c>
      <c r="E1547" t="inlineStr">
        <is>
          <t>Belleza</t>
        </is>
      </c>
      <c r="F1547" t="inlineStr">
        <is>
          <t>Marketplace</t>
        </is>
      </c>
      <c r="G1547" t="inlineStr">
        <is>
          <t>2. Carrito</t>
        </is>
      </c>
      <c r="H1547" t="n">
        <v>3</v>
      </c>
      <c r="I1547" s="73" t="n">
        <v>67700</v>
      </c>
      <c r="J1547" s="73" t="n">
        <v>203100</v>
      </c>
      <c r="K1547" s="73" t="n">
        <v>112423</v>
      </c>
    </row>
    <row r="1548">
      <c r="A1548" t="n">
        <v>10072</v>
      </c>
      <c r="B1548" s="72" t="n">
        <v>45720.57638888889</v>
      </c>
      <c r="C1548" t="inlineStr">
        <is>
          <t>Bogotá D.C.</t>
        </is>
      </c>
      <c r="D1548" t="inlineStr">
        <is>
          <t>Bogotá</t>
        </is>
      </c>
      <c r="E1548" t="inlineStr">
        <is>
          <t>Tecnología</t>
        </is>
      </c>
      <c r="F1548" t="inlineStr">
        <is>
          <t>Web</t>
        </is>
      </c>
      <c r="G1548" t="inlineStr">
        <is>
          <t>1. Visita</t>
        </is>
      </c>
      <c r="H1548" t="n">
        <v>3</v>
      </c>
      <c r="I1548" s="73" t="n">
        <v>612800</v>
      </c>
      <c r="J1548" s="73" t="n">
        <v>1838400</v>
      </c>
      <c r="K1548" s="73" t="n">
        <v>1230212</v>
      </c>
    </row>
    <row r="1549">
      <c r="A1549" t="n">
        <v>11926</v>
      </c>
      <c r="B1549" s="72" t="n">
        <v>45720.74722222222</v>
      </c>
      <c r="C1549" t="inlineStr">
        <is>
          <t>Bolívar</t>
        </is>
      </c>
      <c r="D1549" t="inlineStr">
        <is>
          <t>Cartagena</t>
        </is>
      </c>
      <c r="E1549" t="inlineStr">
        <is>
          <t>Hogar</t>
        </is>
      </c>
      <c r="F1549" t="inlineStr">
        <is>
          <t>App</t>
        </is>
      </c>
      <c r="G1549" t="inlineStr">
        <is>
          <t>2. Carrito</t>
        </is>
      </c>
      <c r="H1549" t="n">
        <v>2</v>
      </c>
      <c r="I1549" s="73" t="n">
        <v>149800</v>
      </c>
      <c r="J1549" s="73" t="n">
        <v>299600</v>
      </c>
      <c r="K1549" s="73" t="n">
        <v>197636</v>
      </c>
    </row>
    <row r="1550">
      <c r="A1550" t="n">
        <v>10030</v>
      </c>
      <c r="B1550" s="72" t="n">
        <v>45720.80833333333</v>
      </c>
      <c r="C1550" t="inlineStr">
        <is>
          <t>Huila</t>
        </is>
      </c>
      <c r="D1550" t="inlineStr">
        <is>
          <t>Neiva</t>
        </is>
      </c>
      <c r="E1550" t="inlineStr">
        <is>
          <t>Juguetes</t>
        </is>
      </c>
      <c r="F1550" t="inlineStr">
        <is>
          <t>App</t>
        </is>
      </c>
      <c r="G1550" t="inlineStr">
        <is>
          <t>2. Carrito</t>
        </is>
      </c>
      <c r="H1550" t="n">
        <v>1</v>
      </c>
      <c r="I1550" s="73" t="n">
        <v>71600</v>
      </c>
      <c r="J1550" s="73" t="n">
        <v>71600</v>
      </c>
      <c r="K1550" s="73" t="n">
        <v>40403</v>
      </c>
    </row>
    <row r="1551">
      <c r="A1551" t="n">
        <v>10701</v>
      </c>
      <c r="B1551" s="72" t="n">
        <v>45721.71805555555</v>
      </c>
      <c r="C1551" t="inlineStr">
        <is>
          <t>Antioquia</t>
        </is>
      </c>
      <c r="D1551" t="inlineStr">
        <is>
          <t>Medellín</t>
        </is>
      </c>
      <c r="E1551" t="inlineStr">
        <is>
          <t>Tecnología</t>
        </is>
      </c>
      <c r="F1551" t="inlineStr">
        <is>
          <t>App</t>
        </is>
      </c>
      <c r="G1551" t="inlineStr">
        <is>
          <t>3. Pago</t>
        </is>
      </c>
      <c r="H1551" t="n">
        <v>3</v>
      </c>
      <c r="I1551" s="73" t="n">
        <v>847500</v>
      </c>
      <c r="J1551" s="73" t="n">
        <v>2542500</v>
      </c>
      <c r="K1551" s="73" t="n">
        <v>1576890</v>
      </c>
    </row>
    <row r="1552">
      <c r="A1552" t="n">
        <v>11118</v>
      </c>
      <c r="B1552" s="72" t="n">
        <v>45722.58402777778</v>
      </c>
      <c r="C1552" t="inlineStr">
        <is>
          <t>Huila</t>
        </is>
      </c>
      <c r="D1552" t="inlineStr">
        <is>
          <t>Neiva</t>
        </is>
      </c>
      <c r="E1552" t="inlineStr">
        <is>
          <t>Juguetes</t>
        </is>
      </c>
      <c r="F1552" t="inlineStr">
        <is>
          <t>Tienda física</t>
        </is>
      </c>
      <c r="G1552" t="inlineStr">
        <is>
          <t>2. Carrito</t>
        </is>
      </c>
      <c r="H1552" t="n">
        <v>2</v>
      </c>
      <c r="I1552" s="73" t="n">
        <v>101600</v>
      </c>
      <c r="J1552" s="73" t="n">
        <v>203200</v>
      </c>
      <c r="K1552" s="73" t="n">
        <v>134332</v>
      </c>
    </row>
    <row r="1553">
      <c r="A1553" t="n">
        <v>10610</v>
      </c>
      <c r="B1553" s="72" t="n">
        <v>45722.89513888889</v>
      </c>
      <c r="C1553" t="inlineStr">
        <is>
          <t>Atlántico</t>
        </is>
      </c>
      <c r="D1553" t="inlineStr">
        <is>
          <t>Barranquilla</t>
        </is>
      </c>
      <c r="E1553" t="inlineStr">
        <is>
          <t>Juguetes</t>
        </is>
      </c>
      <c r="F1553" t="inlineStr">
        <is>
          <t>Web</t>
        </is>
      </c>
      <c r="G1553" t="inlineStr">
        <is>
          <t>2. Carrito</t>
        </is>
      </c>
      <c r="H1553" t="n">
        <v>2</v>
      </c>
      <c r="I1553" s="73" t="n">
        <v>77000</v>
      </c>
      <c r="J1553" s="73" t="n">
        <v>154000</v>
      </c>
      <c r="K1553" s="73" t="n">
        <v>104029</v>
      </c>
    </row>
    <row r="1554">
      <c r="A1554" t="n">
        <v>11994</v>
      </c>
      <c r="B1554" s="72" t="n">
        <v>45723.41388888889</v>
      </c>
      <c r="C1554" t="inlineStr">
        <is>
          <t>Valle del Cauca</t>
        </is>
      </c>
      <c r="D1554" t="inlineStr">
        <is>
          <t>Cali</t>
        </is>
      </c>
      <c r="E1554" t="inlineStr">
        <is>
          <t>Deportes</t>
        </is>
      </c>
      <c r="F1554" t="inlineStr">
        <is>
          <t>Web</t>
        </is>
      </c>
      <c r="G1554" t="inlineStr">
        <is>
          <t>2. Carrito</t>
        </is>
      </c>
      <c r="H1554" t="n">
        <v>4</v>
      </c>
      <c r="I1554" s="73" t="n">
        <v>128300</v>
      </c>
      <c r="J1554" s="73" t="n">
        <v>590180</v>
      </c>
      <c r="K1554" s="73" t="n">
        <v>363860</v>
      </c>
    </row>
    <row r="1555">
      <c r="A1555" t="n">
        <v>11228</v>
      </c>
      <c r="B1555" s="72" t="n">
        <v>45723.53402777778</v>
      </c>
      <c r="C1555" t="inlineStr">
        <is>
          <t>Huila</t>
        </is>
      </c>
      <c r="D1555" t="inlineStr">
        <is>
          <t>Neiva</t>
        </is>
      </c>
      <c r="E1555" t="inlineStr">
        <is>
          <t>Tecnología</t>
        </is>
      </c>
      <c r="F1555" t="inlineStr">
        <is>
          <t>Tienda física</t>
        </is>
      </c>
      <c r="G1555" t="inlineStr">
        <is>
          <t>1. Visita</t>
        </is>
      </c>
      <c r="H1555" t="n">
        <v>1</v>
      </c>
      <c r="I1555" s="73" t="n">
        <v>1046000</v>
      </c>
      <c r="J1555" s="73" t="n">
        <v>1202900</v>
      </c>
      <c r="K1555" s="73" t="n">
        <v>829559</v>
      </c>
    </row>
    <row r="1556">
      <c r="A1556" t="n">
        <v>11365</v>
      </c>
      <c r="B1556" s="72" t="n">
        <v>45723.54375</v>
      </c>
      <c r="C1556" t="inlineStr">
        <is>
          <t>Risaralda</t>
        </is>
      </c>
      <c r="D1556" t="inlineStr">
        <is>
          <t>Pereira</t>
        </is>
      </c>
      <c r="E1556" t="inlineStr">
        <is>
          <t>Hogar</t>
        </is>
      </c>
      <c r="F1556" t="inlineStr">
        <is>
          <t>Web</t>
        </is>
      </c>
      <c r="G1556" t="inlineStr">
        <is>
          <t>1. Visita</t>
        </is>
      </c>
      <c r="H1556" t="n">
        <v>4</v>
      </c>
      <c r="I1556" s="73" t="n">
        <v>262400</v>
      </c>
      <c r="J1556" s="73" t="n">
        <v>1207040</v>
      </c>
      <c r="K1556" s="73" t="n">
        <v>873995</v>
      </c>
    </row>
    <row r="1557">
      <c r="A1557" t="n">
        <v>10048</v>
      </c>
      <c r="B1557" s="72" t="n">
        <v>45723.54583333333</v>
      </c>
      <c r="C1557" t="inlineStr">
        <is>
          <t>Antioquia</t>
        </is>
      </c>
      <c r="D1557" t="inlineStr">
        <is>
          <t>Medellín</t>
        </is>
      </c>
      <c r="E1557" t="inlineStr">
        <is>
          <t>Hogar</t>
        </is>
      </c>
      <c r="F1557" t="inlineStr">
        <is>
          <t>Web</t>
        </is>
      </c>
      <c r="G1557" t="inlineStr">
        <is>
          <t>1. Visita</t>
        </is>
      </c>
      <c r="H1557" t="n">
        <v>2</v>
      </c>
      <c r="I1557" s="73" t="n">
        <v>261600</v>
      </c>
      <c r="J1557" s="73" t="n">
        <v>601680</v>
      </c>
      <c r="K1557" s="73" t="n">
        <v>412664</v>
      </c>
    </row>
    <row r="1558">
      <c r="A1558" t="n">
        <v>12231</v>
      </c>
      <c r="B1558" s="72" t="n">
        <v>45723.69930555556</v>
      </c>
      <c r="C1558" t="inlineStr">
        <is>
          <t>Bogotá D.C.</t>
        </is>
      </c>
      <c r="D1558" t="inlineStr">
        <is>
          <t>Bogotá</t>
        </is>
      </c>
      <c r="E1558" t="inlineStr">
        <is>
          <t>Deportes</t>
        </is>
      </c>
      <c r="F1558" t="inlineStr">
        <is>
          <t>App</t>
        </is>
      </c>
      <c r="G1558" t="inlineStr">
        <is>
          <t>2. Carrito</t>
        </is>
      </c>
      <c r="H1558" t="n">
        <v>4</v>
      </c>
      <c r="I1558" s="73" t="n">
        <v>164000</v>
      </c>
      <c r="J1558" s="73" t="n">
        <v>754400</v>
      </c>
      <c r="K1558" s="73" t="n">
        <v>549260</v>
      </c>
    </row>
    <row r="1559">
      <c r="A1559" t="n">
        <v>10181</v>
      </c>
      <c r="B1559" s="72" t="n">
        <v>45723.74722222222</v>
      </c>
      <c r="C1559" t="inlineStr">
        <is>
          <t>Bolívar</t>
        </is>
      </c>
      <c r="D1559" t="inlineStr">
        <is>
          <t>Cartagena</t>
        </is>
      </c>
      <c r="E1559" t="inlineStr">
        <is>
          <t>Tecnología</t>
        </is>
      </c>
      <c r="F1559" t="inlineStr">
        <is>
          <t>Tienda física</t>
        </is>
      </c>
      <c r="G1559" t="inlineStr">
        <is>
          <t>1. Visita</t>
        </is>
      </c>
      <c r="H1559" t="n">
        <v>4</v>
      </c>
      <c r="I1559" s="73" t="n">
        <v>744000</v>
      </c>
      <c r="J1559" s="73" t="n">
        <v>3422400</v>
      </c>
      <c r="K1559" s="73" t="n">
        <v>2200085</v>
      </c>
    </row>
    <row r="1560">
      <c r="A1560" t="n">
        <v>10542</v>
      </c>
      <c r="B1560" s="72" t="n">
        <v>45724.45625</v>
      </c>
      <c r="C1560" t="inlineStr">
        <is>
          <t>Valle del Cauca</t>
        </is>
      </c>
      <c r="D1560" t="inlineStr">
        <is>
          <t>Cali</t>
        </is>
      </c>
      <c r="E1560" t="inlineStr">
        <is>
          <t>Deportes</t>
        </is>
      </c>
      <c r="F1560" t="inlineStr">
        <is>
          <t>Web</t>
        </is>
      </c>
      <c r="G1560" t="inlineStr">
        <is>
          <t>1. Visita</t>
        </is>
      </c>
      <c r="H1560" t="n">
        <v>4</v>
      </c>
      <c r="I1560" s="73" t="n">
        <v>191200</v>
      </c>
      <c r="J1560" s="73" t="n">
        <v>879520</v>
      </c>
      <c r="K1560" s="73" t="n">
        <v>637159</v>
      </c>
    </row>
    <row r="1561">
      <c r="A1561" t="n">
        <v>10436</v>
      </c>
      <c r="B1561" s="72" t="n">
        <v>45724.55486111111</v>
      </c>
      <c r="C1561" t="inlineStr">
        <is>
          <t>Santander</t>
        </is>
      </c>
      <c r="D1561" t="inlineStr">
        <is>
          <t>Bucaramanga</t>
        </is>
      </c>
      <c r="E1561" t="inlineStr">
        <is>
          <t>Juguetes</t>
        </is>
      </c>
      <c r="F1561" t="inlineStr">
        <is>
          <t>App</t>
        </is>
      </c>
      <c r="G1561" t="inlineStr">
        <is>
          <t>1. Visita</t>
        </is>
      </c>
      <c r="H1561" t="n">
        <v>5</v>
      </c>
      <c r="I1561" s="73" t="n">
        <v>68600</v>
      </c>
      <c r="J1561" s="73" t="n">
        <v>394450</v>
      </c>
      <c r="K1561" s="73" t="n">
        <v>231261</v>
      </c>
    </row>
    <row r="1562">
      <c r="A1562" t="n">
        <v>12333</v>
      </c>
      <c r="B1562" s="72" t="n">
        <v>45724.55763888889</v>
      </c>
      <c r="C1562" t="inlineStr">
        <is>
          <t>Bolívar</t>
        </is>
      </c>
      <c r="D1562" t="inlineStr">
        <is>
          <t>Cartagena</t>
        </is>
      </c>
      <c r="E1562" t="inlineStr">
        <is>
          <t>Juguetes</t>
        </is>
      </c>
      <c r="F1562" t="inlineStr">
        <is>
          <t>Web</t>
        </is>
      </c>
      <c r="G1562" t="inlineStr">
        <is>
          <t>1. Visita</t>
        </is>
      </c>
      <c r="H1562" t="n">
        <v>3</v>
      </c>
      <c r="I1562" s="73" t="n">
        <v>102100</v>
      </c>
      <c r="J1562" s="73" t="n">
        <v>352245</v>
      </c>
      <c r="K1562" s="73" t="n">
        <v>228934</v>
      </c>
    </row>
    <row r="1563">
      <c r="A1563" t="n">
        <v>10246</v>
      </c>
      <c r="B1563" s="72" t="n">
        <v>45725.37847222222</v>
      </c>
      <c r="C1563" t="inlineStr">
        <is>
          <t>Antioquia</t>
        </is>
      </c>
      <c r="D1563" t="inlineStr">
        <is>
          <t>Medellín</t>
        </is>
      </c>
      <c r="E1563" t="inlineStr">
        <is>
          <t>Hogar</t>
        </is>
      </c>
      <c r="F1563" t="inlineStr">
        <is>
          <t>App</t>
        </is>
      </c>
      <c r="G1563" t="inlineStr">
        <is>
          <t>1. Visita</t>
        </is>
      </c>
      <c r="H1563" t="n">
        <v>2</v>
      </c>
      <c r="I1563" s="73" t="n">
        <v>244900</v>
      </c>
      <c r="J1563" s="73" t="n">
        <v>563270</v>
      </c>
      <c r="K1563" s="73" t="n">
        <v>349520</v>
      </c>
    </row>
    <row r="1564">
      <c r="A1564" t="n">
        <v>10873</v>
      </c>
      <c r="B1564" s="72" t="n">
        <v>45726.30972222222</v>
      </c>
      <c r="C1564" t="inlineStr">
        <is>
          <t>Santander</t>
        </is>
      </c>
      <c r="D1564" t="inlineStr">
        <is>
          <t>Bucaramanga</t>
        </is>
      </c>
      <c r="E1564" t="inlineStr">
        <is>
          <t>Hogar</t>
        </is>
      </c>
      <c r="F1564" t="inlineStr">
        <is>
          <t>Web</t>
        </is>
      </c>
      <c r="G1564" t="inlineStr">
        <is>
          <t>2. Carrito</t>
        </is>
      </c>
      <c r="H1564" t="n">
        <v>4</v>
      </c>
      <c r="I1564" s="73" t="n">
        <v>251200</v>
      </c>
      <c r="J1564" s="73" t="n">
        <v>1004800</v>
      </c>
      <c r="K1564" s="73" t="n">
        <v>677888</v>
      </c>
    </row>
    <row r="1565">
      <c r="A1565" t="n">
        <v>10519</v>
      </c>
      <c r="B1565" s="72" t="n">
        <v>45726.86666666667</v>
      </c>
      <c r="C1565" t="inlineStr">
        <is>
          <t>Atlántico</t>
        </is>
      </c>
      <c r="D1565" t="inlineStr">
        <is>
          <t>Barranquilla</t>
        </is>
      </c>
      <c r="E1565" t="inlineStr">
        <is>
          <t>Juguetes</t>
        </is>
      </c>
      <c r="F1565" t="inlineStr">
        <is>
          <t>Web</t>
        </is>
      </c>
      <c r="G1565" t="inlineStr">
        <is>
          <t>1. Visita</t>
        </is>
      </c>
      <c r="H1565" t="n">
        <v>1</v>
      </c>
      <c r="I1565" s="73" t="n">
        <v>85400</v>
      </c>
      <c r="J1565" s="73" t="n">
        <v>85400</v>
      </c>
      <c r="K1565" s="73" t="n">
        <v>47441</v>
      </c>
    </row>
    <row r="1566">
      <c r="A1566" t="n">
        <v>10141</v>
      </c>
      <c r="B1566" s="72" t="n">
        <v>45726.95694444444</v>
      </c>
      <c r="C1566" t="inlineStr">
        <is>
          <t>Antioquia</t>
        </is>
      </c>
      <c r="D1566" t="inlineStr">
        <is>
          <t>Medellín</t>
        </is>
      </c>
      <c r="E1566" t="inlineStr">
        <is>
          <t>Tecnología</t>
        </is>
      </c>
      <c r="F1566" t="inlineStr">
        <is>
          <t>Web</t>
        </is>
      </c>
      <c r="G1566" t="inlineStr">
        <is>
          <t>3. Pago</t>
        </is>
      </c>
      <c r="H1566" t="n">
        <v>1</v>
      </c>
      <c r="I1566" s="73" t="n">
        <v>741900</v>
      </c>
      <c r="J1566" s="73" t="n">
        <v>741900</v>
      </c>
      <c r="K1566" s="73" t="n">
        <v>531761</v>
      </c>
    </row>
    <row r="1567">
      <c r="A1567" t="n">
        <v>11007</v>
      </c>
      <c r="B1567" s="72" t="n">
        <v>45727.41875</v>
      </c>
      <c r="C1567" t="inlineStr">
        <is>
          <t>Antioquia</t>
        </is>
      </c>
      <c r="D1567" t="inlineStr">
        <is>
          <t>Medellín</t>
        </is>
      </c>
      <c r="E1567" t="inlineStr">
        <is>
          <t>Hogar</t>
        </is>
      </c>
      <c r="F1567" t="inlineStr">
        <is>
          <t>Tienda física</t>
        </is>
      </c>
      <c r="G1567" t="inlineStr">
        <is>
          <t>3. Pago</t>
        </is>
      </c>
      <c r="H1567" t="n">
        <v>1</v>
      </c>
      <c r="I1567" s="73" t="n">
        <v>209000</v>
      </c>
      <c r="J1567" s="73" t="n">
        <v>209000</v>
      </c>
      <c r="K1567" s="73" t="n">
        <v>115385</v>
      </c>
    </row>
    <row r="1568">
      <c r="A1568" t="n">
        <v>10981</v>
      </c>
      <c r="B1568" s="72" t="n">
        <v>45727.47430555556</v>
      </c>
      <c r="C1568" t="inlineStr">
        <is>
          <t>Bogotá D.C.</t>
        </is>
      </c>
      <c r="D1568" t="inlineStr">
        <is>
          <t>Bogotá</t>
        </is>
      </c>
      <c r="E1568" t="inlineStr">
        <is>
          <t>Hogar</t>
        </is>
      </c>
      <c r="F1568" t="inlineStr">
        <is>
          <t>Web</t>
        </is>
      </c>
      <c r="G1568" t="inlineStr">
        <is>
          <t>1. Visita</t>
        </is>
      </c>
      <c r="H1568" t="n">
        <v>3</v>
      </c>
      <c r="I1568" s="73" t="n">
        <v>230900</v>
      </c>
      <c r="J1568" s="73" t="n">
        <v>692700</v>
      </c>
      <c r="K1568" s="73" t="n">
        <v>420293</v>
      </c>
    </row>
    <row r="1569">
      <c r="A1569" t="n">
        <v>11690</v>
      </c>
      <c r="B1569" s="72" t="n">
        <v>45727.48055555556</v>
      </c>
      <c r="C1569" t="inlineStr">
        <is>
          <t>Antioquia</t>
        </is>
      </c>
      <c r="D1569" t="inlineStr">
        <is>
          <t>Medellín</t>
        </is>
      </c>
      <c r="E1569" t="inlineStr">
        <is>
          <t>Hogar</t>
        </is>
      </c>
      <c r="F1569" t="inlineStr">
        <is>
          <t>App</t>
        </is>
      </c>
      <c r="G1569" t="inlineStr">
        <is>
          <t>1. Visita</t>
        </is>
      </c>
      <c r="H1569" t="n">
        <v>4</v>
      </c>
      <c r="I1569" s="73" t="n">
        <v>220600</v>
      </c>
      <c r="J1569" s="73" t="n">
        <v>882400</v>
      </c>
      <c r="K1569" s="73" t="n">
        <v>565658</v>
      </c>
    </row>
    <row r="1570">
      <c r="A1570" t="n">
        <v>10199</v>
      </c>
      <c r="B1570" s="72" t="n">
        <v>45727.50486111111</v>
      </c>
      <c r="C1570" t="inlineStr">
        <is>
          <t>Nariño</t>
        </is>
      </c>
      <c r="D1570" t="inlineStr">
        <is>
          <t>Pasto</t>
        </is>
      </c>
      <c r="E1570" t="inlineStr">
        <is>
          <t>Deportes</t>
        </is>
      </c>
      <c r="F1570" t="inlineStr">
        <is>
          <t>Tienda física</t>
        </is>
      </c>
      <c r="G1570" t="inlineStr">
        <is>
          <t>1. Visita</t>
        </is>
      </c>
      <c r="H1570" t="n">
        <v>3</v>
      </c>
      <c r="I1570" s="73" t="n">
        <v>190500</v>
      </c>
      <c r="J1570" s="73" t="n">
        <v>571500</v>
      </c>
      <c r="K1570" s="73" t="n">
        <v>339426</v>
      </c>
    </row>
    <row r="1571">
      <c r="A1571" t="n">
        <v>10306</v>
      </c>
      <c r="B1571" s="72" t="n">
        <v>45727.53472222222</v>
      </c>
      <c r="C1571" t="inlineStr">
        <is>
          <t>Atlántico</t>
        </is>
      </c>
      <c r="D1571" t="inlineStr">
        <is>
          <t>Barranquilla</t>
        </is>
      </c>
      <c r="E1571" t="inlineStr">
        <is>
          <t>Belleza</t>
        </is>
      </c>
      <c r="F1571" t="inlineStr">
        <is>
          <t>App</t>
        </is>
      </c>
      <c r="G1571" t="inlineStr">
        <is>
          <t>1. Visita</t>
        </is>
      </c>
      <c r="H1571" t="n">
        <v>3</v>
      </c>
      <c r="I1571" s="73" t="n">
        <v>78100</v>
      </c>
      <c r="J1571" s="73" t="n">
        <v>234300</v>
      </c>
      <c r="K1571" s="73" t="n">
        <v>160002</v>
      </c>
    </row>
    <row r="1572">
      <c r="A1572" t="n">
        <v>11426</v>
      </c>
      <c r="B1572" s="72" t="n">
        <v>45727.86736111111</v>
      </c>
      <c r="C1572" t="inlineStr">
        <is>
          <t>Santander</t>
        </is>
      </c>
      <c r="D1572" t="inlineStr">
        <is>
          <t>Bucaramanga</t>
        </is>
      </c>
      <c r="E1572" t="inlineStr">
        <is>
          <t>Juguetes</t>
        </is>
      </c>
      <c r="F1572" t="inlineStr">
        <is>
          <t>Web</t>
        </is>
      </c>
      <c r="G1572" t="inlineStr">
        <is>
          <t>2. Carrito</t>
        </is>
      </c>
      <c r="H1572" t="n">
        <v>3</v>
      </c>
      <c r="I1572" s="73" t="n">
        <v>84600</v>
      </c>
      <c r="J1572" s="73" t="n">
        <v>253800</v>
      </c>
      <c r="K1572" s="73" t="n">
        <v>163125</v>
      </c>
    </row>
    <row r="1573">
      <c r="A1573" t="n">
        <v>11801</v>
      </c>
      <c r="B1573" s="72" t="n">
        <v>45728.27013888889</v>
      </c>
      <c r="C1573" t="inlineStr">
        <is>
          <t>Bogotá D.C.</t>
        </is>
      </c>
      <c r="D1573" t="inlineStr">
        <is>
          <t>Bogotá</t>
        </is>
      </c>
      <c r="E1573" t="inlineStr">
        <is>
          <t>Moda</t>
        </is>
      </c>
      <c r="F1573" t="inlineStr">
        <is>
          <t>Tienda física</t>
        </is>
      </c>
      <c r="G1573" t="inlineStr">
        <is>
          <t>4. Compra</t>
        </is>
      </c>
      <c r="H1573" t="n">
        <v>3</v>
      </c>
      <c r="I1573" s="73" t="n">
        <v>136900</v>
      </c>
      <c r="J1573" s="73" t="n">
        <v>410700</v>
      </c>
      <c r="K1573" s="73" t="n">
        <v>293594</v>
      </c>
    </row>
    <row r="1574">
      <c r="A1574" t="n">
        <v>10920</v>
      </c>
      <c r="B1574" s="72" t="n">
        <v>45728.45069444444</v>
      </c>
      <c r="C1574" t="inlineStr">
        <is>
          <t>Atlántico</t>
        </is>
      </c>
      <c r="D1574" t="inlineStr">
        <is>
          <t>Barranquilla</t>
        </is>
      </c>
      <c r="E1574" t="inlineStr">
        <is>
          <t>Juguetes</t>
        </is>
      </c>
      <c r="F1574" t="inlineStr">
        <is>
          <t>App</t>
        </is>
      </c>
      <c r="G1574" t="inlineStr">
        <is>
          <t>1. Visita</t>
        </is>
      </c>
      <c r="H1574" t="n">
        <v>5</v>
      </c>
      <c r="I1574" s="73" t="n">
        <v>113100</v>
      </c>
      <c r="J1574" s="73" t="n">
        <v>565500</v>
      </c>
      <c r="K1574" s="73" t="n">
        <v>318939</v>
      </c>
    </row>
    <row r="1575">
      <c r="A1575" t="n">
        <v>12202</v>
      </c>
      <c r="B1575" s="72" t="n">
        <v>45728.75486111111</v>
      </c>
      <c r="C1575" t="inlineStr">
        <is>
          <t>Antioquia</t>
        </is>
      </c>
      <c r="D1575" t="inlineStr">
        <is>
          <t>Medellín</t>
        </is>
      </c>
      <c r="E1575" t="inlineStr">
        <is>
          <t>Deportes</t>
        </is>
      </c>
      <c r="F1575" t="inlineStr">
        <is>
          <t>App</t>
        </is>
      </c>
      <c r="G1575" t="inlineStr">
        <is>
          <t>1. Visita</t>
        </is>
      </c>
      <c r="H1575" t="n">
        <v>2</v>
      </c>
      <c r="I1575" s="73" t="n">
        <v>190900</v>
      </c>
      <c r="J1575" s="73" t="n">
        <v>381800</v>
      </c>
      <c r="K1575" s="73" t="n">
        <v>232355</v>
      </c>
    </row>
    <row r="1576">
      <c r="A1576" t="n">
        <v>11644</v>
      </c>
      <c r="B1576" s="72" t="n">
        <v>45728.84930555556</v>
      </c>
      <c r="C1576" t="inlineStr">
        <is>
          <t>Meta</t>
        </is>
      </c>
      <c r="D1576" t="inlineStr">
        <is>
          <t>Villavicencio</t>
        </is>
      </c>
      <c r="E1576" t="inlineStr">
        <is>
          <t>Moda</t>
        </is>
      </c>
      <c r="F1576" t="inlineStr">
        <is>
          <t>Tienda física</t>
        </is>
      </c>
      <c r="G1576" t="inlineStr">
        <is>
          <t>4. Compra</t>
        </is>
      </c>
      <c r="H1576" t="n">
        <v>5</v>
      </c>
      <c r="I1576" s="73" t="n">
        <v>104100</v>
      </c>
      <c r="J1576" s="73" t="n">
        <v>520500</v>
      </c>
      <c r="K1576" s="73" t="n">
        <v>330908</v>
      </c>
    </row>
    <row r="1577">
      <c r="A1577" t="n">
        <v>11652</v>
      </c>
      <c r="B1577" s="72" t="n">
        <v>45729.53819444445</v>
      </c>
      <c r="C1577" t="inlineStr">
        <is>
          <t>Atlántico</t>
        </is>
      </c>
      <c r="D1577" t="inlineStr">
        <is>
          <t>Barranquilla</t>
        </is>
      </c>
      <c r="E1577" t="inlineStr">
        <is>
          <t>Deportes</t>
        </is>
      </c>
      <c r="F1577" t="inlineStr">
        <is>
          <t>Web</t>
        </is>
      </c>
      <c r="G1577" t="inlineStr">
        <is>
          <t>2. Carrito</t>
        </is>
      </c>
      <c r="H1577" t="n">
        <v>3</v>
      </c>
      <c r="I1577" s="73" t="n">
        <v>202200</v>
      </c>
      <c r="J1577" s="73" t="n">
        <v>606600</v>
      </c>
      <c r="K1577" s="73" t="n">
        <v>344535</v>
      </c>
    </row>
    <row r="1578">
      <c r="A1578" t="n">
        <v>11681</v>
      </c>
      <c r="B1578" s="72" t="n">
        <v>45729.55833333333</v>
      </c>
      <c r="C1578" t="inlineStr">
        <is>
          <t>Valle del Cauca</t>
        </is>
      </c>
      <c r="D1578" t="inlineStr">
        <is>
          <t>Cali</t>
        </is>
      </c>
      <c r="E1578" t="inlineStr">
        <is>
          <t>Belleza</t>
        </is>
      </c>
      <c r="F1578" t="inlineStr">
        <is>
          <t>App</t>
        </is>
      </c>
      <c r="G1578" t="inlineStr">
        <is>
          <t>3. Pago</t>
        </is>
      </c>
      <c r="H1578" t="n">
        <v>5</v>
      </c>
      <c r="I1578" s="73" t="n">
        <v>63100</v>
      </c>
      <c r="J1578" s="73" t="n">
        <v>315500</v>
      </c>
      <c r="K1578" s="73" t="n">
        <v>218654</v>
      </c>
    </row>
    <row r="1579">
      <c r="A1579" t="n">
        <v>11523</v>
      </c>
      <c r="B1579" s="72" t="n">
        <v>45729.72361111111</v>
      </c>
      <c r="C1579" t="inlineStr">
        <is>
          <t>Santander</t>
        </is>
      </c>
      <c r="D1579" t="inlineStr">
        <is>
          <t>Bucaramanga</t>
        </is>
      </c>
      <c r="E1579" t="inlineStr">
        <is>
          <t>Hogar</t>
        </is>
      </c>
      <c r="F1579" t="inlineStr">
        <is>
          <t>App</t>
        </is>
      </c>
      <c r="G1579" t="inlineStr">
        <is>
          <t>4. Compra</t>
        </is>
      </c>
      <c r="H1579" t="n">
        <v>2</v>
      </c>
      <c r="I1579" s="73" t="n">
        <v>232700</v>
      </c>
      <c r="J1579" s="73" t="n">
        <v>465400</v>
      </c>
      <c r="K1579" s="73" t="n">
        <v>270600</v>
      </c>
    </row>
    <row r="1580">
      <c r="A1580" t="n">
        <v>12100</v>
      </c>
      <c r="B1580" s="72" t="n">
        <v>45729.75138888889</v>
      </c>
      <c r="C1580" t="inlineStr">
        <is>
          <t>Antioquia</t>
        </is>
      </c>
      <c r="D1580" t="inlineStr">
        <is>
          <t>Medellín</t>
        </is>
      </c>
      <c r="E1580" t="inlineStr">
        <is>
          <t>Belleza</t>
        </is>
      </c>
      <c r="F1580" t="inlineStr">
        <is>
          <t>App</t>
        </is>
      </c>
      <c r="G1580" t="inlineStr">
        <is>
          <t>1. Visita</t>
        </is>
      </c>
      <c r="H1580" t="n">
        <v>2</v>
      </c>
      <c r="I1580" s="73" t="n">
        <v>74900</v>
      </c>
      <c r="J1580" s="73" t="n">
        <v>149800</v>
      </c>
      <c r="K1580" s="73" t="n">
        <v>97639</v>
      </c>
    </row>
    <row r="1581">
      <c r="A1581" t="n">
        <v>10074</v>
      </c>
      <c r="B1581" s="72" t="n">
        <v>45729.79375</v>
      </c>
      <c r="C1581" t="inlineStr">
        <is>
          <t>Bogotá D.C.</t>
        </is>
      </c>
      <c r="D1581" t="inlineStr">
        <is>
          <t>Bogotá</t>
        </is>
      </c>
      <c r="E1581" t="inlineStr">
        <is>
          <t>Juguetes</t>
        </is>
      </c>
      <c r="F1581" t="inlineStr">
        <is>
          <t>Web</t>
        </is>
      </c>
      <c r="G1581" t="inlineStr">
        <is>
          <t>2. Carrito</t>
        </is>
      </c>
      <c r="H1581" t="n">
        <v>4</v>
      </c>
      <c r="I1581" s="73" t="n">
        <v>88100</v>
      </c>
      <c r="J1581" s="73" t="n">
        <v>352400</v>
      </c>
      <c r="K1581" s="73" t="n">
        <v>225045</v>
      </c>
    </row>
    <row r="1582">
      <c r="A1582" t="n">
        <v>12051</v>
      </c>
      <c r="B1582" s="72" t="n">
        <v>45729.84027777778</v>
      </c>
      <c r="C1582" t="inlineStr">
        <is>
          <t>Atlántico</t>
        </is>
      </c>
      <c r="D1582" t="inlineStr">
        <is>
          <t>Barranquilla</t>
        </is>
      </c>
      <c r="E1582" t="inlineStr">
        <is>
          <t>Belleza</t>
        </is>
      </c>
      <c r="F1582" t="inlineStr">
        <is>
          <t>Marketplace</t>
        </is>
      </c>
      <c r="G1582" t="inlineStr">
        <is>
          <t>1. Visita</t>
        </is>
      </c>
      <c r="H1582" t="n">
        <v>4</v>
      </c>
      <c r="I1582" s="73" t="n">
        <v>67100</v>
      </c>
      <c r="J1582" s="73" t="n">
        <v>268400</v>
      </c>
      <c r="K1582" s="73" t="n">
        <v>170828</v>
      </c>
    </row>
    <row r="1583">
      <c r="A1583" t="n">
        <v>10967</v>
      </c>
      <c r="B1583" s="72" t="n">
        <v>45729.84305555555</v>
      </c>
      <c r="C1583" t="inlineStr">
        <is>
          <t>Risaralda</t>
        </is>
      </c>
      <c r="D1583" t="inlineStr">
        <is>
          <t>Pereira</t>
        </is>
      </c>
      <c r="E1583" t="inlineStr">
        <is>
          <t>Juguetes</t>
        </is>
      </c>
      <c r="F1583" t="inlineStr">
        <is>
          <t>Web</t>
        </is>
      </c>
      <c r="G1583" t="inlineStr">
        <is>
          <t>1. Visita</t>
        </is>
      </c>
      <c r="H1583" t="n">
        <v>4</v>
      </c>
      <c r="I1583" s="73" t="n">
        <v>91400</v>
      </c>
      <c r="J1583" s="73" t="n">
        <v>365600</v>
      </c>
      <c r="K1583" s="73" t="n">
        <v>232344</v>
      </c>
    </row>
    <row r="1584">
      <c r="A1584" t="n">
        <v>10569</v>
      </c>
      <c r="B1584" s="72" t="n">
        <v>45729.86736111111</v>
      </c>
      <c r="C1584" t="inlineStr">
        <is>
          <t>Bogotá D.C.</t>
        </is>
      </c>
      <c r="D1584" t="inlineStr">
        <is>
          <t>Bogotá</t>
        </is>
      </c>
      <c r="E1584" t="inlineStr">
        <is>
          <t>Hogar</t>
        </is>
      </c>
      <c r="F1584" t="inlineStr">
        <is>
          <t>App</t>
        </is>
      </c>
      <c r="G1584" t="inlineStr">
        <is>
          <t>4. Compra</t>
        </is>
      </c>
      <c r="H1584" t="n">
        <v>3</v>
      </c>
      <c r="I1584" s="73" t="n">
        <v>263200</v>
      </c>
      <c r="J1584" s="73" t="n">
        <v>789600</v>
      </c>
      <c r="K1584" s="73" t="n">
        <v>562798</v>
      </c>
    </row>
    <row r="1585">
      <c r="A1585" t="n">
        <v>11893</v>
      </c>
      <c r="B1585" s="72" t="n">
        <v>45730.55625</v>
      </c>
      <c r="C1585" t="inlineStr">
        <is>
          <t>Atlántico</t>
        </is>
      </c>
      <c r="D1585" t="inlineStr">
        <is>
          <t>Barranquilla</t>
        </is>
      </c>
      <c r="E1585" t="inlineStr">
        <is>
          <t>Moda</t>
        </is>
      </c>
      <c r="F1585" t="inlineStr">
        <is>
          <t>App</t>
        </is>
      </c>
      <c r="G1585" t="inlineStr">
        <is>
          <t>4. Compra</t>
        </is>
      </c>
      <c r="H1585" t="n">
        <v>5</v>
      </c>
      <c r="I1585" s="73" t="n">
        <v>116000</v>
      </c>
      <c r="J1585" s="73" t="n">
        <v>667000</v>
      </c>
      <c r="K1585" s="73" t="n">
        <v>444292</v>
      </c>
    </row>
    <row r="1586">
      <c r="A1586" t="n">
        <v>11546</v>
      </c>
      <c r="B1586" s="72" t="n">
        <v>45730.79305555556</v>
      </c>
      <c r="C1586" t="inlineStr">
        <is>
          <t>Atlántico</t>
        </is>
      </c>
      <c r="D1586" t="inlineStr">
        <is>
          <t>Barranquilla</t>
        </is>
      </c>
      <c r="E1586" t="inlineStr">
        <is>
          <t>Juguetes</t>
        </is>
      </c>
      <c r="F1586" t="inlineStr">
        <is>
          <t>Web</t>
        </is>
      </c>
      <c r="G1586" t="inlineStr">
        <is>
          <t>1. Visita</t>
        </is>
      </c>
      <c r="H1586" t="n">
        <v>1</v>
      </c>
      <c r="I1586" s="73" t="n">
        <v>78400</v>
      </c>
      <c r="J1586" s="73" t="n">
        <v>90160</v>
      </c>
      <c r="K1586" s="73" t="n">
        <v>50175</v>
      </c>
    </row>
    <row r="1587">
      <c r="A1587" t="n">
        <v>11361</v>
      </c>
      <c r="B1587" s="72" t="n">
        <v>45730.94444444445</v>
      </c>
      <c r="C1587" t="inlineStr">
        <is>
          <t>Bogotá D.C.</t>
        </is>
      </c>
      <c r="D1587" t="inlineStr">
        <is>
          <t>Bogotá</t>
        </is>
      </c>
      <c r="E1587" t="inlineStr">
        <is>
          <t>Belleza</t>
        </is>
      </c>
      <c r="F1587" t="inlineStr">
        <is>
          <t>Web</t>
        </is>
      </c>
      <c r="G1587" t="inlineStr">
        <is>
          <t>1. Visita</t>
        </is>
      </c>
      <c r="H1587" t="n">
        <v>5</v>
      </c>
      <c r="I1587" s="73" t="n">
        <v>87600</v>
      </c>
      <c r="J1587" s="73" t="n">
        <v>503700</v>
      </c>
      <c r="K1587" s="73" t="n">
        <v>283835</v>
      </c>
    </row>
    <row r="1588">
      <c r="A1588" t="n">
        <v>10009</v>
      </c>
      <c r="B1588" s="72" t="n">
        <v>45731.44722222222</v>
      </c>
      <c r="C1588" t="inlineStr">
        <is>
          <t>Antioquia</t>
        </is>
      </c>
      <c r="D1588" t="inlineStr">
        <is>
          <t>Medellín</t>
        </is>
      </c>
      <c r="E1588" t="inlineStr">
        <is>
          <t>Tecnología</t>
        </is>
      </c>
      <c r="F1588" t="inlineStr">
        <is>
          <t>Web</t>
        </is>
      </c>
      <c r="G1588" t="inlineStr">
        <is>
          <t>3. Pago</t>
        </is>
      </c>
      <c r="H1588" t="n">
        <v>3</v>
      </c>
      <c r="I1588" s="73" t="n">
        <v>1051800</v>
      </c>
      <c r="J1588" s="73" t="n">
        <v>3628710</v>
      </c>
      <c r="K1588" s="73" t="n">
        <v>2133805</v>
      </c>
    </row>
    <row r="1589">
      <c r="A1589" t="n">
        <v>10727</v>
      </c>
      <c r="B1589" s="72" t="n">
        <v>45731.60694444444</v>
      </c>
      <c r="C1589" t="inlineStr">
        <is>
          <t>Risaralda</t>
        </is>
      </c>
      <c r="D1589" t="inlineStr">
        <is>
          <t>Pereira</t>
        </is>
      </c>
      <c r="E1589" t="inlineStr">
        <is>
          <t>Hogar</t>
        </is>
      </c>
      <c r="F1589" t="inlineStr">
        <is>
          <t>Web</t>
        </is>
      </c>
      <c r="G1589" t="inlineStr">
        <is>
          <t>4. Compra</t>
        </is>
      </c>
      <c r="H1589" t="n">
        <v>4</v>
      </c>
      <c r="I1589" s="73" t="n">
        <v>204000</v>
      </c>
      <c r="J1589" s="73" t="n">
        <v>938400</v>
      </c>
      <c r="K1589" s="73" t="n">
        <v>670106</v>
      </c>
    </row>
    <row r="1590">
      <c r="A1590" t="n">
        <v>11659</v>
      </c>
      <c r="B1590" s="72" t="n">
        <v>45731.79930555556</v>
      </c>
      <c r="C1590" t="inlineStr">
        <is>
          <t>Bogotá D.C.</t>
        </is>
      </c>
      <c r="D1590" t="inlineStr">
        <is>
          <t>Bogotá</t>
        </is>
      </c>
      <c r="E1590" t="inlineStr">
        <is>
          <t>Moda</t>
        </is>
      </c>
      <c r="F1590" t="inlineStr">
        <is>
          <t>Web</t>
        </is>
      </c>
      <c r="G1590" t="inlineStr">
        <is>
          <t>1. Visita</t>
        </is>
      </c>
      <c r="H1590" t="n">
        <v>1</v>
      </c>
      <c r="I1590" s="73" t="n">
        <v>136700</v>
      </c>
      <c r="J1590" s="73" t="n">
        <v>157205</v>
      </c>
      <c r="K1590" s="73" t="n">
        <v>87167</v>
      </c>
    </row>
    <row r="1591">
      <c r="A1591" t="n">
        <v>11303</v>
      </c>
      <c r="B1591" s="72" t="n">
        <v>45731.81458333333</v>
      </c>
      <c r="C1591" t="inlineStr">
        <is>
          <t>Bolívar</t>
        </is>
      </c>
      <c r="D1591" t="inlineStr">
        <is>
          <t>Cartagena</t>
        </is>
      </c>
      <c r="E1591" t="inlineStr">
        <is>
          <t>Juguetes</t>
        </is>
      </c>
      <c r="F1591" t="inlineStr">
        <is>
          <t>App</t>
        </is>
      </c>
      <c r="G1591" t="inlineStr">
        <is>
          <t>4. Compra</t>
        </is>
      </c>
      <c r="H1591" t="n">
        <v>3</v>
      </c>
      <c r="I1591" s="73" t="n">
        <v>77400</v>
      </c>
      <c r="J1591" s="73" t="n">
        <v>267030</v>
      </c>
      <c r="K1591" s="73" t="n">
        <v>190304</v>
      </c>
    </row>
    <row r="1592">
      <c r="A1592" t="n">
        <v>10208</v>
      </c>
      <c r="B1592" s="72" t="n">
        <v>45732.6125</v>
      </c>
      <c r="C1592" t="inlineStr">
        <is>
          <t>Santander</t>
        </is>
      </c>
      <c r="D1592" t="inlineStr">
        <is>
          <t>Bucaramanga</t>
        </is>
      </c>
      <c r="E1592" t="inlineStr">
        <is>
          <t>Hogar</t>
        </is>
      </c>
      <c r="F1592" t="inlineStr">
        <is>
          <t>Tienda física</t>
        </is>
      </c>
      <c r="G1592" t="inlineStr">
        <is>
          <t>4. Compra</t>
        </is>
      </c>
      <c r="H1592" t="n">
        <v>4</v>
      </c>
      <c r="I1592" s="73" t="n">
        <v>168700</v>
      </c>
      <c r="J1592" s="73" t="n">
        <v>776020</v>
      </c>
      <c r="K1592" s="73" t="n">
        <v>533536</v>
      </c>
    </row>
    <row r="1593">
      <c r="A1593" t="n">
        <v>11537</v>
      </c>
      <c r="B1593" s="72" t="n">
        <v>45732.72430555556</v>
      </c>
      <c r="C1593" t="inlineStr">
        <is>
          <t>Antioquia</t>
        </is>
      </c>
      <c r="D1593" t="inlineStr">
        <is>
          <t>Medellín</t>
        </is>
      </c>
      <c r="E1593" t="inlineStr">
        <is>
          <t>Belleza</t>
        </is>
      </c>
      <c r="F1593" t="inlineStr">
        <is>
          <t>Web</t>
        </is>
      </c>
      <c r="G1593" t="inlineStr">
        <is>
          <t>4. Compra</t>
        </is>
      </c>
      <c r="H1593" t="n">
        <v>4</v>
      </c>
      <c r="I1593" s="73" t="n">
        <v>78700</v>
      </c>
      <c r="J1593" s="73" t="n">
        <v>362020</v>
      </c>
      <c r="K1593" s="73" t="n">
        <v>249006</v>
      </c>
    </row>
    <row r="1594">
      <c r="A1594" t="n">
        <v>11894</v>
      </c>
      <c r="B1594" s="72" t="n">
        <v>45732.84236111111</v>
      </c>
      <c r="C1594" t="inlineStr">
        <is>
          <t>Bogotá D.C.</t>
        </is>
      </c>
      <c r="D1594" t="inlineStr">
        <is>
          <t>Bogotá</t>
        </is>
      </c>
      <c r="E1594" t="inlineStr">
        <is>
          <t>Hogar</t>
        </is>
      </c>
      <c r="F1594" t="inlineStr">
        <is>
          <t>App</t>
        </is>
      </c>
      <c r="G1594" t="inlineStr">
        <is>
          <t>3. Pago</t>
        </is>
      </c>
      <c r="H1594" t="n">
        <v>1</v>
      </c>
      <c r="I1594" s="73" t="n">
        <v>187800</v>
      </c>
      <c r="J1594" s="73" t="n">
        <v>215970</v>
      </c>
      <c r="K1594" s="73" t="n">
        <v>131599</v>
      </c>
    </row>
    <row r="1595">
      <c r="A1595" t="n">
        <v>12268</v>
      </c>
      <c r="B1595" s="72" t="n">
        <v>45733.38541666666</v>
      </c>
      <c r="C1595" t="inlineStr">
        <is>
          <t>Valle del Cauca</t>
        </is>
      </c>
      <c r="D1595" t="inlineStr">
        <is>
          <t>Cali</t>
        </is>
      </c>
      <c r="E1595" t="inlineStr">
        <is>
          <t>Belleza</t>
        </is>
      </c>
      <c r="F1595" t="inlineStr">
        <is>
          <t>Web</t>
        </is>
      </c>
      <c r="G1595" t="inlineStr">
        <is>
          <t>3. Pago</t>
        </is>
      </c>
      <c r="H1595" t="n">
        <v>3</v>
      </c>
      <c r="I1595" s="73" t="n">
        <v>70500</v>
      </c>
      <c r="J1595" s="73" t="n">
        <v>211500</v>
      </c>
      <c r="K1595" s="73" t="n">
        <v>137098</v>
      </c>
    </row>
    <row r="1596">
      <c r="A1596" t="n">
        <v>11718</v>
      </c>
      <c r="B1596" s="72" t="n">
        <v>45733.45763888889</v>
      </c>
      <c r="C1596" t="inlineStr">
        <is>
          <t>Bogotá D.C.</t>
        </is>
      </c>
      <c r="D1596" t="inlineStr">
        <is>
          <t>Bogotá</t>
        </is>
      </c>
      <c r="E1596" t="inlineStr">
        <is>
          <t>Belleza</t>
        </is>
      </c>
      <c r="F1596" t="inlineStr">
        <is>
          <t>Tienda física</t>
        </is>
      </c>
      <c r="G1596" t="inlineStr">
        <is>
          <t>2. Carrito</t>
        </is>
      </c>
      <c r="H1596" t="n">
        <v>2</v>
      </c>
      <c r="I1596" s="73" t="n">
        <v>64500</v>
      </c>
      <c r="J1596" s="73" t="n">
        <v>129000</v>
      </c>
      <c r="K1596" s="73" t="n">
        <v>75609</v>
      </c>
    </row>
    <row r="1597">
      <c r="A1597" t="n">
        <v>10679</v>
      </c>
      <c r="B1597" s="72" t="n">
        <v>45733.46527777778</v>
      </c>
      <c r="C1597" t="inlineStr">
        <is>
          <t>Antioquia</t>
        </is>
      </c>
      <c r="D1597" t="inlineStr">
        <is>
          <t>Medellín</t>
        </is>
      </c>
      <c r="E1597" t="inlineStr">
        <is>
          <t>Belleza</t>
        </is>
      </c>
      <c r="F1597" t="inlineStr">
        <is>
          <t>Tienda física</t>
        </is>
      </c>
      <c r="G1597" t="inlineStr">
        <is>
          <t>2. Carrito</t>
        </is>
      </c>
      <c r="H1597" t="n">
        <v>5</v>
      </c>
      <c r="I1597" s="73" t="n">
        <v>66600</v>
      </c>
      <c r="J1597" s="73" t="n">
        <v>333000</v>
      </c>
      <c r="K1597" s="73" t="n">
        <v>236014</v>
      </c>
    </row>
    <row r="1598">
      <c r="A1598" t="n">
        <v>11807</v>
      </c>
      <c r="B1598" s="72" t="n">
        <v>45733.54791666667</v>
      </c>
      <c r="C1598" t="inlineStr">
        <is>
          <t>Atlántico</t>
        </is>
      </c>
      <c r="D1598" t="inlineStr">
        <is>
          <t>Barranquilla</t>
        </is>
      </c>
      <c r="E1598" t="inlineStr">
        <is>
          <t>Moda</t>
        </is>
      </c>
      <c r="F1598" t="inlineStr">
        <is>
          <t>App</t>
        </is>
      </c>
      <c r="G1598" t="inlineStr">
        <is>
          <t>2. Carrito</t>
        </is>
      </c>
      <c r="H1598" t="n">
        <v>4</v>
      </c>
      <c r="I1598" s="73" t="n">
        <v>155500</v>
      </c>
      <c r="J1598" s="73" t="n">
        <v>622000</v>
      </c>
      <c r="K1598" s="73" t="n">
        <v>431152</v>
      </c>
    </row>
    <row r="1599">
      <c r="A1599" t="n">
        <v>11821</v>
      </c>
      <c r="B1599" s="72" t="n">
        <v>45733.61736111111</v>
      </c>
      <c r="C1599" t="inlineStr">
        <is>
          <t>Antioquia</t>
        </is>
      </c>
      <c r="D1599" t="inlineStr">
        <is>
          <t>Medellín</t>
        </is>
      </c>
      <c r="E1599" t="inlineStr">
        <is>
          <t>Moda</t>
        </is>
      </c>
      <c r="F1599" t="inlineStr">
        <is>
          <t>App</t>
        </is>
      </c>
      <c r="G1599" t="inlineStr">
        <is>
          <t>4. Compra</t>
        </is>
      </c>
      <c r="H1599" t="n">
        <v>5</v>
      </c>
      <c r="I1599" s="73" t="n">
        <v>121800</v>
      </c>
      <c r="J1599" s="73" t="n">
        <v>609000</v>
      </c>
      <c r="K1599" s="73" t="n">
        <v>376392</v>
      </c>
    </row>
    <row r="1600">
      <c r="A1600" t="n">
        <v>11271</v>
      </c>
      <c r="B1600" s="72" t="n">
        <v>45733.65555555555</v>
      </c>
      <c r="C1600" t="inlineStr">
        <is>
          <t>Atlántico</t>
        </is>
      </c>
      <c r="D1600" t="inlineStr">
        <is>
          <t>Barranquilla</t>
        </is>
      </c>
      <c r="E1600" t="inlineStr">
        <is>
          <t>Moda</t>
        </is>
      </c>
      <c r="F1600" t="inlineStr">
        <is>
          <t>Web</t>
        </is>
      </c>
      <c r="G1600" t="inlineStr">
        <is>
          <t>3. Pago</t>
        </is>
      </c>
      <c r="H1600" t="n">
        <v>4</v>
      </c>
      <c r="I1600" s="73" t="n">
        <v>113300</v>
      </c>
      <c r="J1600" s="73" t="n">
        <v>453200</v>
      </c>
      <c r="K1600" s="73" t="n">
        <v>280353</v>
      </c>
    </row>
    <row r="1601">
      <c r="A1601" t="n">
        <v>10023</v>
      </c>
      <c r="B1601" s="72" t="n">
        <v>45733.82916666667</v>
      </c>
      <c r="C1601" t="inlineStr">
        <is>
          <t>Bogotá D.C.</t>
        </is>
      </c>
      <c r="D1601" t="inlineStr">
        <is>
          <t>Bogotá</t>
        </is>
      </c>
      <c r="E1601" t="inlineStr">
        <is>
          <t>Moda</t>
        </is>
      </c>
      <c r="F1601" t="inlineStr">
        <is>
          <t>Tienda física</t>
        </is>
      </c>
      <c r="G1601" t="inlineStr">
        <is>
          <t>1. Visita</t>
        </is>
      </c>
      <c r="H1601" t="n">
        <v>4</v>
      </c>
      <c r="I1601" s="73" t="n">
        <v>108500</v>
      </c>
      <c r="J1601" s="73" t="n">
        <v>434000</v>
      </c>
      <c r="K1601" s="73" t="n">
        <v>252002</v>
      </c>
    </row>
    <row r="1602">
      <c r="A1602" t="n">
        <v>11461</v>
      </c>
      <c r="B1602" s="72" t="n">
        <v>45733.92013888889</v>
      </c>
      <c r="C1602" t="inlineStr">
        <is>
          <t>Antioquia</t>
        </is>
      </c>
      <c r="D1602" t="inlineStr">
        <is>
          <t>Medellín</t>
        </is>
      </c>
      <c r="E1602" t="inlineStr">
        <is>
          <t>Juguetes</t>
        </is>
      </c>
      <c r="F1602" t="inlineStr">
        <is>
          <t>Tienda física</t>
        </is>
      </c>
      <c r="G1602" t="inlineStr">
        <is>
          <t>3. Pago</t>
        </is>
      </c>
      <c r="H1602" t="n">
        <v>3</v>
      </c>
      <c r="I1602" s="73" t="n">
        <v>74900</v>
      </c>
      <c r="J1602" s="73" t="n">
        <v>224700</v>
      </c>
      <c r="K1602" s="73" t="n">
        <v>148713</v>
      </c>
    </row>
    <row r="1603">
      <c r="A1603" t="n">
        <v>12393</v>
      </c>
      <c r="B1603" s="72" t="n">
        <v>45734.46736111111</v>
      </c>
      <c r="C1603" t="inlineStr">
        <is>
          <t>Bolívar</t>
        </is>
      </c>
      <c r="D1603" t="inlineStr">
        <is>
          <t>Cartagena</t>
        </is>
      </c>
      <c r="E1603" t="inlineStr">
        <is>
          <t>Hogar</t>
        </is>
      </c>
      <c r="F1603" t="inlineStr">
        <is>
          <t>App</t>
        </is>
      </c>
      <c r="G1603" t="inlineStr">
        <is>
          <t>4. Compra</t>
        </is>
      </c>
      <c r="H1603" t="n">
        <v>2</v>
      </c>
      <c r="I1603" s="73" t="n">
        <v>266500</v>
      </c>
      <c r="J1603" s="73" t="n">
        <v>533000</v>
      </c>
      <c r="K1603" s="73" t="n">
        <v>361863</v>
      </c>
    </row>
    <row r="1604">
      <c r="A1604" t="n">
        <v>11196</v>
      </c>
      <c r="B1604" s="72" t="n">
        <v>45734.74861111111</v>
      </c>
      <c r="C1604" t="inlineStr">
        <is>
          <t>Antioquia</t>
        </is>
      </c>
      <c r="D1604" t="inlineStr">
        <is>
          <t>Medellín</t>
        </is>
      </c>
      <c r="E1604" t="inlineStr">
        <is>
          <t>Deportes</t>
        </is>
      </c>
      <c r="F1604" t="inlineStr">
        <is>
          <t>Tienda física</t>
        </is>
      </c>
      <c r="G1604" t="inlineStr">
        <is>
          <t>2. Carrito</t>
        </is>
      </c>
      <c r="H1604" t="n">
        <v>3</v>
      </c>
      <c r="I1604" s="73" t="n">
        <v>188000</v>
      </c>
      <c r="J1604" s="73" t="n">
        <v>564000</v>
      </c>
      <c r="K1604" s="73" t="n">
        <v>342178</v>
      </c>
    </row>
    <row r="1605">
      <c r="A1605" t="n">
        <v>10187</v>
      </c>
      <c r="B1605" s="72" t="n">
        <v>45734.77430555555</v>
      </c>
      <c r="C1605" t="inlineStr">
        <is>
          <t>Antioquia</t>
        </is>
      </c>
      <c r="D1605" t="inlineStr">
        <is>
          <t>Medellín</t>
        </is>
      </c>
      <c r="E1605" t="inlineStr">
        <is>
          <t>Tecnología</t>
        </is>
      </c>
      <c r="F1605" t="inlineStr">
        <is>
          <t>Tienda física</t>
        </is>
      </c>
      <c r="G1605" t="inlineStr">
        <is>
          <t>2. Carrito</t>
        </is>
      </c>
      <c r="H1605" t="n">
        <v>3</v>
      </c>
      <c r="I1605" s="73" t="n">
        <v>763000</v>
      </c>
      <c r="J1605" s="73" t="n">
        <v>2289000</v>
      </c>
      <c r="K1605" s="73" t="n">
        <v>1588591</v>
      </c>
    </row>
    <row r="1606">
      <c r="A1606" t="n">
        <v>10108</v>
      </c>
      <c r="B1606" s="72" t="n">
        <v>45735.47986111111</v>
      </c>
      <c r="C1606" t="inlineStr">
        <is>
          <t>Bogotá D.C.</t>
        </is>
      </c>
      <c r="D1606" t="inlineStr">
        <is>
          <t>Bogotá</t>
        </is>
      </c>
      <c r="E1606" t="inlineStr">
        <is>
          <t>Hogar</t>
        </is>
      </c>
      <c r="F1606" t="inlineStr">
        <is>
          <t>Web</t>
        </is>
      </c>
      <c r="G1606" t="inlineStr">
        <is>
          <t>2. Carrito</t>
        </is>
      </c>
      <c r="H1606" t="n">
        <v>5</v>
      </c>
      <c r="I1606" s="73" t="n">
        <v>207200</v>
      </c>
      <c r="J1606" s="73" t="n">
        <v>1036000</v>
      </c>
      <c r="K1606" s="73" t="n">
        <v>759869</v>
      </c>
    </row>
    <row r="1607">
      <c r="A1607" t="n">
        <v>11904</v>
      </c>
      <c r="B1607" s="72" t="n">
        <v>45735.725</v>
      </c>
      <c r="C1607" t="inlineStr">
        <is>
          <t>Bogotá D.C.</t>
        </is>
      </c>
      <c r="D1607" t="inlineStr">
        <is>
          <t>Bogotá</t>
        </is>
      </c>
      <c r="E1607" t="inlineStr">
        <is>
          <t>Tecnología</t>
        </is>
      </c>
      <c r="F1607" t="inlineStr">
        <is>
          <t>Web</t>
        </is>
      </c>
      <c r="G1607" t="inlineStr">
        <is>
          <t>1. Visita</t>
        </is>
      </c>
      <c r="H1607" t="n">
        <v>5</v>
      </c>
      <c r="I1607" s="73" t="n">
        <v>962100</v>
      </c>
      <c r="J1607" s="73" t="n">
        <v>4810500</v>
      </c>
      <c r="K1607" s="73" t="n">
        <v>3103937</v>
      </c>
    </row>
    <row r="1608">
      <c r="A1608" t="n">
        <v>11689</v>
      </c>
      <c r="B1608" s="72" t="n">
        <v>45735.86875</v>
      </c>
      <c r="C1608" t="inlineStr">
        <is>
          <t>Antioquia</t>
        </is>
      </c>
      <c r="D1608" t="inlineStr">
        <is>
          <t>Medellín</t>
        </is>
      </c>
      <c r="E1608" t="inlineStr">
        <is>
          <t>Tecnología</t>
        </is>
      </c>
      <c r="F1608" t="inlineStr">
        <is>
          <t>Web</t>
        </is>
      </c>
      <c r="G1608" t="inlineStr">
        <is>
          <t>1. Visita</t>
        </is>
      </c>
      <c r="H1608" t="n">
        <v>2</v>
      </c>
      <c r="I1608" s="73" t="n">
        <v>907000</v>
      </c>
      <c r="J1608" s="73" t="n">
        <v>1814000</v>
      </c>
      <c r="K1608" s="73" t="n">
        <v>1087894</v>
      </c>
    </row>
    <row r="1609">
      <c r="A1609" t="n">
        <v>11687</v>
      </c>
      <c r="B1609" s="72" t="n">
        <v>45736.35486111111</v>
      </c>
      <c r="C1609" t="inlineStr">
        <is>
          <t>Valle del Cauca</t>
        </is>
      </c>
      <c r="D1609" t="inlineStr">
        <is>
          <t>Cali</t>
        </is>
      </c>
      <c r="E1609" t="inlineStr">
        <is>
          <t>Juguetes</t>
        </is>
      </c>
      <c r="F1609" t="inlineStr">
        <is>
          <t>App</t>
        </is>
      </c>
      <c r="G1609" t="inlineStr">
        <is>
          <t>2. Carrito</t>
        </is>
      </c>
      <c r="H1609" t="n">
        <v>1</v>
      </c>
      <c r="I1609" s="73" t="n">
        <v>72800</v>
      </c>
      <c r="J1609" s="73" t="n">
        <v>72800</v>
      </c>
      <c r="K1609" s="73" t="n">
        <v>47370</v>
      </c>
    </row>
    <row r="1610">
      <c r="A1610" t="n">
        <v>11376</v>
      </c>
      <c r="B1610" s="72" t="n">
        <v>45736.50625</v>
      </c>
      <c r="C1610" t="inlineStr">
        <is>
          <t>Bogotá D.C.</t>
        </is>
      </c>
      <c r="D1610" t="inlineStr">
        <is>
          <t>Bogotá</t>
        </is>
      </c>
      <c r="E1610" t="inlineStr">
        <is>
          <t>Belleza</t>
        </is>
      </c>
      <c r="F1610" t="inlineStr">
        <is>
          <t>Tienda física</t>
        </is>
      </c>
      <c r="G1610" t="inlineStr">
        <is>
          <t>1. Visita</t>
        </is>
      </c>
      <c r="H1610" t="n">
        <v>4</v>
      </c>
      <c r="I1610" s="73" t="n">
        <v>68100</v>
      </c>
      <c r="J1610" s="73" t="n">
        <v>272400</v>
      </c>
      <c r="K1610" s="73" t="n">
        <v>164351</v>
      </c>
    </row>
    <row r="1611">
      <c r="A1611" t="n">
        <v>10499</v>
      </c>
      <c r="B1611" s="72" t="n">
        <v>45736.59652777778</v>
      </c>
      <c r="C1611" t="inlineStr">
        <is>
          <t>Risaralda</t>
        </is>
      </c>
      <c r="D1611" t="inlineStr">
        <is>
          <t>Pereira</t>
        </is>
      </c>
      <c r="E1611" t="inlineStr">
        <is>
          <t>Deportes</t>
        </is>
      </c>
      <c r="F1611" t="inlineStr">
        <is>
          <t>Marketplace</t>
        </is>
      </c>
      <c r="G1611" t="inlineStr">
        <is>
          <t>2. Carrito</t>
        </is>
      </c>
      <c r="H1611" t="n">
        <v>3</v>
      </c>
      <c r="I1611" s="73" t="n">
        <v>200100</v>
      </c>
      <c r="J1611" s="73" t="n">
        <v>600300</v>
      </c>
      <c r="K1611" s="73" t="n">
        <v>358003</v>
      </c>
    </row>
    <row r="1612">
      <c r="A1612" t="n">
        <v>10734</v>
      </c>
      <c r="B1612" s="72" t="n">
        <v>45736.66041666667</v>
      </c>
      <c r="C1612" t="inlineStr">
        <is>
          <t>Bogotá D.C.</t>
        </is>
      </c>
      <c r="D1612" t="inlineStr">
        <is>
          <t>Bogotá</t>
        </is>
      </c>
      <c r="E1612" t="inlineStr">
        <is>
          <t>Juguetes</t>
        </is>
      </c>
      <c r="F1612" t="inlineStr">
        <is>
          <t>App</t>
        </is>
      </c>
      <c r="G1612" t="inlineStr">
        <is>
          <t>4. Compra</t>
        </is>
      </c>
      <c r="H1612" t="n">
        <v>4</v>
      </c>
      <c r="I1612" s="73" t="n">
        <v>105600</v>
      </c>
      <c r="J1612" s="73" t="n">
        <v>422400</v>
      </c>
      <c r="K1612" s="73" t="n">
        <v>315182</v>
      </c>
    </row>
    <row r="1613">
      <c r="A1613" t="n">
        <v>10121</v>
      </c>
      <c r="B1613" s="72" t="n">
        <v>45736.69513888889</v>
      </c>
      <c r="C1613" t="inlineStr">
        <is>
          <t>Valle del Cauca</t>
        </is>
      </c>
      <c r="D1613" t="inlineStr">
        <is>
          <t>Cali</t>
        </is>
      </c>
      <c r="E1613" t="inlineStr">
        <is>
          <t>Juguetes</t>
        </is>
      </c>
      <c r="F1613" t="inlineStr">
        <is>
          <t>Tienda física</t>
        </is>
      </c>
      <c r="G1613" t="inlineStr">
        <is>
          <t>2. Carrito</t>
        </is>
      </c>
      <c r="H1613" t="n">
        <v>1</v>
      </c>
      <c r="I1613" s="73" t="n">
        <v>93400</v>
      </c>
      <c r="J1613" s="73" t="n">
        <v>93400</v>
      </c>
      <c r="K1613" s="73" t="n">
        <v>64059</v>
      </c>
    </row>
    <row r="1614">
      <c r="A1614" t="n">
        <v>10161</v>
      </c>
      <c r="B1614" s="72" t="n">
        <v>45736.91805555556</v>
      </c>
      <c r="C1614" t="inlineStr">
        <is>
          <t>Valle del Cauca</t>
        </is>
      </c>
      <c r="D1614" t="inlineStr">
        <is>
          <t>Cali</t>
        </is>
      </c>
      <c r="E1614" t="inlineStr">
        <is>
          <t>Belleza</t>
        </is>
      </c>
      <c r="F1614" t="inlineStr">
        <is>
          <t>Web</t>
        </is>
      </c>
      <c r="G1614" t="inlineStr">
        <is>
          <t>3. Pago</t>
        </is>
      </c>
      <c r="H1614" t="n">
        <v>1</v>
      </c>
      <c r="I1614" s="73" t="n">
        <v>90300</v>
      </c>
      <c r="J1614" s="73" t="n">
        <v>90300</v>
      </c>
      <c r="K1614" s="73" t="n">
        <v>58378</v>
      </c>
    </row>
    <row r="1615">
      <c r="A1615" t="n">
        <v>10592</v>
      </c>
      <c r="B1615" s="72" t="n">
        <v>45737.27847222222</v>
      </c>
      <c r="C1615" t="inlineStr">
        <is>
          <t>Bogotá D.C.</t>
        </is>
      </c>
      <c r="D1615" t="inlineStr">
        <is>
          <t>Bogotá</t>
        </is>
      </c>
      <c r="E1615" t="inlineStr">
        <is>
          <t>Tecnología</t>
        </is>
      </c>
      <c r="F1615" t="inlineStr">
        <is>
          <t>Web</t>
        </is>
      </c>
      <c r="G1615" t="inlineStr">
        <is>
          <t>1. Visita</t>
        </is>
      </c>
      <c r="H1615" t="n">
        <v>3</v>
      </c>
      <c r="I1615" s="73" t="n">
        <v>848100</v>
      </c>
      <c r="J1615" s="73" t="n">
        <v>2925945</v>
      </c>
      <c r="K1615" s="73" t="n">
        <v>1846313</v>
      </c>
    </row>
    <row r="1616">
      <c r="A1616" t="n">
        <v>10370</v>
      </c>
      <c r="B1616" s="72" t="n">
        <v>45737.35763888889</v>
      </c>
      <c r="C1616" t="inlineStr">
        <is>
          <t>Meta</t>
        </is>
      </c>
      <c r="D1616" t="inlineStr">
        <is>
          <t>Villavicencio</t>
        </is>
      </c>
      <c r="E1616" t="inlineStr">
        <is>
          <t>Deportes</t>
        </is>
      </c>
      <c r="F1616" t="inlineStr">
        <is>
          <t>Tienda física</t>
        </is>
      </c>
      <c r="G1616" t="inlineStr">
        <is>
          <t>2. Carrito</t>
        </is>
      </c>
      <c r="H1616" t="n">
        <v>5</v>
      </c>
      <c r="I1616" s="73" t="n">
        <v>127800</v>
      </c>
      <c r="J1616" s="73" t="n">
        <v>734850</v>
      </c>
      <c r="K1616" s="73" t="n">
        <v>462106</v>
      </c>
    </row>
    <row r="1617">
      <c r="A1617" t="n">
        <v>10371</v>
      </c>
      <c r="B1617" s="72" t="n">
        <v>45737.39930555555</v>
      </c>
      <c r="C1617" t="inlineStr">
        <is>
          <t>Bogotá D.C.</t>
        </is>
      </c>
      <c r="D1617" t="inlineStr">
        <is>
          <t>Bogotá</t>
        </is>
      </c>
      <c r="E1617" t="inlineStr">
        <is>
          <t>Tecnología</t>
        </is>
      </c>
      <c r="F1617" t="inlineStr">
        <is>
          <t>App</t>
        </is>
      </c>
      <c r="G1617" t="inlineStr">
        <is>
          <t>1. Visita</t>
        </is>
      </c>
      <c r="H1617" t="n">
        <v>2</v>
      </c>
      <c r="I1617" s="73" t="n">
        <v>942500</v>
      </c>
      <c r="J1617" s="73" t="n">
        <v>2167750</v>
      </c>
      <c r="K1617" s="73" t="n">
        <v>1317268</v>
      </c>
    </row>
    <row r="1618">
      <c r="A1618" t="n">
        <v>10557</v>
      </c>
      <c r="B1618" s="72" t="n">
        <v>45737.45069444444</v>
      </c>
      <c r="C1618" t="inlineStr">
        <is>
          <t>Valle del Cauca</t>
        </is>
      </c>
      <c r="D1618" t="inlineStr">
        <is>
          <t>Cali</t>
        </is>
      </c>
      <c r="E1618" t="inlineStr">
        <is>
          <t>Juguetes</t>
        </is>
      </c>
      <c r="F1618" t="inlineStr">
        <is>
          <t>Web</t>
        </is>
      </c>
      <c r="G1618" t="inlineStr">
        <is>
          <t>1. Visita</t>
        </is>
      </c>
      <c r="H1618" t="n">
        <v>2</v>
      </c>
      <c r="I1618" s="73" t="n">
        <v>98500</v>
      </c>
      <c r="J1618" s="73" t="n">
        <v>226550</v>
      </c>
      <c r="K1618" s="73" t="n">
        <v>145518</v>
      </c>
    </row>
    <row r="1619">
      <c r="A1619" t="n">
        <v>10918</v>
      </c>
      <c r="B1619" s="72" t="n">
        <v>45737.55763888889</v>
      </c>
      <c r="C1619" t="inlineStr">
        <is>
          <t>Atlántico</t>
        </is>
      </c>
      <c r="D1619" t="inlineStr">
        <is>
          <t>Barranquilla</t>
        </is>
      </c>
      <c r="E1619" t="inlineStr">
        <is>
          <t>Moda</t>
        </is>
      </c>
      <c r="F1619" t="inlineStr">
        <is>
          <t>Web</t>
        </is>
      </c>
      <c r="G1619" t="inlineStr">
        <is>
          <t>1. Visita</t>
        </is>
      </c>
      <c r="H1619" t="n">
        <v>4</v>
      </c>
      <c r="I1619" s="73" t="n">
        <v>125900</v>
      </c>
      <c r="J1619" s="73" t="n">
        <v>579140</v>
      </c>
      <c r="K1619" s="73" t="n">
        <v>365643</v>
      </c>
    </row>
    <row r="1620">
      <c r="A1620" t="n">
        <v>10952</v>
      </c>
      <c r="B1620" s="72" t="n">
        <v>45737.74305555555</v>
      </c>
      <c r="C1620" t="inlineStr">
        <is>
          <t>Antioquia</t>
        </is>
      </c>
      <c r="D1620" t="inlineStr">
        <is>
          <t>Medellín</t>
        </is>
      </c>
      <c r="E1620" t="inlineStr">
        <is>
          <t>Moda</t>
        </is>
      </c>
      <c r="F1620" t="inlineStr">
        <is>
          <t>Web</t>
        </is>
      </c>
      <c r="G1620" t="inlineStr">
        <is>
          <t>1. Visita</t>
        </is>
      </c>
      <c r="H1620" t="n">
        <v>1</v>
      </c>
      <c r="I1620" s="73" t="n">
        <v>147900</v>
      </c>
      <c r="J1620" s="73" t="n">
        <v>170085</v>
      </c>
      <c r="K1620" s="73" t="n">
        <v>107654</v>
      </c>
    </row>
    <row r="1621">
      <c r="A1621" t="n">
        <v>10390</v>
      </c>
      <c r="B1621" s="72" t="n">
        <v>45737.99513888889</v>
      </c>
      <c r="C1621" t="inlineStr">
        <is>
          <t>Antioquia</t>
        </is>
      </c>
      <c r="D1621" t="inlineStr">
        <is>
          <t>Medellín</t>
        </is>
      </c>
      <c r="E1621" t="inlineStr">
        <is>
          <t>Hogar</t>
        </is>
      </c>
      <c r="F1621" t="inlineStr">
        <is>
          <t>Web</t>
        </is>
      </c>
      <c r="G1621" t="inlineStr">
        <is>
          <t>1. Visita</t>
        </is>
      </c>
      <c r="H1621" t="n">
        <v>2</v>
      </c>
      <c r="I1621" s="73" t="n">
        <v>231900</v>
      </c>
      <c r="J1621" s="73" t="n">
        <v>533370</v>
      </c>
      <c r="K1621" s="73" t="n">
        <v>390015</v>
      </c>
    </row>
    <row r="1622">
      <c r="A1622" t="n">
        <v>11011</v>
      </c>
      <c r="B1622" s="72" t="n">
        <v>45738.51944444444</v>
      </c>
      <c r="C1622" t="inlineStr">
        <is>
          <t>Antioquia</t>
        </is>
      </c>
      <c r="D1622" t="inlineStr">
        <is>
          <t>Medellín</t>
        </is>
      </c>
      <c r="E1622" t="inlineStr">
        <is>
          <t>Juguetes</t>
        </is>
      </c>
      <c r="F1622" t="inlineStr">
        <is>
          <t>Marketplace</t>
        </is>
      </c>
      <c r="G1622" t="inlineStr">
        <is>
          <t>3. Pago</t>
        </is>
      </c>
      <c r="H1622" t="n">
        <v>5</v>
      </c>
      <c r="I1622" s="73" t="n">
        <v>101000</v>
      </c>
      <c r="J1622" s="73" t="n">
        <v>580750</v>
      </c>
      <c r="K1622" s="73" t="n">
        <v>389606</v>
      </c>
    </row>
    <row r="1623">
      <c r="A1623" t="n">
        <v>11820</v>
      </c>
      <c r="B1623" s="72" t="n">
        <v>45738.83194444444</v>
      </c>
      <c r="C1623" t="inlineStr">
        <is>
          <t>Bolívar</t>
        </is>
      </c>
      <c r="D1623" t="inlineStr">
        <is>
          <t>Cartagena</t>
        </is>
      </c>
      <c r="E1623" t="inlineStr">
        <is>
          <t>Juguetes</t>
        </is>
      </c>
      <c r="F1623" t="inlineStr">
        <is>
          <t>Web</t>
        </is>
      </c>
      <c r="G1623" t="inlineStr">
        <is>
          <t>1. Visita</t>
        </is>
      </c>
      <c r="H1623" t="n">
        <v>3</v>
      </c>
      <c r="I1623" s="73" t="n">
        <v>67700</v>
      </c>
      <c r="J1623" s="73" t="n">
        <v>233565</v>
      </c>
      <c r="K1623" s="73" t="n">
        <v>170461</v>
      </c>
    </row>
    <row r="1624">
      <c r="A1624" t="n">
        <v>11184</v>
      </c>
      <c r="B1624" s="72" t="n">
        <v>45738.88263888889</v>
      </c>
      <c r="C1624" t="inlineStr">
        <is>
          <t>Santander</t>
        </is>
      </c>
      <c r="D1624" t="inlineStr">
        <is>
          <t>Bucaramanga</t>
        </is>
      </c>
      <c r="E1624" t="inlineStr">
        <is>
          <t>Deportes</t>
        </is>
      </c>
      <c r="F1624" t="inlineStr">
        <is>
          <t>App</t>
        </is>
      </c>
      <c r="G1624" t="inlineStr">
        <is>
          <t>2. Carrito</t>
        </is>
      </c>
      <c r="H1624" t="n">
        <v>5</v>
      </c>
      <c r="I1624" s="73" t="n">
        <v>131100</v>
      </c>
      <c r="J1624" s="73" t="n">
        <v>753825</v>
      </c>
      <c r="K1624" s="73" t="n">
        <v>417330</v>
      </c>
    </row>
    <row r="1625">
      <c r="A1625" t="n">
        <v>12193</v>
      </c>
      <c r="B1625" s="72" t="n">
        <v>45738.95416666667</v>
      </c>
      <c r="C1625" t="inlineStr">
        <is>
          <t>Nariño</t>
        </is>
      </c>
      <c r="D1625" t="inlineStr">
        <is>
          <t>Pasto</t>
        </is>
      </c>
      <c r="E1625" t="inlineStr">
        <is>
          <t>Deportes</t>
        </is>
      </c>
      <c r="F1625" t="inlineStr">
        <is>
          <t>Tienda física</t>
        </is>
      </c>
      <c r="G1625" t="inlineStr">
        <is>
          <t>3. Pago</t>
        </is>
      </c>
      <c r="H1625" t="n">
        <v>1</v>
      </c>
      <c r="I1625" s="73" t="n">
        <v>156700</v>
      </c>
      <c r="J1625" s="73" t="n">
        <v>180205</v>
      </c>
      <c r="K1625" s="73" t="n">
        <v>116555</v>
      </c>
    </row>
    <row r="1626">
      <c r="A1626" t="n">
        <v>12059</v>
      </c>
      <c r="B1626" s="72" t="n">
        <v>45739.44513888889</v>
      </c>
      <c r="C1626" t="inlineStr">
        <is>
          <t>Atlántico</t>
        </is>
      </c>
      <c r="D1626" t="inlineStr">
        <is>
          <t>Barranquilla</t>
        </is>
      </c>
      <c r="E1626" t="inlineStr">
        <is>
          <t>Deportes</t>
        </is>
      </c>
      <c r="F1626" t="inlineStr">
        <is>
          <t>App</t>
        </is>
      </c>
      <c r="G1626" t="inlineStr">
        <is>
          <t>4. Compra</t>
        </is>
      </c>
      <c r="H1626" t="n">
        <v>4</v>
      </c>
      <c r="I1626" s="73" t="n">
        <v>205700</v>
      </c>
      <c r="J1626" s="73" t="n">
        <v>946220</v>
      </c>
      <c r="K1626" s="73" t="n">
        <v>659640</v>
      </c>
    </row>
    <row r="1627">
      <c r="A1627" t="n">
        <v>10790</v>
      </c>
      <c r="B1627" s="72" t="n">
        <v>45739.78472222222</v>
      </c>
      <c r="C1627" t="inlineStr">
        <is>
          <t>Santander</t>
        </is>
      </c>
      <c r="D1627" t="inlineStr">
        <is>
          <t>Bucaramanga</t>
        </is>
      </c>
      <c r="E1627" t="inlineStr">
        <is>
          <t>Juguetes</t>
        </is>
      </c>
      <c r="F1627" t="inlineStr">
        <is>
          <t>Tienda física</t>
        </is>
      </c>
      <c r="G1627" t="inlineStr">
        <is>
          <t>2. Carrito</t>
        </is>
      </c>
      <c r="H1627" t="n">
        <v>1</v>
      </c>
      <c r="I1627" s="73" t="n">
        <v>111700</v>
      </c>
      <c r="J1627" s="73" t="n">
        <v>128455</v>
      </c>
      <c r="K1627" s="73" t="n">
        <v>81899</v>
      </c>
    </row>
    <row r="1628">
      <c r="A1628" t="n">
        <v>10587</v>
      </c>
      <c r="B1628" s="72" t="n">
        <v>45739.82013888889</v>
      </c>
      <c r="C1628" t="inlineStr">
        <is>
          <t>Valle del Cauca</t>
        </is>
      </c>
      <c r="D1628" t="inlineStr">
        <is>
          <t>Cali</t>
        </is>
      </c>
      <c r="E1628" t="inlineStr">
        <is>
          <t>Juguetes</t>
        </is>
      </c>
      <c r="F1628" t="inlineStr">
        <is>
          <t>Tienda física</t>
        </is>
      </c>
      <c r="G1628" t="inlineStr">
        <is>
          <t>2. Carrito</t>
        </is>
      </c>
      <c r="H1628" t="n">
        <v>5</v>
      </c>
      <c r="I1628" s="73" t="n">
        <v>109700</v>
      </c>
      <c r="J1628" s="73" t="n">
        <v>630775</v>
      </c>
      <c r="K1628" s="73" t="n">
        <v>405643</v>
      </c>
    </row>
    <row r="1629">
      <c r="A1629" t="n">
        <v>12257</v>
      </c>
      <c r="B1629" s="72" t="n">
        <v>45740.32430555556</v>
      </c>
      <c r="C1629" t="inlineStr">
        <is>
          <t>Antioquia</t>
        </is>
      </c>
      <c r="D1629" t="inlineStr">
        <is>
          <t>Medellín</t>
        </is>
      </c>
      <c r="E1629" t="inlineStr">
        <is>
          <t>Hogar</t>
        </is>
      </c>
      <c r="F1629" t="inlineStr">
        <is>
          <t>Tienda física</t>
        </is>
      </c>
      <c r="G1629" t="inlineStr">
        <is>
          <t>3. Pago</t>
        </is>
      </c>
      <c r="H1629" t="n">
        <v>1</v>
      </c>
      <c r="I1629" s="73" t="n">
        <v>244900</v>
      </c>
      <c r="J1629" s="73" t="n">
        <v>244900</v>
      </c>
      <c r="K1629" s="73" t="n">
        <v>175119</v>
      </c>
    </row>
    <row r="1630">
      <c r="A1630" t="n">
        <v>11022</v>
      </c>
      <c r="B1630" s="72" t="n">
        <v>45740.70763888889</v>
      </c>
      <c r="C1630" t="inlineStr">
        <is>
          <t>Atlántico</t>
        </is>
      </c>
      <c r="D1630" t="inlineStr">
        <is>
          <t>Barranquilla</t>
        </is>
      </c>
      <c r="E1630" t="inlineStr">
        <is>
          <t>Juguetes</t>
        </is>
      </c>
      <c r="F1630" t="inlineStr">
        <is>
          <t>Web</t>
        </is>
      </c>
      <c r="G1630" t="inlineStr">
        <is>
          <t>1. Visita</t>
        </is>
      </c>
      <c r="H1630" t="n">
        <v>1</v>
      </c>
      <c r="I1630" s="73" t="n">
        <v>103900</v>
      </c>
      <c r="J1630" s="73" t="n">
        <v>103900</v>
      </c>
      <c r="K1630" s="73" t="n">
        <v>74456</v>
      </c>
    </row>
    <row r="1631">
      <c r="A1631" t="n">
        <v>11780</v>
      </c>
      <c r="B1631" s="72" t="n">
        <v>45741.41319444445</v>
      </c>
      <c r="C1631" t="inlineStr">
        <is>
          <t>Antioquia</t>
        </is>
      </c>
      <c r="D1631" t="inlineStr">
        <is>
          <t>Medellín</t>
        </is>
      </c>
      <c r="E1631" t="inlineStr">
        <is>
          <t>Deportes</t>
        </is>
      </c>
      <c r="F1631" t="inlineStr">
        <is>
          <t>App</t>
        </is>
      </c>
      <c r="G1631" t="inlineStr">
        <is>
          <t>2. Carrito</t>
        </is>
      </c>
      <c r="H1631" t="n">
        <v>4</v>
      </c>
      <c r="I1631" s="73" t="n">
        <v>175200</v>
      </c>
      <c r="J1631" s="73" t="n">
        <v>700800</v>
      </c>
      <c r="K1631" s="73" t="n">
        <v>463313</v>
      </c>
    </row>
    <row r="1632">
      <c r="A1632" t="n">
        <v>11203</v>
      </c>
      <c r="B1632" s="72" t="n">
        <v>45741.4625</v>
      </c>
      <c r="C1632" t="inlineStr">
        <is>
          <t>Bolívar</t>
        </is>
      </c>
      <c r="D1632" t="inlineStr">
        <is>
          <t>Cartagena</t>
        </is>
      </c>
      <c r="E1632" t="inlineStr">
        <is>
          <t>Deportes</t>
        </is>
      </c>
      <c r="F1632" t="inlineStr">
        <is>
          <t>App</t>
        </is>
      </c>
      <c r="G1632" t="inlineStr">
        <is>
          <t>1. Visita</t>
        </is>
      </c>
      <c r="H1632" t="n">
        <v>4</v>
      </c>
      <c r="I1632" s="73" t="n">
        <v>173500</v>
      </c>
      <c r="J1632" s="73" t="n">
        <v>694000</v>
      </c>
      <c r="K1632" s="73" t="n">
        <v>388631</v>
      </c>
    </row>
    <row r="1633">
      <c r="A1633" t="n">
        <v>12055</v>
      </c>
      <c r="B1633" s="72" t="n">
        <v>45741.80416666667</v>
      </c>
      <c r="C1633" t="inlineStr">
        <is>
          <t>Santander</t>
        </is>
      </c>
      <c r="D1633" t="inlineStr">
        <is>
          <t>Bucaramanga</t>
        </is>
      </c>
      <c r="E1633" t="inlineStr">
        <is>
          <t>Tecnología</t>
        </is>
      </c>
      <c r="F1633" t="inlineStr">
        <is>
          <t>Marketplace</t>
        </is>
      </c>
      <c r="G1633" t="inlineStr">
        <is>
          <t>1. Visita</t>
        </is>
      </c>
      <c r="H1633" t="n">
        <v>1</v>
      </c>
      <c r="I1633" s="73" t="n">
        <v>703600</v>
      </c>
      <c r="J1633" s="73" t="n">
        <v>703600</v>
      </c>
      <c r="K1633" s="73" t="n">
        <v>413571</v>
      </c>
    </row>
    <row r="1634">
      <c r="A1634" t="n">
        <v>10133</v>
      </c>
      <c r="B1634" s="72" t="n">
        <v>45741.80555555555</v>
      </c>
      <c r="C1634" t="inlineStr">
        <is>
          <t>Risaralda</t>
        </is>
      </c>
      <c r="D1634" t="inlineStr">
        <is>
          <t>Pereira</t>
        </is>
      </c>
      <c r="E1634" t="inlineStr">
        <is>
          <t>Hogar</t>
        </is>
      </c>
      <c r="F1634" t="inlineStr">
        <is>
          <t>Web</t>
        </is>
      </c>
      <c r="G1634" t="inlineStr">
        <is>
          <t>3. Pago</t>
        </is>
      </c>
      <c r="H1634" t="n">
        <v>3</v>
      </c>
      <c r="I1634" s="73" t="n">
        <v>238600</v>
      </c>
      <c r="J1634" s="73" t="n">
        <v>715800</v>
      </c>
      <c r="K1634" s="73" t="n">
        <v>511207</v>
      </c>
    </row>
    <row r="1635">
      <c r="A1635" t="n">
        <v>10268</v>
      </c>
      <c r="B1635" s="72" t="n">
        <v>45741.98958333334</v>
      </c>
      <c r="C1635" t="inlineStr">
        <is>
          <t>Valle del Cauca</t>
        </is>
      </c>
      <c r="D1635" t="inlineStr">
        <is>
          <t>Cali</t>
        </is>
      </c>
      <c r="E1635" t="inlineStr">
        <is>
          <t>Belleza</t>
        </is>
      </c>
      <c r="F1635" t="inlineStr">
        <is>
          <t>App</t>
        </is>
      </c>
      <c r="G1635" t="inlineStr">
        <is>
          <t>3. Pago</t>
        </is>
      </c>
      <c r="H1635" t="n">
        <v>4</v>
      </c>
      <c r="I1635" s="73" t="n">
        <v>77300</v>
      </c>
      <c r="J1635" s="73" t="n">
        <v>309200</v>
      </c>
      <c r="K1635" s="73" t="n">
        <v>182663</v>
      </c>
    </row>
    <row r="1636">
      <c r="A1636" t="n">
        <v>11344</v>
      </c>
      <c r="B1636" s="72" t="n">
        <v>45742.32361111111</v>
      </c>
      <c r="C1636" t="inlineStr">
        <is>
          <t>Meta</t>
        </is>
      </c>
      <c r="D1636" t="inlineStr">
        <is>
          <t>Villavicencio</t>
        </is>
      </c>
      <c r="E1636" t="inlineStr">
        <is>
          <t>Moda</t>
        </is>
      </c>
      <c r="F1636" t="inlineStr">
        <is>
          <t>App</t>
        </is>
      </c>
      <c r="G1636" t="inlineStr">
        <is>
          <t>3. Pago</t>
        </is>
      </c>
      <c r="H1636" t="n">
        <v>5</v>
      </c>
      <c r="I1636" s="73" t="n">
        <v>111600</v>
      </c>
      <c r="J1636" s="73" t="n">
        <v>558000</v>
      </c>
      <c r="K1636" s="73" t="n">
        <v>326470</v>
      </c>
    </row>
    <row r="1637">
      <c r="A1637" t="n">
        <v>10877</v>
      </c>
      <c r="B1637" s="72" t="n">
        <v>45742.40416666667</v>
      </c>
      <c r="C1637" t="inlineStr">
        <is>
          <t>Bogotá D.C.</t>
        </is>
      </c>
      <c r="D1637" t="inlineStr">
        <is>
          <t>Bogotá</t>
        </is>
      </c>
      <c r="E1637" t="inlineStr">
        <is>
          <t>Moda</t>
        </is>
      </c>
      <c r="F1637" t="inlineStr">
        <is>
          <t>Web</t>
        </is>
      </c>
      <c r="G1637" t="inlineStr">
        <is>
          <t>1. Visita</t>
        </is>
      </c>
      <c r="H1637" t="n">
        <v>3</v>
      </c>
      <c r="I1637" s="73" t="n">
        <v>151700</v>
      </c>
      <c r="J1637" s="73" t="n">
        <v>455100</v>
      </c>
      <c r="K1637" s="73" t="n">
        <v>323620</v>
      </c>
    </row>
    <row r="1638">
      <c r="A1638" t="n">
        <v>10115</v>
      </c>
      <c r="B1638" s="72" t="n">
        <v>45742.43055555555</v>
      </c>
      <c r="C1638" t="inlineStr">
        <is>
          <t>Risaralda</t>
        </is>
      </c>
      <c r="D1638" t="inlineStr">
        <is>
          <t>Pereira</t>
        </is>
      </c>
      <c r="E1638" t="inlineStr">
        <is>
          <t>Belleza</t>
        </is>
      </c>
      <c r="F1638" t="inlineStr">
        <is>
          <t>Web</t>
        </is>
      </c>
      <c r="G1638" t="inlineStr">
        <is>
          <t>1. Visita</t>
        </is>
      </c>
      <c r="H1638" t="n">
        <v>3</v>
      </c>
      <c r="I1638" s="73" t="n">
        <v>76300</v>
      </c>
      <c r="J1638" s="73" t="n">
        <v>228900</v>
      </c>
      <c r="K1638" s="73" t="n">
        <v>130492</v>
      </c>
    </row>
    <row r="1639">
      <c r="A1639" t="n">
        <v>12287</v>
      </c>
      <c r="B1639" s="72" t="n">
        <v>45742.47638888889</v>
      </c>
      <c r="C1639" t="inlineStr">
        <is>
          <t>Bolívar</t>
        </is>
      </c>
      <c r="D1639" t="inlineStr">
        <is>
          <t>Cartagena</t>
        </is>
      </c>
      <c r="E1639" t="inlineStr">
        <is>
          <t>Tecnología</t>
        </is>
      </c>
      <c r="F1639" t="inlineStr">
        <is>
          <t>App</t>
        </is>
      </c>
      <c r="G1639" t="inlineStr">
        <is>
          <t>2. Carrito</t>
        </is>
      </c>
      <c r="H1639" t="n">
        <v>5</v>
      </c>
      <c r="I1639" s="73" t="n">
        <v>787300</v>
      </c>
      <c r="J1639" s="73" t="n">
        <v>3936500</v>
      </c>
      <c r="K1639" s="73" t="n">
        <v>2854714</v>
      </c>
    </row>
    <row r="1640">
      <c r="A1640" t="n">
        <v>11300</v>
      </c>
      <c r="B1640" s="72" t="n">
        <v>45742.80416666667</v>
      </c>
      <c r="C1640" t="inlineStr">
        <is>
          <t>Bogotá D.C.</t>
        </is>
      </c>
      <c r="D1640" t="inlineStr">
        <is>
          <t>Bogotá</t>
        </is>
      </c>
      <c r="E1640" t="inlineStr">
        <is>
          <t>Tecnología</t>
        </is>
      </c>
      <c r="F1640" t="inlineStr">
        <is>
          <t>Tienda física</t>
        </is>
      </c>
      <c r="G1640" t="inlineStr">
        <is>
          <t>1. Visita</t>
        </is>
      </c>
      <c r="H1640" t="n">
        <v>4</v>
      </c>
      <c r="I1640" s="73" t="n">
        <v>871800</v>
      </c>
      <c r="J1640" s="73" t="n">
        <v>3487200</v>
      </c>
      <c r="K1640" s="73" t="n">
        <v>2062336</v>
      </c>
    </row>
    <row r="1641">
      <c r="A1641" t="n">
        <v>12079</v>
      </c>
      <c r="B1641" s="72" t="n">
        <v>45743.40833333333</v>
      </c>
      <c r="C1641" t="inlineStr">
        <is>
          <t>Atlántico</t>
        </is>
      </c>
      <c r="D1641" t="inlineStr">
        <is>
          <t>Barranquilla</t>
        </is>
      </c>
      <c r="E1641" t="inlineStr">
        <is>
          <t>Moda</t>
        </is>
      </c>
      <c r="F1641" t="inlineStr">
        <is>
          <t>Web</t>
        </is>
      </c>
      <c r="G1641" t="inlineStr">
        <is>
          <t>1. Visita</t>
        </is>
      </c>
      <c r="H1641" t="n">
        <v>1</v>
      </c>
      <c r="I1641" s="73" t="n">
        <v>143800</v>
      </c>
      <c r="J1641" s="73" t="n">
        <v>143800</v>
      </c>
      <c r="K1641" s="73" t="n">
        <v>104276</v>
      </c>
    </row>
    <row r="1642">
      <c r="A1642" t="n">
        <v>12065</v>
      </c>
      <c r="B1642" s="72" t="n">
        <v>45743.76597222222</v>
      </c>
      <c r="C1642" t="inlineStr">
        <is>
          <t>Antioquia</t>
        </is>
      </c>
      <c r="D1642" t="inlineStr">
        <is>
          <t>Medellín</t>
        </is>
      </c>
      <c r="E1642" t="inlineStr">
        <is>
          <t>Deportes</t>
        </is>
      </c>
      <c r="F1642" t="inlineStr">
        <is>
          <t>App</t>
        </is>
      </c>
      <c r="G1642" t="inlineStr">
        <is>
          <t>4. Compra</t>
        </is>
      </c>
      <c r="H1642" t="n">
        <v>1</v>
      </c>
      <c r="I1642" s="73" t="n">
        <v>126100</v>
      </c>
      <c r="J1642" s="73" t="n">
        <v>126100</v>
      </c>
      <c r="K1642" s="73" t="n">
        <v>89723</v>
      </c>
    </row>
    <row r="1643">
      <c r="A1643" t="n">
        <v>11829</v>
      </c>
      <c r="B1643" s="72" t="n">
        <v>45743.80555555555</v>
      </c>
      <c r="C1643" t="inlineStr">
        <is>
          <t>Antioquia</t>
        </is>
      </c>
      <c r="D1643" t="inlineStr">
        <is>
          <t>Medellín</t>
        </is>
      </c>
      <c r="E1643" t="inlineStr">
        <is>
          <t>Belleza</t>
        </is>
      </c>
      <c r="F1643" t="inlineStr">
        <is>
          <t>Marketplace</t>
        </is>
      </c>
      <c r="G1643" t="inlineStr">
        <is>
          <t>1. Visita</t>
        </is>
      </c>
      <c r="H1643" t="n">
        <v>2</v>
      </c>
      <c r="I1643" s="73" t="n">
        <v>74100</v>
      </c>
      <c r="J1643" s="73" t="n">
        <v>148200</v>
      </c>
      <c r="K1643" s="73" t="n">
        <v>101684</v>
      </c>
    </row>
    <row r="1644">
      <c r="A1644" t="n">
        <v>10326</v>
      </c>
      <c r="B1644" s="72" t="n">
        <v>45744.30902777778</v>
      </c>
      <c r="C1644" t="inlineStr">
        <is>
          <t>Valle del Cauca</t>
        </is>
      </c>
      <c r="D1644" t="inlineStr">
        <is>
          <t>Cali</t>
        </is>
      </c>
      <c r="E1644" t="inlineStr">
        <is>
          <t>Juguetes</t>
        </is>
      </c>
      <c r="F1644" t="inlineStr">
        <is>
          <t>Tienda física</t>
        </is>
      </c>
      <c r="G1644" t="inlineStr">
        <is>
          <t>2. Carrito</t>
        </is>
      </c>
      <c r="H1644" t="n">
        <v>1</v>
      </c>
      <c r="I1644" s="73" t="n">
        <v>75700</v>
      </c>
      <c r="J1644" s="73" t="n">
        <v>87055</v>
      </c>
      <c r="K1644" s="73" t="n">
        <v>61757</v>
      </c>
    </row>
    <row r="1645">
      <c r="A1645" t="n">
        <v>10853</v>
      </c>
      <c r="B1645" s="72" t="n">
        <v>45744.58333333334</v>
      </c>
      <c r="C1645" t="inlineStr">
        <is>
          <t>Bogotá D.C.</t>
        </is>
      </c>
      <c r="D1645" t="inlineStr">
        <is>
          <t>Bogotá</t>
        </is>
      </c>
      <c r="E1645" t="inlineStr">
        <is>
          <t>Deportes</t>
        </is>
      </c>
      <c r="F1645" t="inlineStr">
        <is>
          <t>Tienda física</t>
        </is>
      </c>
      <c r="G1645" t="inlineStr">
        <is>
          <t>2. Carrito</t>
        </is>
      </c>
      <c r="H1645" t="n">
        <v>4</v>
      </c>
      <c r="I1645" s="73" t="n">
        <v>117700</v>
      </c>
      <c r="J1645" s="73" t="n">
        <v>541420</v>
      </c>
      <c r="K1645" s="73" t="n">
        <v>392522</v>
      </c>
    </row>
    <row r="1646">
      <c r="A1646" t="n">
        <v>11961</v>
      </c>
      <c r="B1646" s="72" t="n">
        <v>45744.65902777778</v>
      </c>
      <c r="C1646" t="inlineStr">
        <is>
          <t>Bogotá D.C.</t>
        </is>
      </c>
      <c r="D1646" t="inlineStr">
        <is>
          <t>Bogotá</t>
        </is>
      </c>
      <c r="E1646" t="inlineStr">
        <is>
          <t>Tecnología</t>
        </is>
      </c>
      <c r="F1646" t="inlineStr">
        <is>
          <t>App</t>
        </is>
      </c>
      <c r="G1646" t="inlineStr">
        <is>
          <t>1. Visita</t>
        </is>
      </c>
      <c r="H1646" t="n">
        <v>4</v>
      </c>
      <c r="I1646" s="73" t="n">
        <v>897600</v>
      </c>
      <c r="J1646" s="73" t="n">
        <v>4128960</v>
      </c>
      <c r="K1646" s="73" t="n">
        <v>2493892</v>
      </c>
    </row>
    <row r="1647">
      <c r="A1647" t="n">
        <v>10294</v>
      </c>
      <c r="B1647" s="72" t="n">
        <v>45744.80069444444</v>
      </c>
      <c r="C1647" t="inlineStr">
        <is>
          <t>Antioquia</t>
        </is>
      </c>
      <c r="D1647" t="inlineStr">
        <is>
          <t>Medellín</t>
        </is>
      </c>
      <c r="E1647" t="inlineStr">
        <is>
          <t>Belleza</t>
        </is>
      </c>
      <c r="F1647" t="inlineStr">
        <is>
          <t>App</t>
        </is>
      </c>
      <c r="G1647" t="inlineStr">
        <is>
          <t>1. Visita</t>
        </is>
      </c>
      <c r="H1647" t="n">
        <v>5</v>
      </c>
      <c r="I1647" s="73" t="n">
        <v>79600</v>
      </c>
      <c r="J1647" s="73" t="n">
        <v>457700</v>
      </c>
      <c r="K1647" s="73" t="n">
        <v>294347</v>
      </c>
    </row>
    <row r="1648">
      <c r="A1648" t="n">
        <v>10245</v>
      </c>
      <c r="B1648" s="72" t="n">
        <v>45745.75972222222</v>
      </c>
      <c r="C1648" t="inlineStr">
        <is>
          <t>Bolívar</t>
        </is>
      </c>
      <c r="D1648" t="inlineStr">
        <is>
          <t>Cartagena</t>
        </is>
      </c>
      <c r="E1648" t="inlineStr">
        <is>
          <t>Hogar</t>
        </is>
      </c>
      <c r="F1648" t="inlineStr">
        <is>
          <t>Tienda física</t>
        </is>
      </c>
      <c r="G1648" t="inlineStr">
        <is>
          <t>2. Carrito</t>
        </is>
      </c>
      <c r="H1648" t="n">
        <v>1</v>
      </c>
      <c r="I1648" s="73" t="n">
        <v>187900</v>
      </c>
      <c r="J1648" s="73" t="n">
        <v>216085</v>
      </c>
      <c r="K1648" s="73" t="n">
        <v>125463</v>
      </c>
    </row>
    <row r="1649">
      <c r="A1649" t="n">
        <v>10138</v>
      </c>
      <c r="B1649" s="72" t="n">
        <v>45745.84305555555</v>
      </c>
      <c r="C1649" t="inlineStr">
        <is>
          <t>Bogotá D.C.</t>
        </is>
      </c>
      <c r="D1649" t="inlineStr">
        <is>
          <t>Bogotá</t>
        </is>
      </c>
      <c r="E1649" t="inlineStr">
        <is>
          <t>Juguetes</t>
        </is>
      </c>
      <c r="F1649" t="inlineStr">
        <is>
          <t>Tienda física</t>
        </is>
      </c>
      <c r="G1649" t="inlineStr">
        <is>
          <t>3. Pago</t>
        </is>
      </c>
      <c r="H1649" t="n">
        <v>1</v>
      </c>
      <c r="I1649" s="73" t="n">
        <v>106000</v>
      </c>
      <c r="J1649" s="73" t="n">
        <v>121900</v>
      </c>
      <c r="K1649" s="73" t="n">
        <v>83559</v>
      </c>
    </row>
    <row r="1650">
      <c r="A1650" t="n">
        <v>10931</v>
      </c>
      <c r="B1650" s="72" t="n">
        <v>45746.33194444444</v>
      </c>
      <c r="C1650" t="inlineStr">
        <is>
          <t>Bogotá D.C.</t>
        </is>
      </c>
      <c r="D1650" t="inlineStr">
        <is>
          <t>Bogotá</t>
        </is>
      </c>
      <c r="E1650" t="inlineStr">
        <is>
          <t>Moda</t>
        </is>
      </c>
      <c r="F1650" t="inlineStr">
        <is>
          <t>App</t>
        </is>
      </c>
      <c r="G1650" t="inlineStr">
        <is>
          <t>1. Visita</t>
        </is>
      </c>
      <c r="H1650" t="n">
        <v>4</v>
      </c>
      <c r="I1650" s="73" t="n">
        <v>108200</v>
      </c>
      <c r="J1650" s="73" t="n">
        <v>497720</v>
      </c>
      <c r="K1650" s="73" t="n">
        <v>355277</v>
      </c>
    </row>
    <row r="1651">
      <c r="A1651" t="n">
        <v>11320</v>
      </c>
      <c r="B1651" s="72" t="n">
        <v>45746.40347222222</v>
      </c>
      <c r="C1651" t="inlineStr">
        <is>
          <t>Antioquia</t>
        </is>
      </c>
      <c r="D1651" t="inlineStr">
        <is>
          <t>Medellín</t>
        </is>
      </c>
      <c r="E1651" t="inlineStr">
        <is>
          <t>Juguetes</t>
        </is>
      </c>
      <c r="F1651" t="inlineStr">
        <is>
          <t>Tienda física</t>
        </is>
      </c>
      <c r="G1651" t="inlineStr">
        <is>
          <t>1. Visita</t>
        </is>
      </c>
      <c r="H1651" t="n">
        <v>3</v>
      </c>
      <c r="I1651" s="73" t="n">
        <v>86400</v>
      </c>
      <c r="J1651" s="73" t="n">
        <v>298080</v>
      </c>
      <c r="K1651" s="73" t="n">
        <v>178120</v>
      </c>
    </row>
    <row r="1652">
      <c r="A1652" t="n">
        <v>11945</v>
      </c>
      <c r="B1652" s="72" t="n">
        <v>45746.475</v>
      </c>
      <c r="C1652" t="inlineStr">
        <is>
          <t>Bogotá D.C.</t>
        </is>
      </c>
      <c r="D1652" t="inlineStr">
        <is>
          <t>Bogotá</t>
        </is>
      </c>
      <c r="E1652" t="inlineStr">
        <is>
          <t>Deportes</t>
        </is>
      </c>
      <c r="F1652" t="inlineStr">
        <is>
          <t>App</t>
        </is>
      </c>
      <c r="G1652" t="inlineStr">
        <is>
          <t>1. Visita</t>
        </is>
      </c>
      <c r="H1652" t="n">
        <v>2</v>
      </c>
      <c r="I1652" s="73" t="n">
        <v>177100</v>
      </c>
      <c r="J1652" s="73" t="n">
        <v>407330</v>
      </c>
      <c r="K1652" s="73" t="n">
        <v>278755</v>
      </c>
    </row>
    <row r="1653">
      <c r="A1653" t="n">
        <v>12322</v>
      </c>
      <c r="B1653" s="72" t="n">
        <v>45746.59652777778</v>
      </c>
      <c r="C1653" t="inlineStr">
        <is>
          <t>Valle del Cauca</t>
        </is>
      </c>
      <c r="D1653" t="inlineStr">
        <is>
          <t>Cali</t>
        </is>
      </c>
      <c r="E1653" t="inlineStr">
        <is>
          <t>Tecnología</t>
        </is>
      </c>
      <c r="F1653" t="inlineStr">
        <is>
          <t>App</t>
        </is>
      </c>
      <c r="G1653" t="inlineStr">
        <is>
          <t>3. Pago</t>
        </is>
      </c>
      <c r="H1653" t="n">
        <v>4</v>
      </c>
      <c r="I1653" s="73" t="n">
        <v>752200</v>
      </c>
      <c r="J1653" s="73" t="n">
        <v>3460120</v>
      </c>
      <c r="K1653" s="73" t="n">
        <v>2255780</v>
      </c>
    </row>
    <row r="1654">
      <c r="A1654" t="n">
        <v>11607</v>
      </c>
      <c r="B1654" s="72" t="n">
        <v>45746.74236111111</v>
      </c>
      <c r="C1654" t="inlineStr">
        <is>
          <t>Atlántico</t>
        </is>
      </c>
      <c r="D1654" t="inlineStr">
        <is>
          <t>Barranquilla</t>
        </is>
      </c>
      <c r="E1654" t="inlineStr">
        <is>
          <t>Moda</t>
        </is>
      </c>
      <c r="F1654" t="inlineStr">
        <is>
          <t>App</t>
        </is>
      </c>
      <c r="G1654" t="inlineStr">
        <is>
          <t>1. Visita</t>
        </is>
      </c>
      <c r="H1654" t="n">
        <v>3</v>
      </c>
      <c r="I1654" s="73" t="n">
        <v>131400</v>
      </c>
      <c r="J1654" s="73" t="n">
        <v>453330</v>
      </c>
      <c r="K1654" s="73" t="n">
        <v>332257</v>
      </c>
    </row>
    <row r="1655">
      <c r="A1655" t="n">
        <v>10070</v>
      </c>
      <c r="B1655" s="72" t="n">
        <v>45746.88611111111</v>
      </c>
      <c r="C1655" t="inlineStr">
        <is>
          <t>Bogotá D.C.</t>
        </is>
      </c>
      <c r="D1655" t="inlineStr">
        <is>
          <t>Bogotá</t>
        </is>
      </c>
      <c r="E1655" t="inlineStr">
        <is>
          <t>Hogar</t>
        </is>
      </c>
      <c r="F1655" t="inlineStr">
        <is>
          <t>Tienda física</t>
        </is>
      </c>
      <c r="G1655" t="inlineStr">
        <is>
          <t>1. Visita</t>
        </is>
      </c>
      <c r="H1655" t="n">
        <v>5</v>
      </c>
      <c r="I1655" s="73" t="n">
        <v>152700</v>
      </c>
      <c r="J1655" s="73" t="n">
        <v>878025</v>
      </c>
      <c r="K1655" s="73" t="n">
        <v>514622</v>
      </c>
    </row>
    <row r="1656">
      <c r="A1656" t="n">
        <v>10076</v>
      </c>
      <c r="B1656" s="72" t="n">
        <v>45747.41388888889</v>
      </c>
      <c r="C1656" t="inlineStr">
        <is>
          <t>Antioquia</t>
        </is>
      </c>
      <c r="D1656" t="inlineStr">
        <is>
          <t>Medellín</t>
        </is>
      </c>
      <c r="E1656" t="inlineStr">
        <is>
          <t>Juguetes</t>
        </is>
      </c>
      <c r="F1656" t="inlineStr">
        <is>
          <t>Web</t>
        </is>
      </c>
      <c r="G1656" t="inlineStr">
        <is>
          <t>1. Visita</t>
        </is>
      </c>
      <c r="H1656" t="n">
        <v>1</v>
      </c>
      <c r="I1656" s="73" t="n">
        <v>74900</v>
      </c>
      <c r="J1656" s="73" t="n">
        <v>74900</v>
      </c>
      <c r="K1656" s="73" t="n">
        <v>44334</v>
      </c>
    </row>
    <row r="1657">
      <c r="A1657" t="n">
        <v>11294</v>
      </c>
      <c r="B1657" s="72" t="n">
        <v>45747.44791666666</v>
      </c>
      <c r="C1657" t="inlineStr">
        <is>
          <t>Antioquia</t>
        </is>
      </c>
      <c r="D1657" t="inlineStr">
        <is>
          <t>Medellín</t>
        </is>
      </c>
      <c r="E1657" t="inlineStr">
        <is>
          <t>Juguetes</t>
        </is>
      </c>
      <c r="F1657" t="inlineStr">
        <is>
          <t>Web</t>
        </is>
      </c>
      <c r="G1657" t="inlineStr">
        <is>
          <t>1. Visita</t>
        </is>
      </c>
      <c r="H1657" t="n">
        <v>4</v>
      </c>
      <c r="I1657" s="73" t="n">
        <v>69600</v>
      </c>
      <c r="J1657" s="73" t="n">
        <v>278400</v>
      </c>
      <c r="K1657" s="73" t="n">
        <v>169539</v>
      </c>
    </row>
    <row r="1658">
      <c r="A1658" t="n">
        <v>11114</v>
      </c>
      <c r="B1658" s="72" t="n">
        <v>45747.51527777778</v>
      </c>
      <c r="C1658" t="inlineStr">
        <is>
          <t>Bogotá D.C.</t>
        </is>
      </c>
      <c r="D1658" t="inlineStr">
        <is>
          <t>Bogotá</t>
        </is>
      </c>
      <c r="E1658" t="inlineStr">
        <is>
          <t>Belleza</t>
        </is>
      </c>
      <c r="F1658" t="inlineStr">
        <is>
          <t>Web</t>
        </is>
      </c>
      <c r="G1658" t="inlineStr">
        <is>
          <t>1. Visita</t>
        </is>
      </c>
      <c r="H1658" t="n">
        <v>5</v>
      </c>
      <c r="I1658" s="73" t="n">
        <v>75100</v>
      </c>
      <c r="J1658" s="73" t="n">
        <v>375500</v>
      </c>
      <c r="K1658" s="73" t="n">
        <v>239224</v>
      </c>
    </row>
    <row r="1659">
      <c r="A1659" t="n">
        <v>10664</v>
      </c>
      <c r="B1659" s="72" t="n">
        <v>45747.89305555556</v>
      </c>
      <c r="C1659" t="inlineStr">
        <is>
          <t>Bogotá D.C.</t>
        </is>
      </c>
      <c r="D1659" t="inlineStr">
        <is>
          <t>Bogotá</t>
        </is>
      </c>
      <c r="E1659" t="inlineStr">
        <is>
          <t>Deportes</t>
        </is>
      </c>
      <c r="F1659" t="inlineStr">
        <is>
          <t>Web</t>
        </is>
      </c>
      <c r="G1659" t="inlineStr">
        <is>
          <t>2. Carrito</t>
        </is>
      </c>
      <c r="H1659" t="n">
        <v>1</v>
      </c>
      <c r="I1659" s="73" t="n">
        <v>165800</v>
      </c>
      <c r="J1659" s="73" t="n">
        <v>165800</v>
      </c>
      <c r="K1659" s="73" t="n">
        <v>93596</v>
      </c>
    </row>
    <row r="1660">
      <c r="A1660" t="n">
        <v>10802</v>
      </c>
      <c r="B1660" s="72" t="n">
        <v>45747.90069444444</v>
      </c>
      <c r="C1660" t="inlineStr">
        <is>
          <t>Atlántico</t>
        </is>
      </c>
      <c r="D1660" t="inlineStr">
        <is>
          <t>Barranquilla</t>
        </is>
      </c>
      <c r="E1660" t="inlineStr">
        <is>
          <t>Juguetes</t>
        </is>
      </c>
      <c r="F1660" t="inlineStr">
        <is>
          <t>App</t>
        </is>
      </c>
      <c r="G1660" t="inlineStr">
        <is>
          <t>1. Visita</t>
        </is>
      </c>
      <c r="H1660" t="n">
        <v>5</v>
      </c>
      <c r="I1660" s="73" t="n">
        <v>99400</v>
      </c>
      <c r="J1660" s="73" t="n">
        <v>497000</v>
      </c>
      <c r="K1660" s="73" t="n">
        <v>305481</v>
      </c>
    </row>
    <row r="1661">
      <c r="A1661" t="n">
        <v>11680</v>
      </c>
      <c r="B1661" s="72" t="n">
        <v>45748.32013888889</v>
      </c>
      <c r="C1661" t="inlineStr">
        <is>
          <t>Antioquia</t>
        </is>
      </c>
      <c r="D1661" t="inlineStr">
        <is>
          <t>Medellín</t>
        </is>
      </c>
      <c r="E1661" t="inlineStr">
        <is>
          <t>Deportes</t>
        </is>
      </c>
      <c r="F1661" t="inlineStr">
        <is>
          <t>Web</t>
        </is>
      </c>
      <c r="G1661" t="inlineStr">
        <is>
          <t>3. Pago</t>
        </is>
      </c>
      <c r="H1661" t="n">
        <v>2</v>
      </c>
      <c r="I1661" s="73" t="n">
        <v>143800</v>
      </c>
      <c r="J1661" s="73" t="n">
        <v>287600</v>
      </c>
      <c r="K1661" s="73" t="n">
        <v>208125</v>
      </c>
    </row>
    <row r="1662">
      <c r="A1662" t="n">
        <v>12344</v>
      </c>
      <c r="B1662" s="72" t="n">
        <v>45748.58819444444</v>
      </c>
      <c r="C1662" t="inlineStr">
        <is>
          <t>Bogotá D.C.</t>
        </is>
      </c>
      <c r="D1662" t="inlineStr">
        <is>
          <t>Bogotá</t>
        </is>
      </c>
      <c r="E1662" t="inlineStr">
        <is>
          <t>Belleza</t>
        </is>
      </c>
      <c r="F1662" t="inlineStr">
        <is>
          <t>App</t>
        </is>
      </c>
      <c r="G1662" t="inlineStr">
        <is>
          <t>1. Visita</t>
        </is>
      </c>
      <c r="H1662" t="n">
        <v>1</v>
      </c>
      <c r="I1662" s="73" t="n">
        <v>58900</v>
      </c>
      <c r="J1662" s="73" t="n">
        <v>58900</v>
      </c>
      <c r="K1662" s="73" t="n">
        <v>42127</v>
      </c>
    </row>
    <row r="1663">
      <c r="A1663" t="n">
        <v>10830</v>
      </c>
      <c r="B1663" s="72" t="n">
        <v>45748.83611111111</v>
      </c>
      <c r="C1663" t="inlineStr">
        <is>
          <t>Antioquia</t>
        </is>
      </c>
      <c r="D1663" t="inlineStr">
        <is>
          <t>Medellín</t>
        </is>
      </c>
      <c r="E1663" t="inlineStr">
        <is>
          <t>Hogar</t>
        </is>
      </c>
      <c r="F1663" t="inlineStr">
        <is>
          <t>App</t>
        </is>
      </c>
      <c r="G1663" t="inlineStr">
        <is>
          <t>1. Visita</t>
        </is>
      </c>
      <c r="H1663" t="n">
        <v>1</v>
      </c>
      <c r="I1663" s="73" t="n">
        <v>262100</v>
      </c>
      <c r="J1663" s="73" t="n">
        <v>262100</v>
      </c>
      <c r="K1663" s="73" t="n">
        <v>156017</v>
      </c>
    </row>
    <row r="1664">
      <c r="A1664" t="n">
        <v>11217</v>
      </c>
      <c r="B1664" s="72" t="n">
        <v>45749.35208333333</v>
      </c>
      <c r="C1664" t="inlineStr">
        <is>
          <t>Bogotá D.C.</t>
        </is>
      </c>
      <c r="D1664" t="inlineStr">
        <is>
          <t>Bogotá</t>
        </is>
      </c>
      <c r="E1664" t="inlineStr">
        <is>
          <t>Moda</t>
        </is>
      </c>
      <c r="F1664" t="inlineStr">
        <is>
          <t>Tienda física</t>
        </is>
      </c>
      <c r="G1664" t="inlineStr">
        <is>
          <t>1. Visita</t>
        </is>
      </c>
      <c r="H1664" t="n">
        <v>1</v>
      </c>
      <c r="I1664" s="73" t="n">
        <v>99400</v>
      </c>
      <c r="J1664" s="73" t="n">
        <v>99400</v>
      </c>
      <c r="K1664" s="73" t="n">
        <v>68288</v>
      </c>
    </row>
    <row r="1665">
      <c r="A1665" t="n">
        <v>11138</v>
      </c>
      <c r="B1665" s="72" t="n">
        <v>45749.42916666667</v>
      </c>
      <c r="C1665" t="inlineStr">
        <is>
          <t>Atlántico</t>
        </is>
      </c>
      <c r="D1665" t="inlineStr">
        <is>
          <t>Barranquilla</t>
        </is>
      </c>
      <c r="E1665" t="inlineStr">
        <is>
          <t>Tecnología</t>
        </is>
      </c>
      <c r="F1665" t="inlineStr">
        <is>
          <t>Tienda física</t>
        </is>
      </c>
      <c r="G1665" t="inlineStr">
        <is>
          <t>3. Pago</t>
        </is>
      </c>
      <c r="H1665" t="n">
        <v>2</v>
      </c>
      <c r="I1665" s="73" t="n">
        <v>825600</v>
      </c>
      <c r="J1665" s="73" t="n">
        <v>1651200</v>
      </c>
      <c r="K1665" s="73" t="n">
        <v>1224762</v>
      </c>
    </row>
    <row r="1666">
      <c r="A1666" t="n">
        <v>10774</v>
      </c>
      <c r="B1666" s="72" t="n">
        <v>45749.45</v>
      </c>
      <c r="C1666" t="inlineStr">
        <is>
          <t>Nariño</t>
        </is>
      </c>
      <c r="D1666" t="inlineStr">
        <is>
          <t>Pasto</t>
        </is>
      </c>
      <c r="E1666" t="inlineStr">
        <is>
          <t>Tecnología</t>
        </is>
      </c>
      <c r="F1666" t="inlineStr">
        <is>
          <t>Web</t>
        </is>
      </c>
      <c r="G1666" t="inlineStr">
        <is>
          <t>2. Carrito</t>
        </is>
      </c>
      <c r="H1666" t="n">
        <v>2</v>
      </c>
      <c r="I1666" s="73" t="n">
        <v>836400</v>
      </c>
      <c r="J1666" s="73" t="n">
        <v>1672800</v>
      </c>
      <c r="K1666" s="73" t="n">
        <v>1223024</v>
      </c>
    </row>
    <row r="1667">
      <c r="A1667" t="n">
        <v>11848</v>
      </c>
      <c r="B1667" s="72" t="n">
        <v>45749.48402777778</v>
      </c>
      <c r="C1667" t="inlineStr">
        <is>
          <t>Bogotá D.C.</t>
        </is>
      </c>
      <c r="D1667" t="inlineStr">
        <is>
          <t>Bogotá</t>
        </is>
      </c>
      <c r="E1667" t="inlineStr">
        <is>
          <t>Belleza</t>
        </is>
      </c>
      <c r="F1667" t="inlineStr">
        <is>
          <t>Web</t>
        </is>
      </c>
      <c r="G1667" t="inlineStr">
        <is>
          <t>1. Visita</t>
        </is>
      </c>
      <c r="H1667" t="n">
        <v>5</v>
      </c>
      <c r="I1667" s="73" t="n">
        <v>72400</v>
      </c>
      <c r="J1667" s="73" t="n">
        <v>362000</v>
      </c>
      <c r="K1667" s="73" t="n">
        <v>240856</v>
      </c>
    </row>
    <row r="1668">
      <c r="A1668" t="n">
        <v>10144</v>
      </c>
      <c r="B1668" s="72" t="n">
        <v>45749.55694444444</v>
      </c>
      <c r="C1668" t="inlineStr">
        <is>
          <t>Bolívar</t>
        </is>
      </c>
      <c r="D1668" t="inlineStr">
        <is>
          <t>Cartagena</t>
        </is>
      </c>
      <c r="E1668" t="inlineStr">
        <is>
          <t>Juguetes</t>
        </is>
      </c>
      <c r="F1668" t="inlineStr">
        <is>
          <t>Tienda física</t>
        </is>
      </c>
      <c r="G1668" t="inlineStr">
        <is>
          <t>1. Visita</t>
        </is>
      </c>
      <c r="H1668" t="n">
        <v>4</v>
      </c>
      <c r="I1668" s="73" t="n">
        <v>99700</v>
      </c>
      <c r="J1668" s="73" t="n">
        <v>398800</v>
      </c>
      <c r="K1668" s="73" t="n">
        <v>223995</v>
      </c>
    </row>
    <row r="1669">
      <c r="A1669" t="n">
        <v>12324</v>
      </c>
      <c r="B1669" s="72" t="n">
        <v>45749.74583333333</v>
      </c>
      <c r="C1669" t="inlineStr">
        <is>
          <t>Bogotá D.C.</t>
        </is>
      </c>
      <c r="D1669" t="inlineStr">
        <is>
          <t>Bogotá</t>
        </is>
      </c>
      <c r="E1669" t="inlineStr">
        <is>
          <t>Moda</t>
        </is>
      </c>
      <c r="F1669" t="inlineStr">
        <is>
          <t>App</t>
        </is>
      </c>
      <c r="G1669" t="inlineStr">
        <is>
          <t>2. Carrito</t>
        </is>
      </c>
      <c r="H1669" t="n">
        <v>1</v>
      </c>
      <c r="I1669" s="73" t="n">
        <v>96300</v>
      </c>
      <c r="J1669" s="73" t="n">
        <v>96300</v>
      </c>
      <c r="K1669" s="73" t="n">
        <v>60550</v>
      </c>
    </row>
    <row r="1670">
      <c r="A1670" t="n">
        <v>12354</v>
      </c>
      <c r="B1670" s="72" t="n">
        <v>45749.79375</v>
      </c>
      <c r="C1670" t="inlineStr">
        <is>
          <t>Bogotá D.C.</t>
        </is>
      </c>
      <c r="D1670" t="inlineStr">
        <is>
          <t>Bogotá</t>
        </is>
      </c>
      <c r="E1670" t="inlineStr">
        <is>
          <t>Tecnología</t>
        </is>
      </c>
      <c r="F1670" t="inlineStr">
        <is>
          <t>App</t>
        </is>
      </c>
      <c r="G1670" t="inlineStr">
        <is>
          <t>2. Carrito</t>
        </is>
      </c>
      <c r="H1670" t="n">
        <v>2</v>
      </c>
      <c r="I1670" s="73" t="n">
        <v>904200</v>
      </c>
      <c r="J1670" s="73" t="n">
        <v>1808400</v>
      </c>
      <c r="K1670" s="73" t="n">
        <v>1281855</v>
      </c>
    </row>
    <row r="1671">
      <c r="A1671" t="n">
        <v>10353</v>
      </c>
      <c r="B1671" s="72" t="n">
        <v>45749.82430555556</v>
      </c>
      <c r="C1671" t="inlineStr">
        <is>
          <t>Risaralda</t>
        </is>
      </c>
      <c r="D1671" t="inlineStr">
        <is>
          <t>Pereira</t>
        </is>
      </c>
      <c r="E1671" t="inlineStr">
        <is>
          <t>Juguetes</t>
        </is>
      </c>
      <c r="F1671" t="inlineStr">
        <is>
          <t>App</t>
        </is>
      </c>
      <c r="G1671" t="inlineStr">
        <is>
          <t>2. Carrito</t>
        </is>
      </c>
      <c r="H1671" t="n">
        <v>3</v>
      </c>
      <c r="I1671" s="73" t="n">
        <v>77000</v>
      </c>
      <c r="J1671" s="73" t="n">
        <v>231000</v>
      </c>
      <c r="K1671" s="73" t="n">
        <v>162183</v>
      </c>
    </row>
    <row r="1672">
      <c r="A1672" t="n">
        <v>10010</v>
      </c>
      <c r="B1672" s="72" t="n">
        <v>45750.08680555555</v>
      </c>
      <c r="C1672" t="inlineStr">
        <is>
          <t>Bogotá D.C.</t>
        </is>
      </c>
      <c r="D1672" t="inlineStr">
        <is>
          <t>Bogotá</t>
        </is>
      </c>
      <c r="E1672" t="inlineStr">
        <is>
          <t>Juguetes</t>
        </is>
      </c>
      <c r="F1672" t="inlineStr">
        <is>
          <t>Tienda física</t>
        </is>
      </c>
      <c r="G1672" t="inlineStr">
        <is>
          <t>1. Visita</t>
        </is>
      </c>
      <c r="H1672" t="n">
        <v>4</v>
      </c>
      <c r="I1672" s="73" t="n">
        <v>89600</v>
      </c>
      <c r="J1672" s="73" t="n">
        <v>358400</v>
      </c>
      <c r="K1672" s="73" t="n">
        <v>219712</v>
      </c>
    </row>
    <row r="1673">
      <c r="A1673" t="n">
        <v>11003</v>
      </c>
      <c r="B1673" s="72" t="n">
        <v>45750.39027777778</v>
      </c>
      <c r="C1673" t="inlineStr">
        <is>
          <t>Valle del Cauca</t>
        </is>
      </c>
      <c r="D1673" t="inlineStr">
        <is>
          <t>Cali</t>
        </is>
      </c>
      <c r="E1673" t="inlineStr">
        <is>
          <t>Deportes</t>
        </is>
      </c>
      <c r="F1673" t="inlineStr">
        <is>
          <t>App</t>
        </is>
      </c>
      <c r="G1673" t="inlineStr">
        <is>
          <t>2. Carrito</t>
        </is>
      </c>
      <c r="H1673" t="n">
        <v>2</v>
      </c>
      <c r="I1673" s="73" t="n">
        <v>183500</v>
      </c>
      <c r="J1673" s="73" t="n">
        <v>367000</v>
      </c>
      <c r="K1673" s="73" t="n">
        <v>255847</v>
      </c>
    </row>
    <row r="1674">
      <c r="A1674" t="n">
        <v>10263</v>
      </c>
      <c r="B1674" s="72" t="n">
        <v>45750.79722222222</v>
      </c>
      <c r="C1674" t="inlineStr">
        <is>
          <t>Valle del Cauca</t>
        </is>
      </c>
      <c r="D1674" t="inlineStr">
        <is>
          <t>Cali</t>
        </is>
      </c>
      <c r="E1674" t="inlineStr">
        <is>
          <t>Moda</t>
        </is>
      </c>
      <c r="F1674" t="inlineStr">
        <is>
          <t>Tienda física</t>
        </is>
      </c>
      <c r="G1674" t="inlineStr">
        <is>
          <t>2. Carrito</t>
        </is>
      </c>
      <c r="H1674" t="n">
        <v>1</v>
      </c>
      <c r="I1674" s="73" t="n">
        <v>96100</v>
      </c>
      <c r="J1674" s="73" t="n">
        <v>96100</v>
      </c>
      <c r="K1674" s="73" t="n">
        <v>66225</v>
      </c>
    </row>
    <row r="1675">
      <c r="A1675" t="n">
        <v>11707</v>
      </c>
      <c r="B1675" s="72" t="n">
        <v>45751.57708333333</v>
      </c>
      <c r="C1675" t="inlineStr">
        <is>
          <t>Antioquia</t>
        </is>
      </c>
      <c r="D1675" t="inlineStr">
        <is>
          <t>Medellín</t>
        </is>
      </c>
      <c r="E1675" t="inlineStr">
        <is>
          <t>Hogar</t>
        </is>
      </c>
      <c r="F1675" t="inlineStr">
        <is>
          <t>App</t>
        </is>
      </c>
      <c r="G1675" t="inlineStr">
        <is>
          <t>3. Pago</t>
        </is>
      </c>
      <c r="H1675" t="n">
        <v>2</v>
      </c>
      <c r="I1675" s="73" t="n">
        <v>155800</v>
      </c>
      <c r="J1675" s="73" t="n">
        <v>358340</v>
      </c>
      <c r="K1675" s="73" t="n">
        <v>247025</v>
      </c>
    </row>
    <row r="1676">
      <c r="A1676" t="n">
        <v>10249</v>
      </c>
      <c r="B1676" s="72" t="n">
        <v>45751.91944444444</v>
      </c>
      <c r="C1676" t="inlineStr">
        <is>
          <t>Antioquia</t>
        </is>
      </c>
      <c r="D1676" t="inlineStr">
        <is>
          <t>Medellín</t>
        </is>
      </c>
      <c r="E1676" t="inlineStr">
        <is>
          <t>Juguetes</t>
        </is>
      </c>
      <c r="F1676" t="inlineStr">
        <is>
          <t>App</t>
        </is>
      </c>
      <c r="G1676" t="inlineStr">
        <is>
          <t>1. Visita</t>
        </is>
      </c>
      <c r="H1676" t="n">
        <v>1</v>
      </c>
      <c r="I1676" s="73" t="n">
        <v>90900</v>
      </c>
      <c r="J1676" s="73" t="n">
        <v>104535</v>
      </c>
      <c r="K1676" s="73" t="n">
        <v>63504</v>
      </c>
    </row>
    <row r="1677">
      <c r="A1677" t="n">
        <v>10356</v>
      </c>
      <c r="B1677" s="72" t="n">
        <v>45751.95277777778</v>
      </c>
      <c r="C1677" t="inlineStr">
        <is>
          <t>Bogotá D.C.</t>
        </is>
      </c>
      <c r="D1677" t="inlineStr">
        <is>
          <t>Bogotá</t>
        </is>
      </c>
      <c r="E1677" t="inlineStr">
        <is>
          <t>Belleza</t>
        </is>
      </c>
      <c r="F1677" t="inlineStr">
        <is>
          <t>Marketplace</t>
        </is>
      </c>
      <c r="G1677" t="inlineStr">
        <is>
          <t>1. Visita</t>
        </is>
      </c>
      <c r="H1677" t="n">
        <v>3</v>
      </c>
      <c r="I1677" s="73" t="n">
        <v>84300</v>
      </c>
      <c r="J1677" s="73" t="n">
        <v>290835</v>
      </c>
      <c r="K1677" s="73" t="n">
        <v>211609</v>
      </c>
    </row>
    <row r="1678">
      <c r="A1678" t="n">
        <v>11826</v>
      </c>
      <c r="B1678" s="72" t="n">
        <v>45752.49166666667</v>
      </c>
      <c r="C1678" t="inlineStr">
        <is>
          <t>Antioquia</t>
        </is>
      </c>
      <c r="D1678" t="inlineStr">
        <is>
          <t>Medellín</t>
        </is>
      </c>
      <c r="E1678" t="inlineStr">
        <is>
          <t>Tecnología</t>
        </is>
      </c>
      <c r="F1678" t="inlineStr">
        <is>
          <t>Tienda física</t>
        </is>
      </c>
      <c r="G1678" t="inlineStr">
        <is>
          <t>1. Visita</t>
        </is>
      </c>
      <c r="H1678" t="n">
        <v>3</v>
      </c>
      <c r="I1678" s="73" t="n">
        <v>920800</v>
      </c>
      <c r="J1678" s="73" t="n">
        <v>3176760</v>
      </c>
      <c r="K1678" s="73" t="n">
        <v>1935687</v>
      </c>
    </row>
    <row r="1679">
      <c r="A1679" t="n">
        <v>11285</v>
      </c>
      <c r="B1679" s="72" t="n">
        <v>45752.55347222222</v>
      </c>
      <c r="C1679" t="inlineStr">
        <is>
          <t>Bogotá D.C.</t>
        </is>
      </c>
      <c r="D1679" t="inlineStr">
        <is>
          <t>Bogotá</t>
        </is>
      </c>
      <c r="E1679" t="inlineStr">
        <is>
          <t>Tecnología</t>
        </is>
      </c>
      <c r="F1679" t="inlineStr">
        <is>
          <t>Tienda física</t>
        </is>
      </c>
      <c r="G1679" t="inlineStr">
        <is>
          <t>1. Visita</t>
        </is>
      </c>
      <c r="H1679" t="n">
        <v>1</v>
      </c>
      <c r="I1679" s="73" t="n">
        <v>756300</v>
      </c>
      <c r="J1679" s="73" t="n">
        <v>869745</v>
      </c>
      <c r="K1679" s="73" t="n">
        <v>624097</v>
      </c>
    </row>
    <row r="1680">
      <c r="A1680" t="n">
        <v>11062</v>
      </c>
      <c r="B1680" s="72" t="n">
        <v>45752.61319444444</v>
      </c>
      <c r="C1680" t="inlineStr">
        <is>
          <t>Antioquia</t>
        </is>
      </c>
      <c r="D1680" t="inlineStr">
        <is>
          <t>Medellín</t>
        </is>
      </c>
      <c r="E1680" t="inlineStr">
        <is>
          <t>Belleza</t>
        </is>
      </c>
      <c r="F1680" t="inlineStr">
        <is>
          <t>Web</t>
        </is>
      </c>
      <c r="G1680" t="inlineStr">
        <is>
          <t>1. Visita</t>
        </is>
      </c>
      <c r="H1680" t="n">
        <v>2</v>
      </c>
      <c r="I1680" s="73" t="n">
        <v>65100</v>
      </c>
      <c r="J1680" s="73" t="n">
        <v>149730</v>
      </c>
      <c r="K1680" s="73" t="n">
        <v>96493</v>
      </c>
    </row>
    <row r="1681">
      <c r="A1681" t="n">
        <v>10704</v>
      </c>
      <c r="B1681" s="72" t="n">
        <v>45752.71111111111</v>
      </c>
      <c r="C1681" t="inlineStr">
        <is>
          <t>Risaralda</t>
        </is>
      </c>
      <c r="D1681" t="inlineStr">
        <is>
          <t>Pereira</t>
        </is>
      </c>
      <c r="E1681" t="inlineStr">
        <is>
          <t>Deportes</t>
        </is>
      </c>
      <c r="F1681" t="inlineStr">
        <is>
          <t>App</t>
        </is>
      </c>
      <c r="G1681" t="inlineStr">
        <is>
          <t>1. Visita</t>
        </is>
      </c>
      <c r="H1681" t="n">
        <v>3</v>
      </c>
      <c r="I1681" s="73" t="n">
        <v>115100</v>
      </c>
      <c r="J1681" s="73" t="n">
        <v>397095</v>
      </c>
      <c r="K1681" s="73" t="n">
        <v>225280</v>
      </c>
    </row>
    <row r="1682">
      <c r="A1682" t="n">
        <v>10886</v>
      </c>
      <c r="B1682" s="72" t="n">
        <v>45752.84722222222</v>
      </c>
      <c r="C1682" t="inlineStr">
        <is>
          <t>Antioquia</t>
        </is>
      </c>
      <c r="D1682" t="inlineStr">
        <is>
          <t>Medellín</t>
        </is>
      </c>
      <c r="E1682" t="inlineStr">
        <is>
          <t>Moda</t>
        </is>
      </c>
      <c r="F1682" t="inlineStr">
        <is>
          <t>Web</t>
        </is>
      </c>
      <c r="G1682" t="inlineStr">
        <is>
          <t>1. Visita</t>
        </is>
      </c>
      <c r="H1682" t="n">
        <v>1</v>
      </c>
      <c r="I1682" s="73" t="n">
        <v>155800</v>
      </c>
      <c r="J1682" s="73" t="n">
        <v>179170</v>
      </c>
      <c r="K1682" s="73" t="n">
        <v>128659</v>
      </c>
    </row>
    <row r="1683">
      <c r="A1683" t="n">
        <v>10194</v>
      </c>
      <c r="B1683" s="72" t="n">
        <v>45753.48125</v>
      </c>
      <c r="C1683" t="inlineStr">
        <is>
          <t>Atlántico</t>
        </is>
      </c>
      <c r="D1683" t="inlineStr">
        <is>
          <t>Barranquilla</t>
        </is>
      </c>
      <c r="E1683" t="inlineStr">
        <is>
          <t>Moda</t>
        </is>
      </c>
      <c r="F1683" t="inlineStr">
        <is>
          <t>App</t>
        </is>
      </c>
      <c r="G1683" t="inlineStr">
        <is>
          <t>1. Visita</t>
        </is>
      </c>
      <c r="H1683" t="n">
        <v>4</v>
      </c>
      <c r="I1683" s="73" t="n">
        <v>126500</v>
      </c>
      <c r="J1683" s="73" t="n">
        <v>581900</v>
      </c>
      <c r="K1683" s="73" t="n">
        <v>384823</v>
      </c>
    </row>
    <row r="1684">
      <c r="A1684" t="n">
        <v>10256</v>
      </c>
      <c r="B1684" s="72" t="n">
        <v>45753.48472222222</v>
      </c>
      <c r="C1684" t="inlineStr">
        <is>
          <t>Atlántico</t>
        </is>
      </c>
      <c r="D1684" t="inlineStr">
        <is>
          <t>Barranquilla</t>
        </is>
      </c>
      <c r="E1684" t="inlineStr">
        <is>
          <t>Hogar</t>
        </is>
      </c>
      <c r="F1684" t="inlineStr">
        <is>
          <t>Web</t>
        </is>
      </c>
      <c r="G1684" t="inlineStr">
        <is>
          <t>1. Visita</t>
        </is>
      </c>
      <c r="H1684" t="n">
        <v>1</v>
      </c>
      <c r="I1684" s="73" t="n">
        <v>170500</v>
      </c>
      <c r="J1684" s="73" t="n">
        <v>196075</v>
      </c>
      <c r="K1684" s="73" t="n">
        <v>137183</v>
      </c>
    </row>
    <row r="1685">
      <c r="A1685" t="n">
        <v>12093</v>
      </c>
      <c r="B1685" s="72" t="n">
        <v>45753.57777777778</v>
      </c>
      <c r="C1685" t="inlineStr">
        <is>
          <t>Bogotá D.C.</t>
        </is>
      </c>
      <c r="D1685" t="inlineStr">
        <is>
          <t>Bogotá</t>
        </is>
      </c>
      <c r="E1685" t="inlineStr">
        <is>
          <t>Hogar</t>
        </is>
      </c>
      <c r="F1685" t="inlineStr">
        <is>
          <t>Web</t>
        </is>
      </c>
      <c r="G1685" t="inlineStr">
        <is>
          <t>1. Visita</t>
        </is>
      </c>
      <c r="H1685" t="n">
        <v>4</v>
      </c>
      <c r="I1685" s="73" t="n">
        <v>176800</v>
      </c>
      <c r="J1685" s="73" t="n">
        <v>813280</v>
      </c>
      <c r="K1685" s="73" t="n">
        <v>601601</v>
      </c>
    </row>
    <row r="1686">
      <c r="A1686" t="n">
        <v>12095</v>
      </c>
      <c r="B1686" s="72" t="n">
        <v>45753.69791666666</v>
      </c>
      <c r="C1686" t="inlineStr">
        <is>
          <t>Valle del Cauca</t>
        </is>
      </c>
      <c r="D1686" t="inlineStr">
        <is>
          <t>Cali</t>
        </is>
      </c>
      <c r="E1686" t="inlineStr">
        <is>
          <t>Tecnología</t>
        </is>
      </c>
      <c r="F1686" t="inlineStr">
        <is>
          <t>Marketplace</t>
        </is>
      </c>
      <c r="G1686" t="inlineStr">
        <is>
          <t>3. Pago</t>
        </is>
      </c>
      <c r="H1686" t="n">
        <v>5</v>
      </c>
      <c r="I1686" s="73" t="n">
        <v>721600</v>
      </c>
      <c r="J1686" s="73" t="n">
        <v>4149200</v>
      </c>
      <c r="K1686" s="73" t="n">
        <v>2740981</v>
      </c>
    </row>
    <row r="1687">
      <c r="A1687" t="n">
        <v>11584</v>
      </c>
      <c r="B1687" s="72" t="n">
        <v>45753.83958333333</v>
      </c>
      <c r="C1687" t="inlineStr">
        <is>
          <t>Antioquia</t>
        </is>
      </c>
      <c r="D1687" t="inlineStr">
        <is>
          <t>Medellín</t>
        </is>
      </c>
      <c r="E1687" t="inlineStr">
        <is>
          <t>Belleza</t>
        </is>
      </c>
      <c r="F1687" t="inlineStr">
        <is>
          <t>Web</t>
        </is>
      </c>
      <c r="G1687" t="inlineStr">
        <is>
          <t>4. Compra</t>
        </is>
      </c>
      <c r="H1687" t="n">
        <v>4</v>
      </c>
      <c r="I1687" s="73" t="n">
        <v>85600</v>
      </c>
      <c r="J1687" s="73" t="n">
        <v>393760</v>
      </c>
      <c r="K1687" s="73" t="n">
        <v>248303</v>
      </c>
    </row>
    <row r="1688">
      <c r="A1688" t="n">
        <v>10215</v>
      </c>
      <c r="B1688" s="72" t="n">
        <v>45754.87847222222</v>
      </c>
      <c r="C1688" t="inlineStr">
        <is>
          <t>Antioquia</t>
        </is>
      </c>
      <c r="D1688" t="inlineStr">
        <is>
          <t>Medellín</t>
        </is>
      </c>
      <c r="E1688" t="inlineStr">
        <is>
          <t>Deportes</t>
        </is>
      </c>
      <c r="F1688" t="inlineStr">
        <is>
          <t>Web</t>
        </is>
      </c>
      <c r="G1688" t="inlineStr">
        <is>
          <t>3. Pago</t>
        </is>
      </c>
      <c r="H1688" t="n">
        <v>5</v>
      </c>
      <c r="I1688" s="73" t="n">
        <v>199800</v>
      </c>
      <c r="J1688" s="73" t="n">
        <v>999000</v>
      </c>
      <c r="K1688" s="73" t="n">
        <v>607158</v>
      </c>
    </row>
    <row r="1689">
      <c r="A1689" t="n">
        <v>11214</v>
      </c>
      <c r="B1689" s="72" t="n">
        <v>45754.97222222222</v>
      </c>
      <c r="C1689" t="inlineStr">
        <is>
          <t>Bogotá D.C.</t>
        </is>
      </c>
      <c r="D1689" t="inlineStr">
        <is>
          <t>Bogotá</t>
        </is>
      </c>
      <c r="E1689" t="inlineStr">
        <is>
          <t>Hogar</t>
        </is>
      </c>
      <c r="F1689" t="inlineStr">
        <is>
          <t>App</t>
        </is>
      </c>
      <c r="G1689" t="inlineStr">
        <is>
          <t>2. Carrito</t>
        </is>
      </c>
      <c r="H1689" t="n">
        <v>3</v>
      </c>
      <c r="I1689" s="73" t="n">
        <v>257600</v>
      </c>
      <c r="J1689" s="73" t="n">
        <v>772800</v>
      </c>
      <c r="K1689" s="73" t="n">
        <v>480075</v>
      </c>
    </row>
    <row r="1690">
      <c r="A1690" t="n">
        <v>10591</v>
      </c>
      <c r="B1690" s="72" t="n">
        <v>45755.5125</v>
      </c>
      <c r="C1690" t="inlineStr">
        <is>
          <t>Valle del Cauca</t>
        </is>
      </c>
      <c r="D1690" t="inlineStr">
        <is>
          <t>Cali</t>
        </is>
      </c>
      <c r="E1690" t="inlineStr">
        <is>
          <t>Deportes</t>
        </is>
      </c>
      <c r="F1690" t="inlineStr">
        <is>
          <t>Web</t>
        </is>
      </c>
      <c r="G1690" t="inlineStr">
        <is>
          <t>2. Carrito</t>
        </is>
      </c>
      <c r="H1690" t="n">
        <v>4</v>
      </c>
      <c r="I1690" s="73" t="n">
        <v>155700</v>
      </c>
      <c r="J1690" s="73" t="n">
        <v>622800</v>
      </c>
      <c r="K1690" s="73" t="n">
        <v>453159</v>
      </c>
    </row>
    <row r="1691">
      <c r="A1691" t="n">
        <v>11341</v>
      </c>
      <c r="B1691" s="72" t="n">
        <v>45756.06111111111</v>
      </c>
      <c r="C1691" t="inlineStr">
        <is>
          <t>Valle del Cauca</t>
        </is>
      </c>
      <c r="D1691" t="inlineStr">
        <is>
          <t>Cali</t>
        </is>
      </c>
      <c r="E1691" t="inlineStr">
        <is>
          <t>Moda</t>
        </is>
      </c>
      <c r="F1691" t="inlineStr">
        <is>
          <t>Tienda física</t>
        </is>
      </c>
      <c r="G1691" t="inlineStr">
        <is>
          <t>2. Carrito</t>
        </is>
      </c>
      <c r="H1691" t="n">
        <v>1</v>
      </c>
      <c r="I1691" s="73" t="n">
        <v>131200</v>
      </c>
      <c r="J1691" s="73" t="n">
        <v>131200</v>
      </c>
      <c r="K1691" s="73" t="n">
        <v>87305</v>
      </c>
    </row>
    <row r="1692">
      <c r="A1692" t="n">
        <v>11925</v>
      </c>
      <c r="B1692" s="72" t="n">
        <v>45756.37638888889</v>
      </c>
      <c r="C1692" t="inlineStr">
        <is>
          <t>Antioquia</t>
        </is>
      </c>
      <c r="D1692" t="inlineStr">
        <is>
          <t>Medellín</t>
        </is>
      </c>
      <c r="E1692" t="inlineStr">
        <is>
          <t>Hogar</t>
        </is>
      </c>
      <c r="F1692" t="inlineStr">
        <is>
          <t>Tienda física</t>
        </is>
      </c>
      <c r="G1692" t="inlineStr">
        <is>
          <t>1. Visita</t>
        </is>
      </c>
      <c r="H1692" t="n">
        <v>5</v>
      </c>
      <c r="I1692" s="73" t="n">
        <v>150300</v>
      </c>
      <c r="J1692" s="73" t="n">
        <v>751500</v>
      </c>
      <c r="K1692" s="73" t="n">
        <v>475545</v>
      </c>
    </row>
    <row r="1693">
      <c r="A1693" t="n">
        <v>11176</v>
      </c>
      <c r="B1693" s="72" t="n">
        <v>45756.46736111111</v>
      </c>
      <c r="C1693" t="inlineStr">
        <is>
          <t>Bogotá D.C.</t>
        </is>
      </c>
      <c r="D1693" t="inlineStr">
        <is>
          <t>Bogotá</t>
        </is>
      </c>
      <c r="E1693" t="inlineStr">
        <is>
          <t>Juguetes</t>
        </is>
      </c>
      <c r="F1693" t="inlineStr">
        <is>
          <t>Web</t>
        </is>
      </c>
      <c r="G1693" t="inlineStr">
        <is>
          <t>2. Carrito</t>
        </is>
      </c>
      <c r="H1693" t="n">
        <v>1</v>
      </c>
      <c r="I1693" s="73" t="n">
        <v>74400</v>
      </c>
      <c r="J1693" s="73" t="n">
        <v>74400</v>
      </c>
      <c r="K1693" s="73" t="n">
        <v>52103</v>
      </c>
    </row>
    <row r="1694">
      <c r="A1694" t="n">
        <v>10024</v>
      </c>
      <c r="B1694" s="72" t="n">
        <v>45756.78611111111</v>
      </c>
      <c r="C1694" t="inlineStr">
        <is>
          <t>Santander</t>
        </is>
      </c>
      <c r="D1694" t="inlineStr">
        <is>
          <t>Bucaramanga</t>
        </is>
      </c>
      <c r="E1694" t="inlineStr">
        <is>
          <t>Belleza</t>
        </is>
      </c>
      <c r="F1694" t="inlineStr">
        <is>
          <t>App</t>
        </is>
      </c>
      <c r="G1694" t="inlineStr">
        <is>
          <t>2. Carrito</t>
        </is>
      </c>
      <c r="H1694" t="n">
        <v>3</v>
      </c>
      <c r="I1694" s="73" t="n">
        <v>81900</v>
      </c>
      <c r="J1694" s="73" t="n">
        <v>245700</v>
      </c>
      <c r="K1694" s="73" t="n">
        <v>138209</v>
      </c>
    </row>
    <row r="1695">
      <c r="A1695" t="n">
        <v>11076</v>
      </c>
      <c r="B1695" s="72" t="n">
        <v>45756.84791666667</v>
      </c>
      <c r="C1695" t="inlineStr">
        <is>
          <t>Bogotá D.C.</t>
        </is>
      </c>
      <c r="D1695" t="inlineStr">
        <is>
          <t>Bogotá</t>
        </is>
      </c>
      <c r="E1695" t="inlineStr">
        <is>
          <t>Belleza</t>
        </is>
      </c>
      <c r="F1695" t="inlineStr">
        <is>
          <t>Tienda física</t>
        </is>
      </c>
      <c r="G1695" t="inlineStr">
        <is>
          <t>4. Compra</t>
        </is>
      </c>
      <c r="H1695" t="n">
        <v>2</v>
      </c>
      <c r="I1695" s="73" t="n">
        <v>79000</v>
      </c>
      <c r="J1695" s="73" t="n">
        <v>158000</v>
      </c>
      <c r="K1695" s="73" t="n">
        <v>108107</v>
      </c>
    </row>
    <row r="1696">
      <c r="A1696" t="n">
        <v>11551</v>
      </c>
      <c r="B1696" s="72" t="n">
        <v>45756.88263888889</v>
      </c>
      <c r="C1696" t="inlineStr">
        <is>
          <t>Nariño</t>
        </is>
      </c>
      <c r="D1696" t="inlineStr">
        <is>
          <t>Pasto</t>
        </is>
      </c>
      <c r="E1696" t="inlineStr">
        <is>
          <t>Hogar</t>
        </is>
      </c>
      <c r="F1696" t="inlineStr">
        <is>
          <t>Tienda física</t>
        </is>
      </c>
      <c r="G1696" t="inlineStr">
        <is>
          <t>2. Carrito</t>
        </is>
      </c>
      <c r="H1696" t="n">
        <v>3</v>
      </c>
      <c r="I1696" s="73" t="n">
        <v>191100</v>
      </c>
      <c r="J1696" s="73" t="n">
        <v>573300</v>
      </c>
      <c r="K1696" s="73" t="n">
        <v>410951</v>
      </c>
    </row>
    <row r="1697">
      <c r="A1697" t="n">
        <v>10395</v>
      </c>
      <c r="B1697" s="72" t="n">
        <v>45757.775</v>
      </c>
      <c r="C1697" t="inlineStr">
        <is>
          <t>Valle del Cauca</t>
        </is>
      </c>
      <c r="D1697" t="inlineStr">
        <is>
          <t>Cali</t>
        </is>
      </c>
      <c r="E1697" t="inlineStr">
        <is>
          <t>Hogar</t>
        </is>
      </c>
      <c r="F1697" t="inlineStr">
        <is>
          <t>App</t>
        </is>
      </c>
      <c r="G1697" t="inlineStr">
        <is>
          <t>3. Pago</t>
        </is>
      </c>
      <c r="H1697" t="n">
        <v>2</v>
      </c>
      <c r="I1697" s="73" t="n">
        <v>229600</v>
      </c>
      <c r="J1697" s="73" t="n">
        <v>459200</v>
      </c>
      <c r="K1697" s="73" t="n">
        <v>255776</v>
      </c>
    </row>
    <row r="1698">
      <c r="A1698" t="n">
        <v>10862</v>
      </c>
      <c r="B1698" s="72" t="n">
        <v>45758.31319444445</v>
      </c>
      <c r="C1698" t="inlineStr">
        <is>
          <t>Atlántico</t>
        </is>
      </c>
      <c r="D1698" t="inlineStr">
        <is>
          <t>Barranquilla</t>
        </is>
      </c>
      <c r="E1698" t="inlineStr">
        <is>
          <t>Moda</t>
        </is>
      </c>
      <c r="F1698" t="inlineStr">
        <is>
          <t>Web</t>
        </is>
      </c>
      <c r="G1698" t="inlineStr">
        <is>
          <t>1. Visita</t>
        </is>
      </c>
      <c r="H1698" t="n">
        <v>3</v>
      </c>
      <c r="I1698" s="73" t="n">
        <v>129600</v>
      </c>
      <c r="J1698" s="73" t="n">
        <v>447120</v>
      </c>
      <c r="K1698" s="73" t="n">
        <v>307358</v>
      </c>
    </row>
    <row r="1699">
      <c r="A1699" t="n">
        <v>10100</v>
      </c>
      <c r="B1699" s="72" t="n">
        <v>45758.50486111111</v>
      </c>
      <c r="C1699" t="inlineStr">
        <is>
          <t>Antioquia</t>
        </is>
      </c>
      <c r="D1699" t="inlineStr">
        <is>
          <t>Medellín</t>
        </is>
      </c>
      <c r="E1699" t="inlineStr">
        <is>
          <t>Tecnología</t>
        </is>
      </c>
      <c r="F1699" t="inlineStr">
        <is>
          <t>Web</t>
        </is>
      </c>
      <c r="G1699" t="inlineStr">
        <is>
          <t>1. Visita</t>
        </is>
      </c>
      <c r="H1699" t="n">
        <v>3</v>
      </c>
      <c r="I1699" s="73" t="n">
        <v>636700</v>
      </c>
      <c r="J1699" s="73" t="n">
        <v>2196615</v>
      </c>
      <c r="K1699" s="73" t="n">
        <v>1406599</v>
      </c>
    </row>
    <row r="1700">
      <c r="A1700" t="n">
        <v>10575</v>
      </c>
      <c r="B1700" s="72" t="n">
        <v>45758.52777777778</v>
      </c>
      <c r="C1700" t="inlineStr">
        <is>
          <t>Antioquia</t>
        </is>
      </c>
      <c r="D1700" t="inlineStr">
        <is>
          <t>Medellín</t>
        </is>
      </c>
      <c r="E1700" t="inlineStr">
        <is>
          <t>Hogar</t>
        </is>
      </c>
      <c r="F1700" t="inlineStr">
        <is>
          <t>Web</t>
        </is>
      </c>
      <c r="G1700" t="inlineStr">
        <is>
          <t>3. Pago</t>
        </is>
      </c>
      <c r="H1700" t="n">
        <v>2</v>
      </c>
      <c r="I1700" s="73" t="n">
        <v>241800</v>
      </c>
      <c r="J1700" s="73" t="n">
        <v>556140</v>
      </c>
      <c r="K1700" s="73" t="n">
        <v>345640</v>
      </c>
    </row>
    <row r="1701">
      <c r="A1701" t="n">
        <v>11384</v>
      </c>
      <c r="B1701" s="72" t="n">
        <v>45758.62638888889</v>
      </c>
      <c r="C1701" t="inlineStr">
        <is>
          <t>Bolívar</t>
        </is>
      </c>
      <c r="D1701" t="inlineStr">
        <is>
          <t>Cartagena</t>
        </is>
      </c>
      <c r="E1701" t="inlineStr">
        <is>
          <t>Deportes</t>
        </is>
      </c>
      <c r="F1701" t="inlineStr">
        <is>
          <t>Marketplace</t>
        </is>
      </c>
      <c r="G1701" t="inlineStr">
        <is>
          <t>1. Visita</t>
        </is>
      </c>
      <c r="H1701" t="n">
        <v>4</v>
      </c>
      <c r="I1701" s="73" t="n">
        <v>181500</v>
      </c>
      <c r="J1701" s="73" t="n">
        <v>834900</v>
      </c>
      <c r="K1701" s="73" t="n">
        <v>539895</v>
      </c>
    </row>
    <row r="1702">
      <c r="A1702" t="n">
        <v>11257</v>
      </c>
      <c r="B1702" s="72" t="n">
        <v>45758.66111111111</v>
      </c>
      <c r="C1702" t="inlineStr">
        <is>
          <t>Bogotá D.C.</t>
        </is>
      </c>
      <c r="D1702" t="inlineStr">
        <is>
          <t>Bogotá</t>
        </is>
      </c>
      <c r="E1702" t="inlineStr">
        <is>
          <t>Belleza</t>
        </is>
      </c>
      <c r="F1702" t="inlineStr">
        <is>
          <t>Web</t>
        </is>
      </c>
      <c r="G1702" t="inlineStr">
        <is>
          <t>1. Visita</t>
        </is>
      </c>
      <c r="H1702" t="n">
        <v>2</v>
      </c>
      <c r="I1702" s="73" t="n">
        <v>53100</v>
      </c>
      <c r="J1702" s="73" t="n">
        <v>122130</v>
      </c>
      <c r="K1702" s="73" t="n">
        <v>79220</v>
      </c>
    </row>
    <row r="1703">
      <c r="A1703" t="n">
        <v>11093</v>
      </c>
      <c r="B1703" s="72" t="n">
        <v>45758.9125</v>
      </c>
      <c r="C1703" t="inlineStr">
        <is>
          <t>Valle del Cauca</t>
        </is>
      </c>
      <c r="D1703" t="inlineStr">
        <is>
          <t>Cali</t>
        </is>
      </c>
      <c r="E1703" t="inlineStr">
        <is>
          <t>Belleza</t>
        </is>
      </c>
      <c r="F1703" t="inlineStr">
        <is>
          <t>App</t>
        </is>
      </c>
      <c r="G1703" t="inlineStr">
        <is>
          <t>1. Visita</t>
        </is>
      </c>
      <c r="H1703" t="n">
        <v>5</v>
      </c>
      <c r="I1703" s="73" t="n">
        <v>76700</v>
      </c>
      <c r="J1703" s="73" t="n">
        <v>441025</v>
      </c>
      <c r="K1703" s="73" t="n">
        <v>282638</v>
      </c>
    </row>
    <row r="1704">
      <c r="A1704" t="n">
        <v>11519</v>
      </c>
      <c r="B1704" s="72" t="n">
        <v>45758.97222222222</v>
      </c>
      <c r="C1704" t="inlineStr">
        <is>
          <t>Bogotá D.C.</t>
        </is>
      </c>
      <c r="D1704" t="inlineStr">
        <is>
          <t>Bogotá</t>
        </is>
      </c>
      <c r="E1704" t="inlineStr">
        <is>
          <t>Deportes</t>
        </is>
      </c>
      <c r="F1704" t="inlineStr">
        <is>
          <t>App</t>
        </is>
      </c>
      <c r="G1704" t="inlineStr">
        <is>
          <t>1. Visita</t>
        </is>
      </c>
      <c r="H1704" t="n">
        <v>2</v>
      </c>
      <c r="I1704" s="73" t="n">
        <v>173700</v>
      </c>
      <c r="J1704" s="73" t="n">
        <v>399510</v>
      </c>
      <c r="K1704" s="73" t="n">
        <v>247758</v>
      </c>
    </row>
    <row r="1705">
      <c r="A1705" t="n">
        <v>11985</v>
      </c>
      <c r="B1705" s="72" t="n">
        <v>45759.40277777778</v>
      </c>
      <c r="C1705" t="inlineStr">
        <is>
          <t>Bogotá D.C.</t>
        </is>
      </c>
      <c r="D1705" t="inlineStr">
        <is>
          <t>Bogotá</t>
        </is>
      </c>
      <c r="E1705" t="inlineStr">
        <is>
          <t>Tecnología</t>
        </is>
      </c>
      <c r="F1705" t="inlineStr">
        <is>
          <t>App</t>
        </is>
      </c>
      <c r="G1705" t="inlineStr">
        <is>
          <t>2. Carrito</t>
        </is>
      </c>
      <c r="H1705" t="n">
        <v>5</v>
      </c>
      <c r="I1705" s="73" t="n">
        <v>1068300</v>
      </c>
      <c r="J1705" s="73" t="n">
        <v>6142725</v>
      </c>
      <c r="K1705" s="73" t="n">
        <v>3917359</v>
      </c>
    </row>
    <row r="1706">
      <c r="A1706" t="n">
        <v>12060</v>
      </c>
      <c r="B1706" s="72" t="n">
        <v>45759.64097222222</v>
      </c>
      <c r="C1706" t="inlineStr">
        <is>
          <t>Valle del Cauca</t>
        </is>
      </c>
      <c r="D1706" t="inlineStr">
        <is>
          <t>Cali</t>
        </is>
      </c>
      <c r="E1706" t="inlineStr">
        <is>
          <t>Moda</t>
        </is>
      </c>
      <c r="F1706" t="inlineStr">
        <is>
          <t>Web</t>
        </is>
      </c>
      <c r="G1706" t="inlineStr">
        <is>
          <t>1. Visita</t>
        </is>
      </c>
      <c r="H1706" t="n">
        <v>4</v>
      </c>
      <c r="I1706" s="73" t="n">
        <v>134700</v>
      </c>
      <c r="J1706" s="73" t="n">
        <v>619620</v>
      </c>
      <c r="K1706" s="73" t="n">
        <v>375179</v>
      </c>
    </row>
    <row r="1707">
      <c r="A1707" t="n">
        <v>10093</v>
      </c>
      <c r="B1707" s="72" t="n">
        <v>45759.72152777778</v>
      </c>
      <c r="C1707" t="inlineStr">
        <is>
          <t>Bogotá D.C.</t>
        </is>
      </c>
      <c r="D1707" t="inlineStr">
        <is>
          <t>Bogotá</t>
        </is>
      </c>
      <c r="E1707" t="inlineStr">
        <is>
          <t>Tecnología</t>
        </is>
      </c>
      <c r="F1707" t="inlineStr">
        <is>
          <t>Web</t>
        </is>
      </c>
      <c r="G1707" t="inlineStr">
        <is>
          <t>1. Visita</t>
        </is>
      </c>
      <c r="H1707" t="n">
        <v>1</v>
      </c>
      <c r="I1707" s="73" t="n">
        <v>657300</v>
      </c>
      <c r="J1707" s="73" t="n">
        <v>755895</v>
      </c>
      <c r="K1707" s="73" t="n">
        <v>452869</v>
      </c>
    </row>
    <row r="1708">
      <c r="A1708" t="n">
        <v>10322</v>
      </c>
      <c r="B1708" s="72" t="n">
        <v>45759.90069444444</v>
      </c>
      <c r="C1708" t="inlineStr">
        <is>
          <t>Bogotá D.C.</t>
        </is>
      </c>
      <c r="D1708" t="inlineStr">
        <is>
          <t>Bogotá</t>
        </is>
      </c>
      <c r="E1708" t="inlineStr">
        <is>
          <t>Tecnología</t>
        </is>
      </c>
      <c r="F1708" t="inlineStr">
        <is>
          <t>Web</t>
        </is>
      </c>
      <c r="G1708" t="inlineStr">
        <is>
          <t>1. Visita</t>
        </is>
      </c>
      <c r="H1708" t="n">
        <v>4</v>
      </c>
      <c r="I1708" s="73" t="n">
        <v>935600</v>
      </c>
      <c r="J1708" s="73" t="n">
        <v>4303760</v>
      </c>
      <c r="K1708" s="73" t="n">
        <v>2617650</v>
      </c>
    </row>
    <row r="1709">
      <c r="A1709" t="n">
        <v>10394</v>
      </c>
      <c r="B1709" s="72" t="n">
        <v>45760.55208333334</v>
      </c>
      <c r="C1709" t="inlineStr">
        <is>
          <t>Risaralda</t>
        </is>
      </c>
      <c r="D1709" t="inlineStr">
        <is>
          <t>Pereira</t>
        </is>
      </c>
      <c r="E1709" t="inlineStr">
        <is>
          <t>Hogar</t>
        </is>
      </c>
      <c r="F1709" t="inlineStr">
        <is>
          <t>App</t>
        </is>
      </c>
      <c r="G1709" t="inlineStr">
        <is>
          <t>1. Visita</t>
        </is>
      </c>
      <c r="H1709" t="n">
        <v>4</v>
      </c>
      <c r="I1709" s="73" t="n">
        <v>168400</v>
      </c>
      <c r="J1709" s="73" t="n">
        <v>774640</v>
      </c>
      <c r="K1709" s="73" t="n">
        <v>542054</v>
      </c>
    </row>
    <row r="1710">
      <c r="A1710" t="n">
        <v>10156</v>
      </c>
      <c r="B1710" s="72" t="n">
        <v>45760.76736111111</v>
      </c>
      <c r="C1710" t="inlineStr">
        <is>
          <t>Bogotá D.C.</t>
        </is>
      </c>
      <c r="D1710" t="inlineStr">
        <is>
          <t>Bogotá</t>
        </is>
      </c>
      <c r="E1710" t="inlineStr">
        <is>
          <t>Tecnología</t>
        </is>
      </c>
      <c r="F1710" t="inlineStr">
        <is>
          <t>App</t>
        </is>
      </c>
      <c r="G1710" t="inlineStr">
        <is>
          <t>1. Visita</t>
        </is>
      </c>
      <c r="H1710" t="n">
        <v>5</v>
      </c>
      <c r="I1710" s="73" t="n">
        <v>979500</v>
      </c>
      <c r="J1710" s="73" t="n">
        <v>5632125</v>
      </c>
      <c r="K1710" s="73" t="n">
        <v>4009313</v>
      </c>
    </row>
    <row r="1711">
      <c r="A1711" t="n">
        <v>10437</v>
      </c>
      <c r="B1711" s="72" t="n">
        <v>45760.80555555555</v>
      </c>
      <c r="C1711" t="inlineStr">
        <is>
          <t>Bogotá D.C.</t>
        </is>
      </c>
      <c r="D1711" t="inlineStr">
        <is>
          <t>Bogotá</t>
        </is>
      </c>
      <c r="E1711" t="inlineStr">
        <is>
          <t>Belleza</t>
        </is>
      </c>
      <c r="F1711" t="inlineStr">
        <is>
          <t>Web</t>
        </is>
      </c>
      <c r="G1711" t="inlineStr">
        <is>
          <t>3. Pago</t>
        </is>
      </c>
      <c r="H1711" t="n">
        <v>3</v>
      </c>
      <c r="I1711" s="73" t="n">
        <v>68100</v>
      </c>
      <c r="J1711" s="73" t="n">
        <v>234945</v>
      </c>
      <c r="K1711" s="73" t="n">
        <v>169711</v>
      </c>
    </row>
    <row r="1712">
      <c r="A1712" t="n">
        <v>10613</v>
      </c>
      <c r="B1712" s="72" t="n">
        <v>45760.80763888889</v>
      </c>
      <c r="C1712" t="inlineStr">
        <is>
          <t>Bogotá D.C.</t>
        </is>
      </c>
      <c r="D1712" t="inlineStr">
        <is>
          <t>Bogotá</t>
        </is>
      </c>
      <c r="E1712" t="inlineStr">
        <is>
          <t>Moda</t>
        </is>
      </c>
      <c r="F1712" t="inlineStr">
        <is>
          <t>App</t>
        </is>
      </c>
      <c r="G1712" t="inlineStr">
        <is>
          <t>3. Pago</t>
        </is>
      </c>
      <c r="H1712" t="n">
        <v>4</v>
      </c>
      <c r="I1712" s="73" t="n">
        <v>148100</v>
      </c>
      <c r="J1712" s="73" t="n">
        <v>681260</v>
      </c>
      <c r="K1712" s="73" t="n">
        <v>385258</v>
      </c>
    </row>
    <row r="1713">
      <c r="A1713" t="n">
        <v>12308</v>
      </c>
      <c r="B1713" s="72" t="n">
        <v>45761.67430555556</v>
      </c>
      <c r="C1713" t="inlineStr">
        <is>
          <t>Antioquia</t>
        </is>
      </c>
      <c r="D1713" t="inlineStr">
        <is>
          <t>Medellín</t>
        </is>
      </c>
      <c r="E1713" t="inlineStr">
        <is>
          <t>Deportes</t>
        </is>
      </c>
      <c r="F1713" t="inlineStr">
        <is>
          <t>Web</t>
        </is>
      </c>
      <c r="G1713" t="inlineStr">
        <is>
          <t>1. Visita</t>
        </is>
      </c>
      <c r="H1713" t="n">
        <v>1</v>
      </c>
      <c r="I1713" s="73" t="n">
        <v>112000</v>
      </c>
      <c r="J1713" s="73" t="n">
        <v>112000</v>
      </c>
      <c r="K1713" s="73" t="n">
        <v>62309</v>
      </c>
    </row>
    <row r="1714">
      <c r="A1714" t="n">
        <v>11267</v>
      </c>
      <c r="B1714" s="72" t="n">
        <v>45761.76180555556</v>
      </c>
      <c r="C1714" t="inlineStr">
        <is>
          <t>Bogotá D.C.</t>
        </is>
      </c>
      <c r="D1714" t="inlineStr">
        <is>
          <t>Bogotá</t>
        </is>
      </c>
      <c r="E1714" t="inlineStr">
        <is>
          <t>Moda</t>
        </is>
      </c>
      <c r="F1714" t="inlineStr">
        <is>
          <t>Web</t>
        </is>
      </c>
      <c r="G1714" t="inlineStr">
        <is>
          <t>3. Pago</t>
        </is>
      </c>
      <c r="H1714" t="n">
        <v>2</v>
      </c>
      <c r="I1714" s="73" t="n">
        <v>101100</v>
      </c>
      <c r="J1714" s="73" t="n">
        <v>202200</v>
      </c>
      <c r="K1714" s="73" t="n">
        <v>144361</v>
      </c>
    </row>
    <row r="1715">
      <c r="A1715" t="n">
        <v>11776</v>
      </c>
      <c r="B1715" s="72" t="n">
        <v>45762.11041666667</v>
      </c>
      <c r="C1715" t="inlineStr">
        <is>
          <t>Antioquia</t>
        </is>
      </c>
      <c r="D1715" t="inlineStr">
        <is>
          <t>Medellín</t>
        </is>
      </c>
      <c r="E1715" t="inlineStr">
        <is>
          <t>Moda</t>
        </is>
      </c>
      <c r="F1715" t="inlineStr">
        <is>
          <t>Web</t>
        </is>
      </c>
      <c r="G1715" t="inlineStr">
        <is>
          <t>1. Visita</t>
        </is>
      </c>
      <c r="H1715" t="n">
        <v>3</v>
      </c>
      <c r="I1715" s="73" t="n">
        <v>131100</v>
      </c>
      <c r="J1715" s="73" t="n">
        <v>393300</v>
      </c>
      <c r="K1715" s="73" t="n">
        <v>254274</v>
      </c>
    </row>
    <row r="1716">
      <c r="A1716" t="n">
        <v>10673</v>
      </c>
      <c r="B1716" s="72" t="n">
        <v>45762.40069444444</v>
      </c>
      <c r="C1716" t="inlineStr">
        <is>
          <t>Antioquia</t>
        </is>
      </c>
      <c r="D1716" t="inlineStr">
        <is>
          <t>Medellín</t>
        </is>
      </c>
      <c r="E1716" t="inlineStr">
        <is>
          <t>Belleza</t>
        </is>
      </c>
      <c r="F1716" t="inlineStr">
        <is>
          <t>Web</t>
        </is>
      </c>
      <c r="G1716" t="inlineStr">
        <is>
          <t>1. Visita</t>
        </is>
      </c>
      <c r="H1716" t="n">
        <v>1</v>
      </c>
      <c r="I1716" s="73" t="n">
        <v>71600</v>
      </c>
      <c r="J1716" s="73" t="n">
        <v>71600</v>
      </c>
      <c r="K1716" s="73" t="n">
        <v>45466</v>
      </c>
    </row>
    <row r="1717">
      <c r="A1717" t="n">
        <v>10940</v>
      </c>
      <c r="B1717" s="72" t="n">
        <v>45762.42291666667</v>
      </c>
      <c r="C1717" t="inlineStr">
        <is>
          <t>Atlántico</t>
        </is>
      </c>
      <c r="D1717" t="inlineStr">
        <is>
          <t>Barranquilla</t>
        </is>
      </c>
      <c r="E1717" t="inlineStr">
        <is>
          <t>Tecnología</t>
        </is>
      </c>
      <c r="F1717" t="inlineStr">
        <is>
          <t>App</t>
        </is>
      </c>
      <c r="G1717" t="inlineStr">
        <is>
          <t>1. Visita</t>
        </is>
      </c>
      <c r="H1717" t="n">
        <v>4</v>
      </c>
      <c r="I1717" s="73" t="n">
        <v>761600</v>
      </c>
      <c r="J1717" s="73" t="n">
        <v>3046400</v>
      </c>
      <c r="K1717" s="73" t="n">
        <v>2207381</v>
      </c>
    </row>
    <row r="1718">
      <c r="A1718" t="n">
        <v>10219</v>
      </c>
      <c r="B1718" s="72" t="n">
        <v>45762.48819444444</v>
      </c>
      <c r="C1718" t="inlineStr">
        <is>
          <t>Valle del Cauca</t>
        </is>
      </c>
      <c r="D1718" t="inlineStr">
        <is>
          <t>Cali</t>
        </is>
      </c>
      <c r="E1718" t="inlineStr">
        <is>
          <t>Hogar</t>
        </is>
      </c>
      <c r="F1718" t="inlineStr">
        <is>
          <t>Web</t>
        </is>
      </c>
      <c r="G1718" t="inlineStr">
        <is>
          <t>2. Carrito</t>
        </is>
      </c>
      <c r="H1718" t="n">
        <v>1</v>
      </c>
      <c r="I1718" s="73" t="n">
        <v>260400</v>
      </c>
      <c r="J1718" s="73" t="n">
        <v>260400</v>
      </c>
      <c r="K1718" s="73" t="n">
        <v>174914</v>
      </c>
    </row>
    <row r="1719">
      <c r="A1719" t="n">
        <v>12091</v>
      </c>
      <c r="B1719" s="72" t="n">
        <v>45762.51041666666</v>
      </c>
      <c r="C1719" t="inlineStr">
        <is>
          <t>Risaralda</t>
        </is>
      </c>
      <c r="D1719" t="inlineStr">
        <is>
          <t>Pereira</t>
        </is>
      </c>
      <c r="E1719" t="inlineStr">
        <is>
          <t>Tecnología</t>
        </is>
      </c>
      <c r="F1719" t="inlineStr">
        <is>
          <t>App</t>
        </is>
      </c>
      <c r="G1719" t="inlineStr">
        <is>
          <t>4. Compra</t>
        </is>
      </c>
      <c r="H1719" t="n">
        <v>2</v>
      </c>
      <c r="I1719" s="73" t="n">
        <v>687700</v>
      </c>
      <c r="J1719" s="73" t="n">
        <v>1375400</v>
      </c>
      <c r="K1719" s="73" t="n">
        <v>785335</v>
      </c>
    </row>
    <row r="1720">
      <c r="A1720" t="n">
        <v>12271</v>
      </c>
      <c r="B1720" s="72" t="n">
        <v>45762.51527777778</v>
      </c>
      <c r="C1720" t="inlineStr">
        <is>
          <t>Antioquia</t>
        </is>
      </c>
      <c r="D1720" t="inlineStr">
        <is>
          <t>Medellín</t>
        </is>
      </c>
      <c r="E1720" t="inlineStr">
        <is>
          <t>Juguetes</t>
        </is>
      </c>
      <c r="F1720" t="inlineStr">
        <is>
          <t>Tienda física</t>
        </is>
      </c>
      <c r="G1720" t="inlineStr">
        <is>
          <t>1. Visita</t>
        </is>
      </c>
      <c r="H1720" t="n">
        <v>5</v>
      </c>
      <c r="I1720" s="73" t="n">
        <v>94600</v>
      </c>
      <c r="J1720" s="73" t="n">
        <v>473000</v>
      </c>
      <c r="K1720" s="73" t="n">
        <v>296037</v>
      </c>
    </row>
    <row r="1721">
      <c r="A1721" t="n">
        <v>10372</v>
      </c>
      <c r="B1721" s="72" t="n">
        <v>45762.55763888889</v>
      </c>
      <c r="C1721" t="inlineStr">
        <is>
          <t>Bolívar</t>
        </is>
      </c>
      <c r="D1721" t="inlineStr">
        <is>
          <t>Cartagena</t>
        </is>
      </c>
      <c r="E1721" t="inlineStr">
        <is>
          <t>Deportes</t>
        </is>
      </c>
      <c r="F1721" t="inlineStr">
        <is>
          <t>Marketplace</t>
        </is>
      </c>
      <c r="G1721" t="inlineStr">
        <is>
          <t>2. Carrito</t>
        </is>
      </c>
      <c r="H1721" t="n">
        <v>5</v>
      </c>
      <c r="I1721" s="73" t="n">
        <v>203400</v>
      </c>
      <c r="J1721" s="73" t="n">
        <v>1017000</v>
      </c>
      <c r="K1721" s="73" t="n">
        <v>672961</v>
      </c>
    </row>
    <row r="1722">
      <c r="A1722" t="n">
        <v>10131</v>
      </c>
      <c r="B1722" s="72" t="n">
        <v>45762.55902777778</v>
      </c>
      <c r="C1722" t="inlineStr">
        <is>
          <t>Bolívar</t>
        </is>
      </c>
      <c r="D1722" t="inlineStr">
        <is>
          <t>Cartagena</t>
        </is>
      </c>
      <c r="E1722" t="inlineStr">
        <is>
          <t>Hogar</t>
        </is>
      </c>
      <c r="F1722" t="inlineStr">
        <is>
          <t>Tienda física</t>
        </is>
      </c>
      <c r="G1722" t="inlineStr">
        <is>
          <t>1. Visita</t>
        </is>
      </c>
      <c r="H1722" t="n">
        <v>5</v>
      </c>
      <c r="I1722" s="73" t="n">
        <v>211300</v>
      </c>
      <c r="J1722" s="73" t="n">
        <v>1056500</v>
      </c>
      <c r="K1722" s="73" t="n">
        <v>655124</v>
      </c>
    </row>
    <row r="1723">
      <c r="A1723" t="n">
        <v>10288</v>
      </c>
      <c r="B1723" s="72" t="n">
        <v>45762.60208333333</v>
      </c>
      <c r="C1723" t="inlineStr">
        <is>
          <t>Antioquia</t>
        </is>
      </c>
      <c r="D1723" t="inlineStr">
        <is>
          <t>Medellín</t>
        </is>
      </c>
      <c r="E1723" t="inlineStr">
        <is>
          <t>Hogar</t>
        </is>
      </c>
      <c r="F1723" t="inlineStr">
        <is>
          <t>Marketplace</t>
        </is>
      </c>
      <c r="G1723" t="inlineStr">
        <is>
          <t>2. Carrito</t>
        </is>
      </c>
      <c r="H1723" t="n">
        <v>5</v>
      </c>
      <c r="I1723" s="73" t="n">
        <v>176800</v>
      </c>
      <c r="J1723" s="73" t="n">
        <v>884000</v>
      </c>
      <c r="K1723" s="73" t="n">
        <v>612259</v>
      </c>
    </row>
    <row r="1724">
      <c r="A1724" t="n">
        <v>11057</v>
      </c>
      <c r="B1724" s="72" t="n">
        <v>45762.78472222222</v>
      </c>
      <c r="C1724" t="inlineStr">
        <is>
          <t>Antioquia</t>
        </is>
      </c>
      <c r="D1724" t="inlineStr">
        <is>
          <t>Medellín</t>
        </is>
      </c>
      <c r="E1724" t="inlineStr">
        <is>
          <t>Hogar</t>
        </is>
      </c>
      <c r="F1724" t="inlineStr">
        <is>
          <t>Marketplace</t>
        </is>
      </c>
      <c r="G1724" t="inlineStr">
        <is>
          <t>4. Compra</t>
        </is>
      </c>
      <c r="H1724" t="n">
        <v>1</v>
      </c>
      <c r="I1724" s="73" t="n">
        <v>263200</v>
      </c>
      <c r="J1724" s="73" t="n">
        <v>263200</v>
      </c>
      <c r="K1724" s="73" t="n">
        <v>187920</v>
      </c>
    </row>
    <row r="1725">
      <c r="A1725" t="n">
        <v>10662</v>
      </c>
      <c r="B1725" s="72" t="n">
        <v>45763.89652777778</v>
      </c>
      <c r="C1725" t="inlineStr">
        <is>
          <t>Santander</t>
        </is>
      </c>
      <c r="D1725" t="inlineStr">
        <is>
          <t>Bucaramanga</t>
        </is>
      </c>
      <c r="E1725" t="inlineStr">
        <is>
          <t>Juguetes</t>
        </is>
      </c>
      <c r="F1725" t="inlineStr">
        <is>
          <t>App</t>
        </is>
      </c>
      <c r="G1725" t="inlineStr">
        <is>
          <t>1. Visita</t>
        </is>
      </c>
      <c r="H1725" t="n">
        <v>3</v>
      </c>
      <c r="I1725" s="73" t="n">
        <v>115200</v>
      </c>
      <c r="J1725" s="73" t="n">
        <v>345600</v>
      </c>
      <c r="K1725" s="73" t="n">
        <v>204902</v>
      </c>
    </row>
    <row r="1726">
      <c r="A1726" t="n">
        <v>11722</v>
      </c>
      <c r="B1726" s="72" t="n">
        <v>45764.52083333334</v>
      </c>
      <c r="C1726" t="inlineStr">
        <is>
          <t>Antioquia</t>
        </is>
      </c>
      <c r="D1726" t="inlineStr">
        <is>
          <t>Medellín</t>
        </is>
      </c>
      <c r="E1726" t="inlineStr">
        <is>
          <t>Moda</t>
        </is>
      </c>
      <c r="F1726" t="inlineStr">
        <is>
          <t>Tienda física</t>
        </is>
      </c>
      <c r="G1726" t="inlineStr">
        <is>
          <t>1. Visita</t>
        </is>
      </c>
      <c r="H1726" t="n">
        <v>2</v>
      </c>
      <c r="I1726" s="73" t="n">
        <v>147100</v>
      </c>
      <c r="J1726" s="73" t="n">
        <v>294200</v>
      </c>
      <c r="K1726" s="73" t="n">
        <v>170342</v>
      </c>
    </row>
    <row r="1727">
      <c r="A1727" t="n">
        <v>11248</v>
      </c>
      <c r="B1727" s="72" t="n">
        <v>45764.75347222222</v>
      </c>
      <c r="C1727" t="inlineStr">
        <is>
          <t>Bogotá D.C.</t>
        </is>
      </c>
      <c r="D1727" t="inlineStr">
        <is>
          <t>Bogotá</t>
        </is>
      </c>
      <c r="E1727" t="inlineStr">
        <is>
          <t>Belleza</t>
        </is>
      </c>
      <c r="F1727" t="inlineStr">
        <is>
          <t>App</t>
        </is>
      </c>
      <c r="G1727" t="inlineStr">
        <is>
          <t>4. Compra</t>
        </is>
      </c>
      <c r="H1727" t="n">
        <v>3</v>
      </c>
      <c r="I1727" s="73" t="n">
        <v>87600</v>
      </c>
      <c r="J1727" s="73" t="n">
        <v>262800</v>
      </c>
      <c r="K1727" s="73" t="n">
        <v>178452</v>
      </c>
    </row>
    <row r="1728">
      <c r="A1728" t="n">
        <v>11078</v>
      </c>
      <c r="B1728" s="72" t="n">
        <v>45764.81944444445</v>
      </c>
      <c r="C1728" t="inlineStr">
        <is>
          <t>Santander</t>
        </is>
      </c>
      <c r="D1728" t="inlineStr">
        <is>
          <t>Bucaramanga</t>
        </is>
      </c>
      <c r="E1728" t="inlineStr">
        <is>
          <t>Moda</t>
        </is>
      </c>
      <c r="F1728" t="inlineStr">
        <is>
          <t>App</t>
        </is>
      </c>
      <c r="G1728" t="inlineStr">
        <is>
          <t>1. Visita</t>
        </is>
      </c>
      <c r="H1728" t="n">
        <v>4</v>
      </c>
      <c r="I1728" s="73" t="n">
        <v>153900</v>
      </c>
      <c r="J1728" s="73" t="n">
        <v>615600</v>
      </c>
      <c r="K1728" s="73" t="n">
        <v>420619</v>
      </c>
    </row>
    <row r="1729">
      <c r="A1729" t="n">
        <v>10397</v>
      </c>
      <c r="B1729" s="72" t="n">
        <v>45765.40486111111</v>
      </c>
      <c r="C1729" t="inlineStr">
        <is>
          <t>Antioquia</t>
        </is>
      </c>
      <c r="D1729" t="inlineStr">
        <is>
          <t>Medellín</t>
        </is>
      </c>
      <c r="E1729" t="inlineStr">
        <is>
          <t>Tecnología</t>
        </is>
      </c>
      <c r="F1729" t="inlineStr">
        <is>
          <t>Web</t>
        </is>
      </c>
      <c r="G1729" t="inlineStr">
        <is>
          <t>1. Visita</t>
        </is>
      </c>
      <c r="H1729" t="n">
        <v>2</v>
      </c>
      <c r="I1729" s="73" t="n">
        <v>834200</v>
      </c>
      <c r="J1729" s="73" t="n">
        <v>1918660</v>
      </c>
      <c r="K1729" s="73" t="n">
        <v>1105743</v>
      </c>
    </row>
    <row r="1730">
      <c r="A1730" t="n">
        <v>10861</v>
      </c>
      <c r="B1730" s="72" t="n">
        <v>45765.51388888889</v>
      </c>
      <c r="C1730" t="inlineStr">
        <is>
          <t>Nariño</t>
        </is>
      </c>
      <c r="D1730" t="inlineStr">
        <is>
          <t>Pasto</t>
        </is>
      </c>
      <c r="E1730" t="inlineStr">
        <is>
          <t>Moda</t>
        </is>
      </c>
      <c r="F1730" t="inlineStr">
        <is>
          <t>Marketplace</t>
        </is>
      </c>
      <c r="G1730" t="inlineStr">
        <is>
          <t>1. Visita</t>
        </is>
      </c>
      <c r="H1730" t="n">
        <v>3</v>
      </c>
      <c r="I1730" s="73" t="n">
        <v>152000</v>
      </c>
      <c r="J1730" s="73" t="n">
        <v>524400</v>
      </c>
      <c r="K1730" s="73" t="n">
        <v>366296</v>
      </c>
    </row>
    <row r="1731">
      <c r="A1731" t="n">
        <v>10183</v>
      </c>
      <c r="B1731" s="72" t="n">
        <v>45765.66180555556</v>
      </c>
      <c r="C1731" t="inlineStr">
        <is>
          <t>Nariño</t>
        </is>
      </c>
      <c r="D1731" t="inlineStr">
        <is>
          <t>Pasto</t>
        </is>
      </c>
      <c r="E1731" t="inlineStr">
        <is>
          <t>Deportes</t>
        </is>
      </c>
      <c r="F1731" t="inlineStr">
        <is>
          <t>Marketplace</t>
        </is>
      </c>
      <c r="G1731" t="inlineStr">
        <is>
          <t>2. Carrito</t>
        </is>
      </c>
      <c r="H1731" t="n">
        <v>3</v>
      </c>
      <c r="I1731" s="73" t="n">
        <v>202200</v>
      </c>
      <c r="J1731" s="73" t="n">
        <v>697590</v>
      </c>
      <c r="K1731" s="73" t="n">
        <v>493386</v>
      </c>
    </row>
    <row r="1732">
      <c r="A1732" t="n">
        <v>11012</v>
      </c>
      <c r="B1732" s="72" t="n">
        <v>45765.77361111111</v>
      </c>
      <c r="C1732" t="inlineStr">
        <is>
          <t>Bogotá D.C.</t>
        </is>
      </c>
      <c r="D1732" t="inlineStr">
        <is>
          <t>Bogotá</t>
        </is>
      </c>
      <c r="E1732" t="inlineStr">
        <is>
          <t>Hogar</t>
        </is>
      </c>
      <c r="F1732" t="inlineStr">
        <is>
          <t>App</t>
        </is>
      </c>
      <c r="G1732" t="inlineStr">
        <is>
          <t>2. Carrito</t>
        </is>
      </c>
      <c r="H1732" t="n">
        <v>4</v>
      </c>
      <c r="I1732" s="73" t="n">
        <v>163800</v>
      </c>
      <c r="J1732" s="73" t="n">
        <v>753480</v>
      </c>
      <c r="K1732" s="73" t="n">
        <v>435075</v>
      </c>
    </row>
    <row r="1733">
      <c r="A1733" t="n">
        <v>11934</v>
      </c>
      <c r="B1733" s="72" t="n">
        <v>45766.68611111111</v>
      </c>
      <c r="C1733" t="inlineStr">
        <is>
          <t>Valle del Cauca</t>
        </is>
      </c>
      <c r="D1733" t="inlineStr">
        <is>
          <t>Cali</t>
        </is>
      </c>
      <c r="E1733" t="inlineStr">
        <is>
          <t>Moda</t>
        </is>
      </c>
      <c r="F1733" t="inlineStr">
        <is>
          <t>App</t>
        </is>
      </c>
      <c r="G1733" t="inlineStr">
        <is>
          <t>1. Visita</t>
        </is>
      </c>
      <c r="H1733" t="n">
        <v>2</v>
      </c>
      <c r="I1733" s="73" t="n">
        <v>90500</v>
      </c>
      <c r="J1733" s="73" t="n">
        <v>208150</v>
      </c>
      <c r="K1733" s="73" t="n">
        <v>145658</v>
      </c>
    </row>
    <row r="1734">
      <c r="A1734" t="n">
        <v>11428</v>
      </c>
      <c r="B1734" s="72" t="n">
        <v>45766.77847222222</v>
      </c>
      <c r="C1734" t="inlineStr">
        <is>
          <t>Bogotá D.C.</t>
        </is>
      </c>
      <c r="D1734" t="inlineStr">
        <is>
          <t>Bogotá</t>
        </is>
      </c>
      <c r="E1734" t="inlineStr">
        <is>
          <t>Moda</t>
        </is>
      </c>
      <c r="F1734" t="inlineStr">
        <is>
          <t>Web</t>
        </is>
      </c>
      <c r="G1734" t="inlineStr">
        <is>
          <t>1. Visita</t>
        </is>
      </c>
      <c r="H1734" t="n">
        <v>2</v>
      </c>
      <c r="I1734" s="73" t="n">
        <v>93800</v>
      </c>
      <c r="J1734" s="73" t="n">
        <v>215740</v>
      </c>
      <c r="K1734" s="73" t="n">
        <v>125653</v>
      </c>
    </row>
    <row r="1735">
      <c r="A1735" t="n">
        <v>10989</v>
      </c>
      <c r="B1735" s="72" t="n">
        <v>45767.79861111111</v>
      </c>
      <c r="C1735" t="inlineStr">
        <is>
          <t>Antioquia</t>
        </is>
      </c>
      <c r="D1735" t="inlineStr">
        <is>
          <t>Medellín</t>
        </is>
      </c>
      <c r="E1735" t="inlineStr">
        <is>
          <t>Hogar</t>
        </is>
      </c>
      <c r="F1735" t="inlineStr">
        <is>
          <t>Web</t>
        </is>
      </c>
      <c r="G1735" t="inlineStr">
        <is>
          <t>1. Visita</t>
        </is>
      </c>
      <c r="H1735" t="n">
        <v>5</v>
      </c>
      <c r="I1735" s="73" t="n">
        <v>234800</v>
      </c>
      <c r="J1735" s="73" t="n">
        <v>1350100</v>
      </c>
      <c r="K1735" s="73" t="n">
        <v>919665</v>
      </c>
    </row>
    <row r="1736">
      <c r="A1736" t="n">
        <v>11437</v>
      </c>
      <c r="B1736" s="72" t="n">
        <v>45768.53333333333</v>
      </c>
      <c r="C1736" t="inlineStr">
        <is>
          <t>Bogotá D.C.</t>
        </is>
      </c>
      <c r="D1736" t="inlineStr">
        <is>
          <t>Bogotá</t>
        </is>
      </c>
      <c r="E1736" t="inlineStr">
        <is>
          <t>Moda</t>
        </is>
      </c>
      <c r="F1736" t="inlineStr">
        <is>
          <t>Marketplace</t>
        </is>
      </c>
      <c r="G1736" t="inlineStr">
        <is>
          <t>1. Visita</t>
        </is>
      </c>
      <c r="H1736" t="n">
        <v>1</v>
      </c>
      <c r="I1736" s="73" t="n">
        <v>153100</v>
      </c>
      <c r="J1736" s="73" t="n">
        <v>153100</v>
      </c>
      <c r="K1736" s="73" t="n">
        <v>94833</v>
      </c>
    </row>
    <row r="1737">
      <c r="A1737" t="n">
        <v>12155</v>
      </c>
      <c r="B1737" s="72" t="n">
        <v>45768.82430555556</v>
      </c>
      <c r="C1737" t="inlineStr">
        <is>
          <t>Atlántico</t>
        </is>
      </c>
      <c r="D1737" t="inlineStr">
        <is>
          <t>Barranquilla</t>
        </is>
      </c>
      <c r="E1737" t="inlineStr">
        <is>
          <t>Belleza</t>
        </is>
      </c>
      <c r="F1737" t="inlineStr">
        <is>
          <t>App</t>
        </is>
      </c>
      <c r="G1737" t="inlineStr">
        <is>
          <t>4. Compra</t>
        </is>
      </c>
      <c r="H1737" t="n">
        <v>5</v>
      </c>
      <c r="I1737" s="73" t="n">
        <v>73200</v>
      </c>
      <c r="J1737" s="73" t="n">
        <v>366000</v>
      </c>
      <c r="K1737" s="73" t="n">
        <v>208127</v>
      </c>
    </row>
    <row r="1738">
      <c r="A1738" t="n">
        <v>11640</v>
      </c>
      <c r="B1738" s="72" t="n">
        <v>45769.70138888889</v>
      </c>
      <c r="C1738" t="inlineStr">
        <is>
          <t>Bolívar</t>
        </is>
      </c>
      <c r="D1738" t="inlineStr">
        <is>
          <t>Cartagena</t>
        </is>
      </c>
      <c r="E1738" t="inlineStr">
        <is>
          <t>Tecnología</t>
        </is>
      </c>
      <c r="F1738" t="inlineStr">
        <is>
          <t>App</t>
        </is>
      </c>
      <c r="G1738" t="inlineStr">
        <is>
          <t>4. Compra</t>
        </is>
      </c>
      <c r="H1738" t="n">
        <v>2</v>
      </c>
      <c r="I1738" s="73" t="n">
        <v>936900</v>
      </c>
      <c r="J1738" s="73" t="n">
        <v>1873800</v>
      </c>
      <c r="K1738" s="73" t="n">
        <v>1085708</v>
      </c>
    </row>
    <row r="1739">
      <c r="A1739" t="n">
        <v>10040</v>
      </c>
      <c r="B1739" s="72" t="n">
        <v>45769.85486111111</v>
      </c>
      <c r="C1739" t="inlineStr">
        <is>
          <t>Bogotá D.C.</t>
        </is>
      </c>
      <c r="D1739" t="inlineStr">
        <is>
          <t>Bogotá</t>
        </is>
      </c>
      <c r="E1739" t="inlineStr">
        <is>
          <t>Belleza</t>
        </is>
      </c>
      <c r="F1739" t="inlineStr">
        <is>
          <t>Web</t>
        </is>
      </c>
      <c r="G1739" t="inlineStr">
        <is>
          <t>2. Carrito</t>
        </is>
      </c>
      <c r="H1739" t="n">
        <v>4</v>
      </c>
      <c r="I1739" s="73" t="n">
        <v>49800</v>
      </c>
      <c r="J1739" s="73" t="n">
        <v>199200</v>
      </c>
      <c r="K1739" s="73" t="n">
        <v>118573</v>
      </c>
    </row>
    <row r="1740">
      <c r="A1740" t="n">
        <v>11350</v>
      </c>
      <c r="B1740" s="72" t="n">
        <v>45769.85555555556</v>
      </c>
      <c r="C1740" t="inlineStr">
        <is>
          <t>Santander</t>
        </is>
      </c>
      <c r="D1740" t="inlineStr">
        <is>
          <t>Bucaramanga</t>
        </is>
      </c>
      <c r="E1740" t="inlineStr">
        <is>
          <t>Moda</t>
        </is>
      </c>
      <c r="F1740" t="inlineStr">
        <is>
          <t>Web</t>
        </is>
      </c>
      <c r="G1740" t="inlineStr">
        <is>
          <t>2. Carrito</t>
        </is>
      </c>
      <c r="H1740" t="n">
        <v>1</v>
      </c>
      <c r="I1740" s="73" t="n">
        <v>154800</v>
      </c>
      <c r="J1740" s="73" t="n">
        <v>154800</v>
      </c>
      <c r="K1740" s="73" t="n">
        <v>102179</v>
      </c>
    </row>
    <row r="1741">
      <c r="A1741" t="n">
        <v>10057</v>
      </c>
      <c r="B1741" s="72" t="n">
        <v>45770.77361111111</v>
      </c>
      <c r="C1741" t="inlineStr">
        <is>
          <t>Santander</t>
        </is>
      </c>
      <c r="D1741" t="inlineStr">
        <is>
          <t>Bucaramanga</t>
        </is>
      </c>
      <c r="E1741" t="inlineStr">
        <is>
          <t>Deportes</t>
        </is>
      </c>
      <c r="F1741" t="inlineStr">
        <is>
          <t>Web</t>
        </is>
      </c>
      <c r="G1741" t="inlineStr">
        <is>
          <t>1. Visita</t>
        </is>
      </c>
      <c r="H1741" t="n">
        <v>3</v>
      </c>
      <c r="I1741" s="73" t="n">
        <v>172900</v>
      </c>
      <c r="J1741" s="73" t="n">
        <v>518700</v>
      </c>
      <c r="K1741" s="73" t="n">
        <v>355466</v>
      </c>
    </row>
    <row r="1742">
      <c r="A1742" t="n">
        <v>11302</v>
      </c>
      <c r="B1742" s="72" t="n">
        <v>45771.65625</v>
      </c>
      <c r="C1742" t="inlineStr">
        <is>
          <t>Antioquia</t>
        </is>
      </c>
      <c r="D1742" t="inlineStr">
        <is>
          <t>Medellín</t>
        </is>
      </c>
      <c r="E1742" t="inlineStr">
        <is>
          <t>Tecnología</t>
        </is>
      </c>
      <c r="F1742" t="inlineStr">
        <is>
          <t>Web</t>
        </is>
      </c>
      <c r="G1742" t="inlineStr">
        <is>
          <t>1. Visita</t>
        </is>
      </c>
      <c r="H1742" t="n">
        <v>3</v>
      </c>
      <c r="I1742" s="73" t="n">
        <v>658900</v>
      </c>
      <c r="J1742" s="73" t="n">
        <v>1976700</v>
      </c>
      <c r="K1742" s="73" t="n">
        <v>1367555</v>
      </c>
    </row>
    <row r="1743">
      <c r="A1743" t="n">
        <v>10788</v>
      </c>
      <c r="B1743" s="72" t="n">
        <v>45771.66666666666</v>
      </c>
      <c r="C1743" t="inlineStr">
        <is>
          <t>Antioquia</t>
        </is>
      </c>
      <c r="D1743" t="inlineStr">
        <is>
          <t>Medellín</t>
        </is>
      </c>
      <c r="E1743" t="inlineStr">
        <is>
          <t>Hogar</t>
        </is>
      </c>
      <c r="F1743" t="inlineStr">
        <is>
          <t>Web</t>
        </is>
      </c>
      <c r="G1743" t="inlineStr">
        <is>
          <t>2. Carrito</t>
        </is>
      </c>
      <c r="H1743" t="n">
        <v>5</v>
      </c>
      <c r="I1743" s="73" t="n">
        <v>161100</v>
      </c>
      <c r="J1743" s="73" t="n">
        <v>805500</v>
      </c>
      <c r="K1743" s="73" t="n">
        <v>572687</v>
      </c>
    </row>
    <row r="1744">
      <c r="A1744" t="n">
        <v>11382</v>
      </c>
      <c r="B1744" s="72" t="n">
        <v>45771.86944444444</v>
      </c>
      <c r="C1744" t="inlineStr">
        <is>
          <t>Santander</t>
        </is>
      </c>
      <c r="D1744" t="inlineStr">
        <is>
          <t>Bucaramanga</t>
        </is>
      </c>
      <c r="E1744" t="inlineStr">
        <is>
          <t>Hogar</t>
        </is>
      </c>
      <c r="F1744" t="inlineStr">
        <is>
          <t>App</t>
        </is>
      </c>
      <c r="G1744" t="inlineStr">
        <is>
          <t>1. Visita</t>
        </is>
      </c>
      <c r="H1744" t="n">
        <v>2</v>
      </c>
      <c r="I1744" s="73" t="n">
        <v>160400</v>
      </c>
      <c r="J1744" s="73" t="n">
        <v>320800</v>
      </c>
      <c r="K1744" s="73" t="n">
        <v>195042</v>
      </c>
    </row>
    <row r="1745">
      <c r="A1745" t="n">
        <v>10477</v>
      </c>
      <c r="B1745" s="72" t="n">
        <v>45772.41319444445</v>
      </c>
      <c r="C1745" t="inlineStr">
        <is>
          <t>Bogotá D.C.</t>
        </is>
      </c>
      <c r="D1745" t="inlineStr">
        <is>
          <t>Bogotá</t>
        </is>
      </c>
      <c r="E1745" t="inlineStr">
        <is>
          <t>Hogar</t>
        </is>
      </c>
      <c r="F1745" t="inlineStr">
        <is>
          <t>Tienda física</t>
        </is>
      </c>
      <c r="G1745" t="inlineStr">
        <is>
          <t>3. Pago</t>
        </is>
      </c>
      <c r="H1745" t="n">
        <v>4</v>
      </c>
      <c r="I1745" s="73" t="n">
        <v>178400</v>
      </c>
      <c r="J1745" s="73" t="n">
        <v>820640</v>
      </c>
      <c r="K1745" s="73" t="n">
        <v>580854</v>
      </c>
    </row>
    <row r="1746">
      <c r="A1746" t="n">
        <v>10134</v>
      </c>
      <c r="B1746" s="72" t="n">
        <v>45772.475</v>
      </c>
      <c r="C1746" t="inlineStr">
        <is>
          <t>Antioquia</t>
        </is>
      </c>
      <c r="D1746" t="inlineStr">
        <is>
          <t>Medellín</t>
        </is>
      </c>
      <c r="E1746" t="inlineStr">
        <is>
          <t>Belleza</t>
        </is>
      </c>
      <c r="F1746" t="inlineStr">
        <is>
          <t>Web</t>
        </is>
      </c>
      <c r="G1746" t="inlineStr">
        <is>
          <t>2. Carrito</t>
        </is>
      </c>
      <c r="H1746" t="n">
        <v>4</v>
      </c>
      <c r="I1746" s="73" t="n">
        <v>75600</v>
      </c>
      <c r="J1746" s="73" t="n">
        <v>347760</v>
      </c>
      <c r="K1746" s="73" t="n">
        <v>256539</v>
      </c>
    </row>
    <row r="1747">
      <c r="A1747" t="n">
        <v>11928</v>
      </c>
      <c r="B1747" s="72" t="n">
        <v>45772.75</v>
      </c>
      <c r="C1747" t="inlineStr">
        <is>
          <t>Antioquia</t>
        </is>
      </c>
      <c r="D1747" t="inlineStr">
        <is>
          <t>Medellín</t>
        </is>
      </c>
      <c r="E1747" t="inlineStr">
        <is>
          <t>Deportes</t>
        </is>
      </c>
      <c r="F1747" t="inlineStr">
        <is>
          <t>Tienda física</t>
        </is>
      </c>
      <c r="G1747" t="inlineStr">
        <is>
          <t>2. Carrito</t>
        </is>
      </c>
      <c r="H1747" t="n">
        <v>4</v>
      </c>
      <c r="I1747" s="73" t="n">
        <v>175800</v>
      </c>
      <c r="J1747" s="73" t="n">
        <v>808680</v>
      </c>
      <c r="K1747" s="73" t="n">
        <v>546732</v>
      </c>
    </row>
    <row r="1748">
      <c r="A1748" t="n">
        <v>11924</v>
      </c>
      <c r="B1748" s="72" t="n">
        <v>45772.83333333334</v>
      </c>
      <c r="C1748" t="inlineStr">
        <is>
          <t>Antioquia</t>
        </is>
      </c>
      <c r="D1748" t="inlineStr">
        <is>
          <t>Medellín</t>
        </is>
      </c>
      <c r="E1748" t="inlineStr">
        <is>
          <t>Tecnología</t>
        </is>
      </c>
      <c r="F1748" t="inlineStr">
        <is>
          <t>App</t>
        </is>
      </c>
      <c r="G1748" t="inlineStr">
        <is>
          <t>1. Visita</t>
        </is>
      </c>
      <c r="H1748" t="n">
        <v>5</v>
      </c>
      <c r="I1748" s="73" t="n">
        <v>1042400</v>
      </c>
      <c r="J1748" s="73" t="n">
        <v>5993800</v>
      </c>
      <c r="K1748" s="73" t="n">
        <v>3850569</v>
      </c>
    </row>
    <row r="1749">
      <c r="A1749" t="n">
        <v>12179</v>
      </c>
      <c r="B1749" s="72" t="n">
        <v>45772.88888888889</v>
      </c>
      <c r="C1749" t="inlineStr">
        <is>
          <t>Valle del Cauca</t>
        </is>
      </c>
      <c r="D1749" t="inlineStr">
        <is>
          <t>Cali</t>
        </is>
      </c>
      <c r="E1749" t="inlineStr">
        <is>
          <t>Moda</t>
        </is>
      </c>
      <c r="F1749" t="inlineStr">
        <is>
          <t>Tienda física</t>
        </is>
      </c>
      <c r="G1749" t="inlineStr">
        <is>
          <t>1. Visita</t>
        </is>
      </c>
      <c r="H1749" t="n">
        <v>5</v>
      </c>
      <c r="I1749" s="73" t="n">
        <v>109500</v>
      </c>
      <c r="J1749" s="73" t="n">
        <v>629625</v>
      </c>
      <c r="K1749" s="73" t="n">
        <v>401436</v>
      </c>
    </row>
    <row r="1750">
      <c r="A1750" t="n">
        <v>10777</v>
      </c>
      <c r="B1750" s="72" t="n">
        <v>45772.94027777778</v>
      </c>
      <c r="C1750" t="inlineStr">
        <is>
          <t>Risaralda</t>
        </is>
      </c>
      <c r="D1750" t="inlineStr">
        <is>
          <t>Pereira</t>
        </is>
      </c>
      <c r="E1750" t="inlineStr">
        <is>
          <t>Deportes</t>
        </is>
      </c>
      <c r="F1750" t="inlineStr">
        <is>
          <t>Web</t>
        </is>
      </c>
      <c r="G1750" t="inlineStr">
        <is>
          <t>2. Carrito</t>
        </is>
      </c>
      <c r="H1750" t="n">
        <v>3</v>
      </c>
      <c r="I1750" s="73" t="n">
        <v>186100</v>
      </c>
      <c r="J1750" s="73" t="n">
        <v>642045</v>
      </c>
      <c r="K1750" s="73" t="n">
        <v>375892</v>
      </c>
    </row>
    <row r="1751">
      <c r="A1751" t="n">
        <v>11932</v>
      </c>
      <c r="B1751" s="72" t="n">
        <v>45773.44097222222</v>
      </c>
      <c r="C1751" t="inlineStr">
        <is>
          <t>Santander</t>
        </is>
      </c>
      <c r="D1751" t="inlineStr">
        <is>
          <t>Bucaramanga</t>
        </is>
      </c>
      <c r="E1751" t="inlineStr">
        <is>
          <t>Belleza</t>
        </is>
      </c>
      <c r="F1751" t="inlineStr">
        <is>
          <t>Tienda física</t>
        </is>
      </c>
      <c r="G1751" t="inlineStr">
        <is>
          <t>1. Visita</t>
        </is>
      </c>
      <c r="H1751" t="n">
        <v>5</v>
      </c>
      <c r="I1751" s="73" t="n">
        <v>83300</v>
      </c>
      <c r="J1751" s="73" t="n">
        <v>478975</v>
      </c>
      <c r="K1751" s="73" t="n">
        <v>303926</v>
      </c>
    </row>
    <row r="1752">
      <c r="A1752" t="n">
        <v>10127</v>
      </c>
      <c r="B1752" s="72" t="n">
        <v>45773.54097222222</v>
      </c>
      <c r="C1752" t="inlineStr">
        <is>
          <t>Bogotá D.C.</t>
        </is>
      </c>
      <c r="D1752" t="inlineStr">
        <is>
          <t>Bogotá</t>
        </is>
      </c>
      <c r="E1752" t="inlineStr">
        <is>
          <t>Juguetes</t>
        </is>
      </c>
      <c r="F1752" t="inlineStr">
        <is>
          <t>Web</t>
        </is>
      </c>
      <c r="G1752" t="inlineStr">
        <is>
          <t>2. Carrito</t>
        </is>
      </c>
      <c r="H1752" t="n">
        <v>4</v>
      </c>
      <c r="I1752" s="73" t="n">
        <v>116700</v>
      </c>
      <c r="J1752" s="73" t="n">
        <v>536820</v>
      </c>
      <c r="K1752" s="73" t="n">
        <v>339721</v>
      </c>
    </row>
    <row r="1753">
      <c r="A1753" t="n">
        <v>12292</v>
      </c>
      <c r="B1753" s="72" t="n">
        <v>45773.75833333333</v>
      </c>
      <c r="C1753" t="inlineStr">
        <is>
          <t>Antioquia</t>
        </is>
      </c>
      <c r="D1753" t="inlineStr">
        <is>
          <t>Medellín</t>
        </is>
      </c>
      <c r="E1753" t="inlineStr">
        <is>
          <t>Belleza</t>
        </is>
      </c>
      <c r="F1753" t="inlineStr">
        <is>
          <t>Web</t>
        </is>
      </c>
      <c r="G1753" t="inlineStr">
        <is>
          <t>1. Visita</t>
        </is>
      </c>
      <c r="H1753" t="n">
        <v>4</v>
      </c>
      <c r="I1753" s="73" t="n">
        <v>54400</v>
      </c>
      <c r="J1753" s="73" t="n">
        <v>250240</v>
      </c>
      <c r="K1753" s="73" t="n">
        <v>139333</v>
      </c>
    </row>
    <row r="1754">
      <c r="A1754" t="n">
        <v>10855</v>
      </c>
      <c r="B1754" s="72" t="n">
        <v>45773.7625</v>
      </c>
      <c r="C1754" t="inlineStr">
        <is>
          <t>Bogotá D.C.</t>
        </is>
      </c>
      <c r="D1754" t="inlineStr">
        <is>
          <t>Bogotá</t>
        </is>
      </c>
      <c r="E1754" t="inlineStr">
        <is>
          <t>Tecnología</t>
        </is>
      </c>
      <c r="F1754" t="inlineStr">
        <is>
          <t>Marketplace</t>
        </is>
      </c>
      <c r="G1754" t="inlineStr">
        <is>
          <t>2. Carrito</t>
        </is>
      </c>
      <c r="H1754" t="n">
        <v>2</v>
      </c>
      <c r="I1754" s="73" t="n">
        <v>632400</v>
      </c>
      <c r="J1754" s="73" t="n">
        <v>1454520</v>
      </c>
      <c r="K1754" s="73" t="n">
        <v>902866</v>
      </c>
    </row>
    <row r="1755">
      <c r="A1755" t="n">
        <v>12215</v>
      </c>
      <c r="B1755" s="72" t="n">
        <v>45773.90902777778</v>
      </c>
      <c r="C1755" t="inlineStr">
        <is>
          <t>Risaralda</t>
        </is>
      </c>
      <c r="D1755" t="inlineStr">
        <is>
          <t>Pereira</t>
        </is>
      </c>
      <c r="E1755" t="inlineStr">
        <is>
          <t>Hogar</t>
        </is>
      </c>
      <c r="F1755" t="inlineStr">
        <is>
          <t>Web</t>
        </is>
      </c>
      <c r="G1755" t="inlineStr">
        <is>
          <t>1. Visita</t>
        </is>
      </c>
      <c r="H1755" t="n">
        <v>2</v>
      </c>
      <c r="I1755" s="73" t="n">
        <v>206800</v>
      </c>
      <c r="J1755" s="73" t="n">
        <v>475640</v>
      </c>
      <c r="K1755" s="73" t="n">
        <v>276041</v>
      </c>
    </row>
    <row r="1756">
      <c r="A1756" t="n">
        <v>10247</v>
      </c>
      <c r="B1756" s="72" t="n">
        <v>45774.60347222222</v>
      </c>
      <c r="C1756" t="inlineStr">
        <is>
          <t>Atlántico</t>
        </is>
      </c>
      <c r="D1756" t="inlineStr">
        <is>
          <t>Barranquilla</t>
        </is>
      </c>
      <c r="E1756" t="inlineStr">
        <is>
          <t>Tecnología</t>
        </is>
      </c>
      <c r="F1756" t="inlineStr">
        <is>
          <t>App</t>
        </is>
      </c>
      <c r="G1756" t="inlineStr">
        <is>
          <t>1. Visita</t>
        </is>
      </c>
      <c r="H1756" t="n">
        <v>4</v>
      </c>
      <c r="I1756" s="73" t="n">
        <v>976400</v>
      </c>
      <c r="J1756" s="73" t="n">
        <v>4491440</v>
      </c>
      <c r="K1756" s="73" t="n">
        <v>3161650</v>
      </c>
    </row>
    <row r="1757">
      <c r="A1757" t="n">
        <v>11175</v>
      </c>
      <c r="B1757" s="72" t="n">
        <v>45774.67708333334</v>
      </c>
      <c r="C1757" t="inlineStr">
        <is>
          <t>Huila</t>
        </is>
      </c>
      <c r="D1757" t="inlineStr">
        <is>
          <t>Neiva</t>
        </is>
      </c>
      <c r="E1757" t="inlineStr">
        <is>
          <t>Juguetes</t>
        </is>
      </c>
      <c r="F1757" t="inlineStr">
        <is>
          <t>Web</t>
        </is>
      </c>
      <c r="G1757" t="inlineStr">
        <is>
          <t>1. Visita</t>
        </is>
      </c>
      <c r="H1757" t="n">
        <v>2</v>
      </c>
      <c r="I1757" s="73" t="n">
        <v>68700</v>
      </c>
      <c r="J1757" s="73" t="n">
        <v>158010</v>
      </c>
      <c r="K1757" s="73" t="n">
        <v>92858</v>
      </c>
    </row>
    <row r="1758">
      <c r="A1758" t="n">
        <v>10825</v>
      </c>
      <c r="B1758" s="72" t="n">
        <v>45774.78055555555</v>
      </c>
      <c r="C1758" t="inlineStr">
        <is>
          <t>Bolívar</t>
        </is>
      </c>
      <c r="D1758" t="inlineStr">
        <is>
          <t>Cartagena</t>
        </is>
      </c>
      <c r="E1758" t="inlineStr">
        <is>
          <t>Hogar</t>
        </is>
      </c>
      <c r="F1758" t="inlineStr">
        <is>
          <t>Web</t>
        </is>
      </c>
      <c r="G1758" t="inlineStr">
        <is>
          <t>1. Visita</t>
        </is>
      </c>
      <c r="H1758" t="n">
        <v>3</v>
      </c>
      <c r="I1758" s="73" t="n">
        <v>177000</v>
      </c>
      <c r="J1758" s="73" t="n">
        <v>610650</v>
      </c>
      <c r="K1758" s="73" t="n">
        <v>345118</v>
      </c>
    </row>
    <row r="1759">
      <c r="A1759" t="n">
        <v>10446</v>
      </c>
      <c r="B1759" s="72" t="n">
        <v>45774.78541666667</v>
      </c>
      <c r="C1759" t="inlineStr">
        <is>
          <t>Valle del Cauca</t>
        </is>
      </c>
      <c r="D1759" t="inlineStr">
        <is>
          <t>Cali</t>
        </is>
      </c>
      <c r="E1759" t="inlineStr">
        <is>
          <t>Deportes</t>
        </is>
      </c>
      <c r="F1759" t="inlineStr">
        <is>
          <t>Tienda física</t>
        </is>
      </c>
      <c r="G1759" t="inlineStr">
        <is>
          <t>2. Carrito</t>
        </is>
      </c>
      <c r="H1759" t="n">
        <v>2</v>
      </c>
      <c r="I1759" s="73" t="n">
        <v>129300</v>
      </c>
      <c r="J1759" s="73" t="n">
        <v>297390</v>
      </c>
      <c r="K1759" s="73" t="n">
        <v>177636</v>
      </c>
    </row>
    <row r="1760">
      <c r="A1760" t="n">
        <v>10458</v>
      </c>
      <c r="B1760" s="72" t="n">
        <v>45775.39583333334</v>
      </c>
      <c r="C1760" t="inlineStr">
        <is>
          <t>Bolívar</t>
        </is>
      </c>
      <c r="D1760" t="inlineStr">
        <is>
          <t>Cartagena</t>
        </is>
      </c>
      <c r="E1760" t="inlineStr">
        <is>
          <t>Moda</t>
        </is>
      </c>
      <c r="F1760" t="inlineStr">
        <is>
          <t>App</t>
        </is>
      </c>
      <c r="G1760" t="inlineStr">
        <is>
          <t>1. Visita</t>
        </is>
      </c>
      <c r="H1760" t="n">
        <v>1</v>
      </c>
      <c r="I1760" s="73" t="n">
        <v>117300</v>
      </c>
      <c r="J1760" s="73" t="n">
        <v>117300</v>
      </c>
      <c r="K1760" s="73" t="n">
        <v>72504</v>
      </c>
    </row>
    <row r="1761">
      <c r="A1761" t="n">
        <v>11338</v>
      </c>
      <c r="B1761" s="72" t="n">
        <v>45775.54236111111</v>
      </c>
      <c r="C1761" t="inlineStr">
        <is>
          <t>Antioquia</t>
        </is>
      </c>
      <c r="D1761" t="inlineStr">
        <is>
          <t>Medellín</t>
        </is>
      </c>
      <c r="E1761" t="inlineStr">
        <is>
          <t>Hogar</t>
        </is>
      </c>
      <c r="F1761" t="inlineStr">
        <is>
          <t>App</t>
        </is>
      </c>
      <c r="G1761" t="inlineStr">
        <is>
          <t>1. Visita</t>
        </is>
      </c>
      <c r="H1761" t="n">
        <v>4</v>
      </c>
      <c r="I1761" s="73" t="n">
        <v>255200</v>
      </c>
      <c r="J1761" s="73" t="n">
        <v>1020800</v>
      </c>
      <c r="K1761" s="73" t="n">
        <v>722801</v>
      </c>
    </row>
    <row r="1762">
      <c r="A1762" t="n">
        <v>11699</v>
      </c>
      <c r="B1762" s="72" t="n">
        <v>45775.77638888889</v>
      </c>
      <c r="C1762" t="inlineStr">
        <is>
          <t>Antioquia</t>
        </is>
      </c>
      <c r="D1762" t="inlineStr">
        <is>
          <t>Medellín</t>
        </is>
      </c>
      <c r="E1762" t="inlineStr">
        <is>
          <t>Hogar</t>
        </is>
      </c>
      <c r="F1762" t="inlineStr">
        <is>
          <t>Web</t>
        </is>
      </c>
      <c r="G1762" t="inlineStr">
        <is>
          <t>4. Compra</t>
        </is>
      </c>
      <c r="H1762" t="n">
        <v>5</v>
      </c>
      <c r="I1762" s="73" t="n">
        <v>228400</v>
      </c>
      <c r="J1762" s="73" t="n">
        <v>1142000</v>
      </c>
      <c r="K1762" s="73" t="n">
        <v>736590</v>
      </c>
    </row>
    <row r="1763">
      <c r="A1763" t="n">
        <v>10528</v>
      </c>
      <c r="B1763" s="72" t="n">
        <v>45775.8375</v>
      </c>
      <c r="C1763" t="inlineStr">
        <is>
          <t>Antioquia</t>
        </is>
      </c>
      <c r="D1763" t="inlineStr">
        <is>
          <t>Medellín</t>
        </is>
      </c>
      <c r="E1763" t="inlineStr">
        <is>
          <t>Belleza</t>
        </is>
      </c>
      <c r="F1763" t="inlineStr">
        <is>
          <t>App</t>
        </is>
      </c>
      <c r="G1763" t="inlineStr">
        <is>
          <t>4. Compra</t>
        </is>
      </c>
      <c r="H1763" t="n">
        <v>4</v>
      </c>
      <c r="I1763" s="73" t="n">
        <v>78700</v>
      </c>
      <c r="J1763" s="73" t="n">
        <v>314800</v>
      </c>
      <c r="K1763" s="73" t="n">
        <v>213821</v>
      </c>
    </row>
    <row r="1764">
      <c r="A1764" t="n">
        <v>10453</v>
      </c>
      <c r="B1764" s="72" t="n">
        <v>45775.84444444445</v>
      </c>
      <c r="C1764" t="inlineStr">
        <is>
          <t>Risaralda</t>
        </is>
      </c>
      <c r="D1764" t="inlineStr">
        <is>
          <t>Pereira</t>
        </is>
      </c>
      <c r="E1764" t="inlineStr">
        <is>
          <t>Tecnología</t>
        </is>
      </c>
      <c r="F1764" t="inlineStr">
        <is>
          <t>App</t>
        </is>
      </c>
      <c r="G1764" t="inlineStr">
        <is>
          <t>1. Visita</t>
        </is>
      </c>
      <c r="H1764" t="n">
        <v>4</v>
      </c>
      <c r="I1764" s="73" t="n">
        <v>938700</v>
      </c>
      <c r="J1764" s="73" t="n">
        <v>3754800</v>
      </c>
      <c r="K1764" s="73" t="n">
        <v>2553874</v>
      </c>
    </row>
    <row r="1765">
      <c r="A1765" t="n">
        <v>11545</v>
      </c>
      <c r="B1765" s="72" t="n">
        <v>45775.95694444444</v>
      </c>
      <c r="C1765" t="inlineStr">
        <is>
          <t>Antioquia</t>
        </is>
      </c>
      <c r="D1765" t="inlineStr">
        <is>
          <t>Medellín</t>
        </is>
      </c>
      <c r="E1765" t="inlineStr">
        <is>
          <t>Hogar</t>
        </is>
      </c>
      <c r="F1765" t="inlineStr">
        <is>
          <t>Web</t>
        </is>
      </c>
      <c r="G1765" t="inlineStr">
        <is>
          <t>2. Carrito</t>
        </is>
      </c>
      <c r="H1765" t="n">
        <v>4</v>
      </c>
      <c r="I1765" s="73" t="n">
        <v>219300</v>
      </c>
      <c r="J1765" s="73" t="n">
        <v>877200</v>
      </c>
      <c r="K1765" s="73" t="n">
        <v>533467</v>
      </c>
    </row>
    <row r="1766">
      <c r="A1766" t="n">
        <v>12359</v>
      </c>
      <c r="B1766" s="72" t="n">
        <v>45776.41111111111</v>
      </c>
      <c r="C1766" t="inlineStr">
        <is>
          <t>Valle del Cauca</t>
        </is>
      </c>
      <c r="D1766" t="inlineStr">
        <is>
          <t>Cali</t>
        </is>
      </c>
      <c r="E1766" t="inlineStr">
        <is>
          <t>Hogar</t>
        </is>
      </c>
      <c r="F1766" t="inlineStr">
        <is>
          <t>Tienda física</t>
        </is>
      </c>
      <c r="G1766" t="inlineStr">
        <is>
          <t>1. Visita</t>
        </is>
      </c>
      <c r="H1766" t="n">
        <v>3</v>
      </c>
      <c r="I1766" s="73" t="n">
        <v>167900</v>
      </c>
      <c r="J1766" s="73" t="n">
        <v>503700</v>
      </c>
      <c r="K1766" s="73" t="n">
        <v>285208</v>
      </c>
    </row>
    <row r="1767">
      <c r="A1767" t="n">
        <v>10388</v>
      </c>
      <c r="B1767" s="72" t="n">
        <v>45776.49513888889</v>
      </c>
      <c r="C1767" t="inlineStr">
        <is>
          <t>Bogotá D.C.</t>
        </is>
      </c>
      <c r="D1767" t="inlineStr">
        <is>
          <t>Bogotá</t>
        </is>
      </c>
      <c r="E1767" t="inlineStr">
        <is>
          <t>Juguetes</t>
        </is>
      </c>
      <c r="F1767" t="inlineStr">
        <is>
          <t>Tienda física</t>
        </is>
      </c>
      <c r="G1767" t="inlineStr">
        <is>
          <t>2. Carrito</t>
        </is>
      </c>
      <c r="H1767" t="n">
        <v>5</v>
      </c>
      <c r="I1767" s="73" t="n">
        <v>104100</v>
      </c>
      <c r="J1767" s="73" t="n">
        <v>520500</v>
      </c>
      <c r="K1767" s="73" t="n">
        <v>325765</v>
      </c>
    </row>
    <row r="1768">
      <c r="A1768" t="n">
        <v>11091</v>
      </c>
      <c r="B1768" s="72" t="n">
        <v>45776.78125</v>
      </c>
      <c r="C1768" t="inlineStr">
        <is>
          <t>Antioquia</t>
        </is>
      </c>
      <c r="D1768" t="inlineStr">
        <is>
          <t>Medellín</t>
        </is>
      </c>
      <c r="E1768" t="inlineStr">
        <is>
          <t>Tecnología</t>
        </is>
      </c>
      <c r="F1768" t="inlineStr">
        <is>
          <t>Web</t>
        </is>
      </c>
      <c r="G1768" t="inlineStr">
        <is>
          <t>2. Carrito</t>
        </is>
      </c>
      <c r="H1768" t="n">
        <v>2</v>
      </c>
      <c r="I1768" s="73" t="n">
        <v>924600</v>
      </c>
      <c r="J1768" s="73" t="n">
        <v>1849200</v>
      </c>
      <c r="K1768" s="73" t="n">
        <v>1186214</v>
      </c>
    </row>
    <row r="1769">
      <c r="A1769" t="n">
        <v>12163</v>
      </c>
      <c r="B1769" s="72" t="n">
        <v>45776.81805555556</v>
      </c>
      <c r="C1769" t="inlineStr">
        <is>
          <t>Bogotá D.C.</t>
        </is>
      </c>
      <c r="D1769" t="inlineStr">
        <is>
          <t>Bogotá</t>
        </is>
      </c>
      <c r="E1769" t="inlineStr">
        <is>
          <t>Hogar</t>
        </is>
      </c>
      <c r="F1769" t="inlineStr">
        <is>
          <t>Tienda física</t>
        </is>
      </c>
      <c r="G1769" t="inlineStr">
        <is>
          <t>2. Carrito</t>
        </is>
      </c>
      <c r="H1769" t="n">
        <v>1</v>
      </c>
      <c r="I1769" s="73" t="n">
        <v>213500</v>
      </c>
      <c r="J1769" s="73" t="n">
        <v>213500</v>
      </c>
      <c r="K1769" s="73" t="n">
        <v>147601</v>
      </c>
    </row>
    <row r="1770">
      <c r="A1770" t="n">
        <v>12226</v>
      </c>
      <c r="B1770" s="72" t="n">
        <v>45776.85902777778</v>
      </c>
      <c r="C1770" t="inlineStr">
        <is>
          <t>Bolívar</t>
        </is>
      </c>
      <c r="D1770" t="inlineStr">
        <is>
          <t>Cartagena</t>
        </is>
      </c>
      <c r="E1770" t="inlineStr">
        <is>
          <t>Moda</t>
        </is>
      </c>
      <c r="F1770" t="inlineStr">
        <is>
          <t>Tienda física</t>
        </is>
      </c>
      <c r="G1770" t="inlineStr">
        <is>
          <t>1. Visita</t>
        </is>
      </c>
      <c r="H1770" t="n">
        <v>1</v>
      </c>
      <c r="I1770" s="73" t="n">
        <v>108100</v>
      </c>
      <c r="J1770" s="73" t="n">
        <v>108100</v>
      </c>
      <c r="K1770" s="73" t="n">
        <v>68569</v>
      </c>
    </row>
    <row r="1771">
      <c r="A1771" t="n">
        <v>11487</v>
      </c>
      <c r="B1771" s="72" t="n">
        <v>45777.33541666667</v>
      </c>
      <c r="C1771" t="inlineStr">
        <is>
          <t>Valle del Cauca</t>
        </is>
      </c>
      <c r="D1771" t="inlineStr">
        <is>
          <t>Cali</t>
        </is>
      </c>
      <c r="E1771" t="inlineStr">
        <is>
          <t>Juguetes</t>
        </is>
      </c>
      <c r="F1771" t="inlineStr">
        <is>
          <t>Tienda física</t>
        </is>
      </c>
      <c r="G1771" t="inlineStr">
        <is>
          <t>4. Compra</t>
        </is>
      </c>
      <c r="H1771" t="n">
        <v>1</v>
      </c>
      <c r="I1771" s="73" t="n">
        <v>97100</v>
      </c>
      <c r="J1771" s="73" t="n">
        <v>97100</v>
      </c>
      <c r="K1771" s="73" t="n">
        <v>68366</v>
      </c>
    </row>
    <row r="1772">
      <c r="A1772" t="n">
        <v>11226</v>
      </c>
      <c r="B1772" s="72" t="n">
        <v>45777.89305555556</v>
      </c>
      <c r="C1772" t="inlineStr">
        <is>
          <t>Huila</t>
        </is>
      </c>
      <c r="D1772" t="inlineStr">
        <is>
          <t>Neiva</t>
        </is>
      </c>
      <c r="E1772" t="inlineStr">
        <is>
          <t>Moda</t>
        </is>
      </c>
      <c r="F1772" t="inlineStr">
        <is>
          <t>Web</t>
        </is>
      </c>
      <c r="G1772" t="inlineStr">
        <is>
          <t>2. Carrito</t>
        </is>
      </c>
      <c r="H1772" t="n">
        <v>3</v>
      </c>
      <c r="I1772" s="73" t="n">
        <v>91600</v>
      </c>
      <c r="J1772" s="73" t="n">
        <v>274800</v>
      </c>
      <c r="K1772" s="73" t="n">
        <v>164767</v>
      </c>
    </row>
    <row r="1773">
      <c r="A1773" t="n">
        <v>12175</v>
      </c>
      <c r="B1773" s="72" t="n">
        <v>45777.91597222222</v>
      </c>
      <c r="C1773" t="inlineStr">
        <is>
          <t>Bogotá D.C.</t>
        </is>
      </c>
      <c r="D1773" t="inlineStr">
        <is>
          <t>Bogotá</t>
        </is>
      </c>
      <c r="E1773" t="inlineStr">
        <is>
          <t>Hogar</t>
        </is>
      </c>
      <c r="F1773" t="inlineStr">
        <is>
          <t>Marketplace</t>
        </is>
      </c>
      <c r="G1773" t="inlineStr">
        <is>
          <t>2. Carrito</t>
        </is>
      </c>
      <c r="H1773" t="n">
        <v>4</v>
      </c>
      <c r="I1773" s="73" t="n">
        <v>190400</v>
      </c>
      <c r="J1773" s="73" t="n">
        <v>761600</v>
      </c>
      <c r="K1773" s="73" t="n">
        <v>535329</v>
      </c>
    </row>
    <row r="1774">
      <c r="A1774" t="n">
        <v>12000</v>
      </c>
      <c r="B1774" s="72" t="n">
        <v>45778.52152777778</v>
      </c>
      <c r="C1774" t="inlineStr">
        <is>
          <t>Bogotá D.C.</t>
        </is>
      </c>
      <c r="D1774" t="inlineStr">
        <is>
          <t>Bogotá</t>
        </is>
      </c>
      <c r="E1774" t="inlineStr">
        <is>
          <t>Tecnología</t>
        </is>
      </c>
      <c r="F1774" t="inlineStr">
        <is>
          <t>Web</t>
        </is>
      </c>
      <c r="G1774" t="inlineStr">
        <is>
          <t>3. Pago</t>
        </is>
      </c>
      <c r="H1774" t="n">
        <v>3</v>
      </c>
      <c r="I1774" s="73" t="n">
        <v>727800</v>
      </c>
      <c r="J1774" s="73" t="n">
        <v>2183400</v>
      </c>
      <c r="K1774" s="73" t="n">
        <v>1281943</v>
      </c>
    </row>
    <row r="1775">
      <c r="A1775" t="n">
        <v>10150</v>
      </c>
      <c r="B1775" s="72" t="n">
        <v>45778.55416666667</v>
      </c>
      <c r="C1775" t="inlineStr">
        <is>
          <t>Risaralda</t>
        </is>
      </c>
      <c r="D1775" t="inlineStr">
        <is>
          <t>Pereira</t>
        </is>
      </c>
      <c r="E1775" t="inlineStr">
        <is>
          <t>Tecnología</t>
        </is>
      </c>
      <c r="F1775" t="inlineStr">
        <is>
          <t>App</t>
        </is>
      </c>
      <c r="G1775" t="inlineStr">
        <is>
          <t>1. Visita</t>
        </is>
      </c>
      <c r="H1775" t="n">
        <v>4</v>
      </c>
      <c r="I1775" s="73" t="n">
        <v>657200</v>
      </c>
      <c r="J1775" s="73" t="n">
        <v>2628800</v>
      </c>
      <c r="K1775" s="73" t="n">
        <v>1816882</v>
      </c>
    </row>
    <row r="1776">
      <c r="A1776" t="n">
        <v>11567</v>
      </c>
      <c r="B1776" s="72" t="n">
        <v>45778.71180555555</v>
      </c>
      <c r="C1776" t="inlineStr">
        <is>
          <t>Santander</t>
        </is>
      </c>
      <c r="D1776" t="inlineStr">
        <is>
          <t>Bucaramanga</t>
        </is>
      </c>
      <c r="E1776" t="inlineStr">
        <is>
          <t>Tecnología</t>
        </is>
      </c>
      <c r="F1776" t="inlineStr">
        <is>
          <t>Web</t>
        </is>
      </c>
      <c r="G1776" t="inlineStr">
        <is>
          <t>2. Carrito</t>
        </is>
      </c>
      <c r="H1776" t="n">
        <v>3</v>
      </c>
      <c r="I1776" s="73" t="n">
        <v>963800</v>
      </c>
      <c r="J1776" s="73" t="n">
        <v>2891400</v>
      </c>
      <c r="K1776" s="73" t="n">
        <v>2093838</v>
      </c>
    </row>
    <row r="1777">
      <c r="A1777" t="n">
        <v>10875</v>
      </c>
      <c r="B1777" s="72" t="n">
        <v>45778.80625</v>
      </c>
      <c r="C1777" t="inlineStr">
        <is>
          <t>Valle del Cauca</t>
        </is>
      </c>
      <c r="D1777" t="inlineStr">
        <is>
          <t>Cali</t>
        </is>
      </c>
      <c r="E1777" t="inlineStr">
        <is>
          <t>Tecnología</t>
        </is>
      </c>
      <c r="F1777" t="inlineStr">
        <is>
          <t>App</t>
        </is>
      </c>
      <c r="G1777" t="inlineStr">
        <is>
          <t>3. Pago</t>
        </is>
      </c>
      <c r="H1777" t="n">
        <v>4</v>
      </c>
      <c r="I1777" s="73" t="n">
        <v>973700</v>
      </c>
      <c r="J1777" s="73" t="n">
        <v>3894800</v>
      </c>
      <c r="K1777" s="73" t="n">
        <v>2348166</v>
      </c>
    </row>
    <row r="1778">
      <c r="A1778" t="n">
        <v>10899</v>
      </c>
      <c r="B1778" s="72" t="n">
        <v>45779.275</v>
      </c>
      <c r="C1778" t="inlineStr">
        <is>
          <t>Huila</t>
        </is>
      </c>
      <c r="D1778" t="inlineStr">
        <is>
          <t>Neiva</t>
        </is>
      </c>
      <c r="E1778" t="inlineStr">
        <is>
          <t>Moda</t>
        </is>
      </c>
      <c r="F1778" t="inlineStr">
        <is>
          <t>Web</t>
        </is>
      </c>
      <c r="G1778" t="inlineStr">
        <is>
          <t>1. Visita</t>
        </is>
      </c>
      <c r="H1778" t="n">
        <v>5</v>
      </c>
      <c r="I1778" s="73" t="n">
        <v>110100</v>
      </c>
      <c r="J1778" s="73" t="n">
        <v>633075</v>
      </c>
      <c r="K1778" s="73" t="n">
        <v>417818</v>
      </c>
    </row>
    <row r="1779">
      <c r="A1779" t="n">
        <v>10514</v>
      </c>
      <c r="B1779" s="72" t="n">
        <v>45779.41388888889</v>
      </c>
      <c r="C1779" t="inlineStr">
        <is>
          <t>Atlántico</t>
        </is>
      </c>
      <c r="D1779" t="inlineStr">
        <is>
          <t>Barranquilla</t>
        </is>
      </c>
      <c r="E1779" t="inlineStr">
        <is>
          <t>Juguetes</t>
        </is>
      </c>
      <c r="F1779" t="inlineStr">
        <is>
          <t>Marketplace</t>
        </is>
      </c>
      <c r="G1779" t="inlineStr">
        <is>
          <t>2. Carrito</t>
        </is>
      </c>
      <c r="H1779" t="n">
        <v>1</v>
      </c>
      <c r="I1779" s="73" t="n">
        <v>113500</v>
      </c>
      <c r="J1779" s="73" t="n">
        <v>130525</v>
      </c>
      <c r="K1779" s="73" t="n">
        <v>84313</v>
      </c>
    </row>
    <row r="1780">
      <c r="A1780" t="n">
        <v>12243</v>
      </c>
      <c r="B1780" s="72" t="n">
        <v>45779.56388888889</v>
      </c>
      <c r="C1780" t="inlineStr">
        <is>
          <t>Antioquia</t>
        </is>
      </c>
      <c r="D1780" t="inlineStr">
        <is>
          <t>Medellín</t>
        </is>
      </c>
      <c r="E1780" t="inlineStr">
        <is>
          <t>Belleza</t>
        </is>
      </c>
      <c r="F1780" t="inlineStr">
        <is>
          <t>Marketplace</t>
        </is>
      </c>
      <c r="G1780" t="inlineStr">
        <is>
          <t>4. Compra</t>
        </is>
      </c>
      <c r="H1780" t="n">
        <v>4</v>
      </c>
      <c r="I1780" s="73" t="n">
        <v>75800</v>
      </c>
      <c r="J1780" s="73" t="n">
        <v>348680</v>
      </c>
      <c r="K1780" s="73" t="n">
        <v>235952</v>
      </c>
    </row>
    <row r="1781">
      <c r="A1781" t="n">
        <v>11442</v>
      </c>
      <c r="B1781" s="72" t="n">
        <v>45779.6</v>
      </c>
      <c r="C1781" t="inlineStr">
        <is>
          <t>Valle del Cauca</t>
        </is>
      </c>
      <c r="D1781" t="inlineStr">
        <is>
          <t>Cali</t>
        </is>
      </c>
      <c r="E1781" t="inlineStr">
        <is>
          <t>Moda</t>
        </is>
      </c>
      <c r="F1781" t="inlineStr">
        <is>
          <t>Web</t>
        </is>
      </c>
      <c r="G1781" t="inlineStr">
        <is>
          <t>3. Pago</t>
        </is>
      </c>
      <c r="H1781" t="n">
        <v>5</v>
      </c>
      <c r="I1781" s="73" t="n">
        <v>118000</v>
      </c>
      <c r="J1781" s="73" t="n">
        <v>678500</v>
      </c>
      <c r="K1781" s="73" t="n">
        <v>394784</v>
      </c>
    </row>
    <row r="1782">
      <c r="A1782" t="n">
        <v>12230</v>
      </c>
      <c r="B1782" s="72" t="n">
        <v>45779.72986111111</v>
      </c>
      <c r="C1782" t="inlineStr">
        <is>
          <t>Valle del Cauca</t>
        </is>
      </c>
      <c r="D1782" t="inlineStr">
        <is>
          <t>Cali</t>
        </is>
      </c>
      <c r="E1782" t="inlineStr">
        <is>
          <t>Juguetes</t>
        </is>
      </c>
      <c r="F1782" t="inlineStr">
        <is>
          <t>App</t>
        </is>
      </c>
      <c r="G1782" t="inlineStr">
        <is>
          <t>3. Pago</t>
        </is>
      </c>
      <c r="H1782" t="n">
        <v>1</v>
      </c>
      <c r="I1782" s="73" t="n">
        <v>89300</v>
      </c>
      <c r="J1782" s="73" t="n">
        <v>102695</v>
      </c>
      <c r="K1782" s="73" t="n">
        <v>72516</v>
      </c>
    </row>
    <row r="1783">
      <c r="A1783" t="n">
        <v>10109</v>
      </c>
      <c r="B1783" s="72" t="n">
        <v>45779.78541666667</v>
      </c>
      <c r="C1783" t="inlineStr">
        <is>
          <t>Nariño</t>
        </is>
      </c>
      <c r="D1783" t="inlineStr">
        <is>
          <t>Pasto</t>
        </is>
      </c>
      <c r="E1783" t="inlineStr">
        <is>
          <t>Hogar</t>
        </is>
      </c>
      <c r="F1783" t="inlineStr">
        <is>
          <t>App</t>
        </is>
      </c>
      <c r="G1783" t="inlineStr">
        <is>
          <t>1. Visita</t>
        </is>
      </c>
      <c r="H1783" t="n">
        <v>4</v>
      </c>
      <c r="I1783" s="73" t="n">
        <v>232700</v>
      </c>
      <c r="J1783" s="73" t="n">
        <v>1070420</v>
      </c>
      <c r="K1783" s="73" t="n">
        <v>745448</v>
      </c>
    </row>
    <row r="1784">
      <c r="A1784" t="n">
        <v>12386</v>
      </c>
      <c r="B1784" s="72" t="n">
        <v>45780.27430555555</v>
      </c>
      <c r="C1784" t="inlineStr">
        <is>
          <t>Bogotá D.C.</t>
        </is>
      </c>
      <c r="D1784" t="inlineStr">
        <is>
          <t>Bogotá</t>
        </is>
      </c>
      <c r="E1784" t="inlineStr">
        <is>
          <t>Juguetes</t>
        </is>
      </c>
      <c r="F1784" t="inlineStr">
        <is>
          <t>Web</t>
        </is>
      </c>
      <c r="G1784" t="inlineStr">
        <is>
          <t>2. Carrito</t>
        </is>
      </c>
      <c r="H1784" t="n">
        <v>3</v>
      </c>
      <c r="I1784" s="73" t="n">
        <v>81500</v>
      </c>
      <c r="J1784" s="73" t="n">
        <v>281175</v>
      </c>
      <c r="K1784" s="73" t="n">
        <v>207454</v>
      </c>
    </row>
    <row r="1785">
      <c r="A1785" t="n">
        <v>10330</v>
      </c>
      <c r="B1785" s="72" t="n">
        <v>45780.32777777778</v>
      </c>
      <c r="C1785" t="inlineStr">
        <is>
          <t>Antioquia</t>
        </is>
      </c>
      <c r="D1785" t="inlineStr">
        <is>
          <t>Medellín</t>
        </is>
      </c>
      <c r="E1785" t="inlineStr">
        <is>
          <t>Juguetes</t>
        </is>
      </c>
      <c r="F1785" t="inlineStr">
        <is>
          <t>Tienda física</t>
        </is>
      </c>
      <c r="G1785" t="inlineStr">
        <is>
          <t>1. Visita</t>
        </is>
      </c>
      <c r="H1785" t="n">
        <v>2</v>
      </c>
      <c r="I1785" s="73" t="n">
        <v>81500</v>
      </c>
      <c r="J1785" s="73" t="n">
        <v>187450</v>
      </c>
      <c r="K1785" s="73" t="n">
        <v>134108</v>
      </c>
    </row>
    <row r="1786">
      <c r="A1786" t="n">
        <v>10775</v>
      </c>
      <c r="B1786" s="72" t="n">
        <v>45781.26875</v>
      </c>
      <c r="C1786" t="inlineStr">
        <is>
          <t>Risaralda</t>
        </is>
      </c>
      <c r="D1786" t="inlineStr">
        <is>
          <t>Pereira</t>
        </is>
      </c>
      <c r="E1786" t="inlineStr">
        <is>
          <t>Deportes</t>
        </is>
      </c>
      <c r="F1786" t="inlineStr">
        <is>
          <t>Tienda física</t>
        </is>
      </c>
      <c r="G1786" t="inlineStr">
        <is>
          <t>1. Visita</t>
        </is>
      </c>
      <c r="H1786" t="n">
        <v>3</v>
      </c>
      <c r="I1786" s="73" t="n">
        <v>121800</v>
      </c>
      <c r="J1786" s="73" t="n">
        <v>420210</v>
      </c>
      <c r="K1786" s="73" t="n">
        <v>282394</v>
      </c>
    </row>
    <row r="1787">
      <c r="A1787" t="n">
        <v>10462</v>
      </c>
      <c r="B1787" s="72" t="n">
        <v>45781.52083333334</v>
      </c>
      <c r="C1787" t="inlineStr">
        <is>
          <t>Bogotá D.C.</t>
        </is>
      </c>
      <c r="D1787" t="inlineStr">
        <is>
          <t>Bogotá</t>
        </is>
      </c>
      <c r="E1787" t="inlineStr">
        <is>
          <t>Moda</t>
        </is>
      </c>
      <c r="F1787" t="inlineStr">
        <is>
          <t>Tienda física</t>
        </is>
      </c>
      <c r="G1787" t="inlineStr">
        <is>
          <t>2. Carrito</t>
        </is>
      </c>
      <c r="H1787" t="n">
        <v>5</v>
      </c>
      <c r="I1787" s="73" t="n">
        <v>140800</v>
      </c>
      <c r="J1787" s="73" t="n">
        <v>809600</v>
      </c>
      <c r="K1787" s="73" t="n">
        <v>498769</v>
      </c>
    </row>
    <row r="1788">
      <c r="A1788" t="n">
        <v>11474</v>
      </c>
      <c r="B1788" s="72" t="n">
        <v>45781.71597222222</v>
      </c>
      <c r="C1788" t="inlineStr">
        <is>
          <t>Bogotá D.C.</t>
        </is>
      </c>
      <c r="D1788" t="inlineStr">
        <is>
          <t>Bogotá</t>
        </is>
      </c>
      <c r="E1788" t="inlineStr">
        <is>
          <t>Moda</t>
        </is>
      </c>
      <c r="F1788" t="inlineStr">
        <is>
          <t>App</t>
        </is>
      </c>
      <c r="G1788" t="inlineStr">
        <is>
          <t>1. Visita</t>
        </is>
      </c>
      <c r="H1788" t="n">
        <v>2</v>
      </c>
      <c r="I1788" s="73" t="n">
        <v>140100</v>
      </c>
      <c r="J1788" s="73" t="n">
        <v>322230</v>
      </c>
      <c r="K1788" s="73" t="n">
        <v>179768</v>
      </c>
    </row>
    <row r="1789">
      <c r="A1789" t="n">
        <v>11277</v>
      </c>
      <c r="B1789" s="72" t="n">
        <v>45782.49930555555</v>
      </c>
      <c r="C1789" t="inlineStr">
        <is>
          <t>Bolívar</t>
        </is>
      </c>
      <c r="D1789" t="inlineStr">
        <is>
          <t>Cartagena</t>
        </is>
      </c>
      <c r="E1789" t="inlineStr">
        <is>
          <t>Belleza</t>
        </is>
      </c>
      <c r="F1789" t="inlineStr">
        <is>
          <t>Web</t>
        </is>
      </c>
      <c r="G1789" t="inlineStr">
        <is>
          <t>1. Visita</t>
        </is>
      </c>
      <c r="H1789" t="n">
        <v>3</v>
      </c>
      <c r="I1789" s="73" t="n">
        <v>86800</v>
      </c>
      <c r="J1789" s="73" t="n">
        <v>260400</v>
      </c>
      <c r="K1789" s="73" t="n">
        <v>158323</v>
      </c>
    </row>
    <row r="1790">
      <c r="A1790" t="n">
        <v>10060</v>
      </c>
      <c r="B1790" s="72" t="n">
        <v>45782.60902777778</v>
      </c>
      <c r="C1790" t="inlineStr">
        <is>
          <t>Santander</t>
        </is>
      </c>
      <c r="D1790" t="inlineStr">
        <is>
          <t>Bucaramanga</t>
        </is>
      </c>
      <c r="E1790" t="inlineStr">
        <is>
          <t>Moda</t>
        </is>
      </c>
      <c r="F1790" t="inlineStr">
        <is>
          <t>App</t>
        </is>
      </c>
      <c r="G1790" t="inlineStr">
        <is>
          <t>1. Visita</t>
        </is>
      </c>
      <c r="H1790" t="n">
        <v>5</v>
      </c>
      <c r="I1790" s="73" t="n">
        <v>111600</v>
      </c>
      <c r="J1790" s="73" t="n">
        <v>558000</v>
      </c>
      <c r="K1790" s="73" t="n">
        <v>338759</v>
      </c>
    </row>
    <row r="1791">
      <c r="A1791" t="n">
        <v>11952</v>
      </c>
      <c r="B1791" s="72" t="n">
        <v>45782.77361111111</v>
      </c>
      <c r="C1791" t="inlineStr">
        <is>
          <t>Antioquia</t>
        </is>
      </c>
      <c r="D1791" t="inlineStr">
        <is>
          <t>Medellín</t>
        </is>
      </c>
      <c r="E1791" t="inlineStr">
        <is>
          <t>Moda</t>
        </is>
      </c>
      <c r="F1791" t="inlineStr">
        <is>
          <t>Web</t>
        </is>
      </c>
      <c r="G1791" t="inlineStr">
        <is>
          <t>4. Compra</t>
        </is>
      </c>
      <c r="H1791" t="n">
        <v>3</v>
      </c>
      <c r="I1791" s="73" t="n">
        <v>130500</v>
      </c>
      <c r="J1791" s="73" t="n">
        <v>391500</v>
      </c>
      <c r="K1791" s="73" t="n">
        <v>244339</v>
      </c>
    </row>
    <row r="1792">
      <c r="A1792" t="n">
        <v>11817</v>
      </c>
      <c r="B1792" s="72" t="n">
        <v>45782.81041666667</v>
      </c>
      <c r="C1792" t="inlineStr">
        <is>
          <t>Bogotá D.C.</t>
        </is>
      </c>
      <c r="D1792" t="inlineStr">
        <is>
          <t>Bogotá</t>
        </is>
      </c>
      <c r="E1792" t="inlineStr">
        <is>
          <t>Juguetes</t>
        </is>
      </c>
      <c r="F1792" t="inlineStr">
        <is>
          <t>Marketplace</t>
        </is>
      </c>
      <c r="G1792" t="inlineStr">
        <is>
          <t>1. Visita</t>
        </is>
      </c>
      <c r="H1792" t="n">
        <v>5</v>
      </c>
      <c r="I1792" s="73" t="n">
        <v>115500</v>
      </c>
      <c r="J1792" s="73" t="n">
        <v>577500</v>
      </c>
      <c r="K1792" s="73" t="n">
        <v>415913</v>
      </c>
    </row>
    <row r="1793">
      <c r="A1793" t="n">
        <v>10298</v>
      </c>
      <c r="B1793" s="72" t="n">
        <v>45782.92638888889</v>
      </c>
      <c r="C1793" t="inlineStr">
        <is>
          <t>Antioquia</t>
        </is>
      </c>
      <c r="D1793" t="inlineStr">
        <is>
          <t>Medellín</t>
        </is>
      </c>
      <c r="E1793" t="inlineStr">
        <is>
          <t>Belleza</t>
        </is>
      </c>
      <c r="F1793" t="inlineStr">
        <is>
          <t>App</t>
        </is>
      </c>
      <c r="G1793" t="inlineStr">
        <is>
          <t>1. Visita</t>
        </is>
      </c>
      <c r="H1793" t="n">
        <v>1</v>
      </c>
      <c r="I1793" s="73" t="n">
        <v>76300</v>
      </c>
      <c r="J1793" s="73" t="n">
        <v>76300</v>
      </c>
      <c r="K1793" s="73" t="n">
        <v>52683</v>
      </c>
    </row>
    <row r="1794">
      <c r="A1794" t="n">
        <v>11853</v>
      </c>
      <c r="B1794" s="72" t="n">
        <v>45782.93263888889</v>
      </c>
      <c r="C1794" t="inlineStr">
        <is>
          <t>Atlántico</t>
        </is>
      </c>
      <c r="D1794" t="inlineStr">
        <is>
          <t>Barranquilla</t>
        </is>
      </c>
      <c r="E1794" t="inlineStr">
        <is>
          <t>Belleza</t>
        </is>
      </c>
      <c r="F1794" t="inlineStr">
        <is>
          <t>App</t>
        </is>
      </c>
      <c r="G1794" t="inlineStr">
        <is>
          <t>3. Pago</t>
        </is>
      </c>
      <c r="H1794" t="n">
        <v>1</v>
      </c>
      <c r="I1794" s="73" t="n">
        <v>50800</v>
      </c>
      <c r="J1794" s="73" t="n">
        <v>50800</v>
      </c>
      <c r="K1794" s="73" t="n">
        <v>31057</v>
      </c>
    </row>
    <row r="1795">
      <c r="A1795" t="n">
        <v>11167</v>
      </c>
      <c r="B1795" s="72" t="n">
        <v>45783.37569444445</v>
      </c>
      <c r="C1795" t="inlineStr">
        <is>
          <t>Meta</t>
        </is>
      </c>
      <c r="D1795" t="inlineStr">
        <is>
          <t>Villavicencio</t>
        </is>
      </c>
      <c r="E1795" t="inlineStr">
        <is>
          <t>Hogar</t>
        </is>
      </c>
      <c r="F1795" t="inlineStr">
        <is>
          <t>Web</t>
        </is>
      </c>
      <c r="G1795" t="inlineStr">
        <is>
          <t>1. Visita</t>
        </is>
      </c>
      <c r="H1795" t="n">
        <v>2</v>
      </c>
      <c r="I1795" s="73" t="n">
        <v>250400</v>
      </c>
      <c r="J1795" s="73" t="n">
        <v>500800</v>
      </c>
      <c r="K1795" s="73" t="n">
        <v>358732</v>
      </c>
    </row>
    <row r="1796">
      <c r="A1796" t="n">
        <v>11706</v>
      </c>
      <c r="B1796" s="72" t="n">
        <v>45784.29444444444</v>
      </c>
      <c r="C1796" t="inlineStr">
        <is>
          <t>Bogotá D.C.</t>
        </is>
      </c>
      <c r="D1796" t="inlineStr">
        <is>
          <t>Bogotá</t>
        </is>
      </c>
      <c r="E1796" t="inlineStr">
        <is>
          <t>Deportes</t>
        </is>
      </c>
      <c r="F1796" t="inlineStr">
        <is>
          <t>Tienda física</t>
        </is>
      </c>
      <c r="G1796" t="inlineStr">
        <is>
          <t>3. Pago</t>
        </is>
      </c>
      <c r="H1796" t="n">
        <v>4</v>
      </c>
      <c r="I1796" s="73" t="n">
        <v>182700</v>
      </c>
      <c r="J1796" s="73" t="n">
        <v>730800</v>
      </c>
      <c r="K1796" s="73" t="n">
        <v>543440</v>
      </c>
    </row>
    <row r="1797">
      <c r="A1797" t="n">
        <v>11213</v>
      </c>
      <c r="B1797" s="72" t="n">
        <v>45784.71319444444</v>
      </c>
      <c r="C1797" t="inlineStr">
        <is>
          <t>Bogotá D.C.</t>
        </is>
      </c>
      <c r="D1797" t="inlineStr">
        <is>
          <t>Bogotá</t>
        </is>
      </c>
      <c r="E1797" t="inlineStr">
        <is>
          <t>Deportes</t>
        </is>
      </c>
      <c r="F1797" t="inlineStr">
        <is>
          <t>App</t>
        </is>
      </c>
      <c r="G1797" t="inlineStr">
        <is>
          <t>1. Visita</t>
        </is>
      </c>
      <c r="H1797" t="n">
        <v>2</v>
      </c>
      <c r="I1797" s="73" t="n">
        <v>123900</v>
      </c>
      <c r="J1797" s="73" t="n">
        <v>247800</v>
      </c>
      <c r="K1797" s="73" t="n">
        <v>145709</v>
      </c>
    </row>
    <row r="1798">
      <c r="A1798" t="n">
        <v>10970</v>
      </c>
      <c r="B1798" s="72" t="n">
        <v>45784.85972222222</v>
      </c>
      <c r="C1798" t="inlineStr">
        <is>
          <t>Meta</t>
        </is>
      </c>
      <c r="D1798" t="inlineStr">
        <is>
          <t>Villavicencio</t>
        </is>
      </c>
      <c r="E1798" t="inlineStr">
        <is>
          <t>Deportes</t>
        </is>
      </c>
      <c r="F1798" t="inlineStr">
        <is>
          <t>App</t>
        </is>
      </c>
      <c r="G1798" t="inlineStr">
        <is>
          <t>1. Visita</t>
        </is>
      </c>
      <c r="H1798" t="n">
        <v>3</v>
      </c>
      <c r="I1798" s="73" t="n">
        <v>195300</v>
      </c>
      <c r="J1798" s="73" t="n">
        <v>585900</v>
      </c>
      <c r="K1798" s="73" t="n">
        <v>340462</v>
      </c>
    </row>
    <row r="1799">
      <c r="A1799" t="n">
        <v>11162</v>
      </c>
      <c r="B1799" s="72" t="n">
        <v>45785.375</v>
      </c>
      <c r="C1799" t="inlineStr">
        <is>
          <t>Bogotá D.C.</t>
        </is>
      </c>
      <c r="D1799" t="inlineStr">
        <is>
          <t>Bogotá</t>
        </is>
      </c>
      <c r="E1799" t="inlineStr">
        <is>
          <t>Juguetes</t>
        </is>
      </c>
      <c r="F1799" t="inlineStr">
        <is>
          <t>App</t>
        </is>
      </c>
      <c r="G1799" t="inlineStr">
        <is>
          <t>3. Pago</t>
        </is>
      </c>
      <c r="H1799" t="n">
        <v>2</v>
      </c>
      <c r="I1799" s="73" t="n">
        <v>89600</v>
      </c>
      <c r="J1799" s="73" t="n">
        <v>179200</v>
      </c>
      <c r="K1799" s="73" t="n">
        <v>107792</v>
      </c>
    </row>
    <row r="1800">
      <c r="A1800" t="n">
        <v>11016</v>
      </c>
      <c r="B1800" s="72" t="n">
        <v>45785.71111111111</v>
      </c>
      <c r="C1800" t="inlineStr">
        <is>
          <t>Meta</t>
        </is>
      </c>
      <c r="D1800" t="inlineStr">
        <is>
          <t>Villavicencio</t>
        </is>
      </c>
      <c r="E1800" t="inlineStr">
        <is>
          <t>Tecnología</t>
        </is>
      </c>
      <c r="F1800" t="inlineStr">
        <is>
          <t>Tienda física</t>
        </is>
      </c>
      <c r="G1800" t="inlineStr">
        <is>
          <t>1. Visita</t>
        </is>
      </c>
      <c r="H1800" t="n">
        <v>1</v>
      </c>
      <c r="I1800" s="73" t="n">
        <v>1060100</v>
      </c>
      <c r="J1800" s="73" t="n">
        <v>1060100</v>
      </c>
      <c r="K1800" s="73" t="n">
        <v>734985</v>
      </c>
    </row>
    <row r="1801">
      <c r="A1801" t="n">
        <v>11970</v>
      </c>
      <c r="B1801" s="72" t="n">
        <v>45785.76388888889</v>
      </c>
      <c r="C1801" t="inlineStr">
        <is>
          <t>Bogotá D.C.</t>
        </is>
      </c>
      <c r="D1801" t="inlineStr">
        <is>
          <t>Bogotá</t>
        </is>
      </c>
      <c r="E1801" t="inlineStr">
        <is>
          <t>Juguetes</t>
        </is>
      </c>
      <c r="F1801" t="inlineStr">
        <is>
          <t>App</t>
        </is>
      </c>
      <c r="G1801" t="inlineStr">
        <is>
          <t>4. Compra</t>
        </is>
      </c>
      <c r="H1801" t="n">
        <v>3</v>
      </c>
      <c r="I1801" s="73" t="n">
        <v>99900</v>
      </c>
      <c r="J1801" s="73" t="n">
        <v>299700</v>
      </c>
      <c r="K1801" s="73" t="n">
        <v>200286</v>
      </c>
    </row>
    <row r="1802">
      <c r="A1802" t="n">
        <v>12330</v>
      </c>
      <c r="B1802" s="72" t="n">
        <v>45785.79930555556</v>
      </c>
      <c r="C1802" t="inlineStr">
        <is>
          <t>Risaralda</t>
        </is>
      </c>
      <c r="D1802" t="inlineStr">
        <is>
          <t>Pereira</t>
        </is>
      </c>
      <c r="E1802" t="inlineStr">
        <is>
          <t>Tecnología</t>
        </is>
      </c>
      <c r="F1802" t="inlineStr">
        <is>
          <t>Web</t>
        </is>
      </c>
      <c r="G1802" t="inlineStr">
        <is>
          <t>1. Visita</t>
        </is>
      </c>
      <c r="H1802" t="n">
        <v>1</v>
      </c>
      <c r="I1802" s="73" t="n">
        <v>666500</v>
      </c>
      <c r="J1802" s="73" t="n">
        <v>666500</v>
      </c>
      <c r="K1802" s="73" t="n">
        <v>475995</v>
      </c>
    </row>
    <row r="1803">
      <c r="A1803" t="n">
        <v>11669</v>
      </c>
      <c r="B1803" s="72" t="n">
        <v>45785.95416666667</v>
      </c>
      <c r="C1803" t="inlineStr">
        <is>
          <t>Bolívar</t>
        </is>
      </c>
      <c r="D1803" t="inlineStr">
        <is>
          <t>Cartagena</t>
        </is>
      </c>
      <c r="E1803" t="inlineStr">
        <is>
          <t>Tecnología</t>
        </is>
      </c>
      <c r="F1803" t="inlineStr">
        <is>
          <t>App</t>
        </is>
      </c>
      <c r="G1803" t="inlineStr">
        <is>
          <t>3. Pago</t>
        </is>
      </c>
      <c r="H1803" t="n">
        <v>5</v>
      </c>
      <c r="I1803" s="73" t="n">
        <v>816500</v>
      </c>
      <c r="J1803" s="73" t="n">
        <v>4082500</v>
      </c>
      <c r="K1803" s="73" t="n">
        <v>2838401</v>
      </c>
    </row>
    <row r="1804">
      <c r="A1804" t="n">
        <v>10255</v>
      </c>
      <c r="B1804" s="72" t="n">
        <v>45786.46597222222</v>
      </c>
      <c r="C1804" t="inlineStr">
        <is>
          <t>Nariño</t>
        </is>
      </c>
      <c r="D1804" t="inlineStr">
        <is>
          <t>Pasto</t>
        </is>
      </c>
      <c r="E1804" t="inlineStr">
        <is>
          <t>Belleza</t>
        </is>
      </c>
      <c r="F1804" t="inlineStr">
        <is>
          <t>App</t>
        </is>
      </c>
      <c r="G1804" t="inlineStr">
        <is>
          <t>2. Carrito</t>
        </is>
      </c>
      <c r="H1804" t="n">
        <v>1</v>
      </c>
      <c r="I1804" s="73" t="n">
        <v>66100</v>
      </c>
      <c r="J1804" s="73" t="n">
        <v>76015</v>
      </c>
      <c r="K1804" s="73" t="n">
        <v>46685</v>
      </c>
    </row>
    <row r="1805">
      <c r="A1805" t="n">
        <v>10805</v>
      </c>
      <c r="B1805" s="72" t="n">
        <v>45786.53472222222</v>
      </c>
      <c r="C1805" t="inlineStr">
        <is>
          <t>Huila</t>
        </is>
      </c>
      <c r="D1805" t="inlineStr">
        <is>
          <t>Neiva</t>
        </is>
      </c>
      <c r="E1805" t="inlineStr">
        <is>
          <t>Juguetes</t>
        </is>
      </c>
      <c r="F1805" t="inlineStr">
        <is>
          <t>Web</t>
        </is>
      </c>
      <c r="G1805" t="inlineStr">
        <is>
          <t>1. Visita</t>
        </is>
      </c>
      <c r="H1805" t="n">
        <v>3</v>
      </c>
      <c r="I1805" s="73" t="n">
        <v>107900</v>
      </c>
      <c r="J1805" s="73" t="n">
        <v>372255</v>
      </c>
      <c r="K1805" s="73" t="n">
        <v>227908</v>
      </c>
    </row>
    <row r="1806">
      <c r="A1806" t="n">
        <v>12295</v>
      </c>
      <c r="B1806" s="72" t="n">
        <v>45786.63819444444</v>
      </c>
      <c r="C1806" t="inlineStr">
        <is>
          <t>Valle del Cauca</t>
        </is>
      </c>
      <c r="D1806" t="inlineStr">
        <is>
          <t>Cali</t>
        </is>
      </c>
      <c r="E1806" t="inlineStr">
        <is>
          <t>Belleza</t>
        </is>
      </c>
      <c r="F1806" t="inlineStr">
        <is>
          <t>Tienda física</t>
        </is>
      </c>
      <c r="G1806" t="inlineStr">
        <is>
          <t>3. Pago</t>
        </is>
      </c>
      <c r="H1806" t="n">
        <v>3</v>
      </c>
      <c r="I1806" s="73" t="n">
        <v>80600</v>
      </c>
      <c r="J1806" s="73" t="n">
        <v>278070</v>
      </c>
      <c r="K1806" s="73" t="n">
        <v>169351</v>
      </c>
    </row>
    <row r="1807">
      <c r="A1807" t="n">
        <v>10386</v>
      </c>
      <c r="B1807" s="72" t="n">
        <v>45786.68263888889</v>
      </c>
      <c r="C1807" t="inlineStr">
        <is>
          <t>Bogotá D.C.</t>
        </is>
      </c>
      <c r="D1807" t="inlineStr">
        <is>
          <t>Bogotá</t>
        </is>
      </c>
      <c r="E1807" t="inlineStr">
        <is>
          <t>Moda</t>
        </is>
      </c>
      <c r="F1807" t="inlineStr">
        <is>
          <t>Web</t>
        </is>
      </c>
      <c r="G1807" t="inlineStr">
        <is>
          <t>3. Pago</t>
        </is>
      </c>
      <c r="H1807" t="n">
        <v>4</v>
      </c>
      <c r="I1807" s="73" t="n">
        <v>139900</v>
      </c>
      <c r="J1807" s="73" t="n">
        <v>643540</v>
      </c>
      <c r="K1807" s="73" t="n">
        <v>394819</v>
      </c>
    </row>
    <row r="1808">
      <c r="A1808" t="n">
        <v>11930</v>
      </c>
      <c r="B1808" s="72" t="n">
        <v>45786.75416666667</v>
      </c>
      <c r="C1808" t="inlineStr">
        <is>
          <t>Bogotá D.C.</t>
        </is>
      </c>
      <c r="D1808" t="inlineStr">
        <is>
          <t>Bogotá</t>
        </is>
      </c>
      <c r="E1808" t="inlineStr">
        <is>
          <t>Moda</t>
        </is>
      </c>
      <c r="F1808" t="inlineStr">
        <is>
          <t>Web</t>
        </is>
      </c>
      <c r="G1808" t="inlineStr">
        <is>
          <t>1. Visita</t>
        </is>
      </c>
      <c r="H1808" t="n">
        <v>5</v>
      </c>
      <c r="I1808" s="73" t="n">
        <v>98900</v>
      </c>
      <c r="J1808" s="73" t="n">
        <v>568675</v>
      </c>
      <c r="K1808" s="73" t="n">
        <v>324629</v>
      </c>
    </row>
    <row r="1809">
      <c r="A1809" t="n">
        <v>10051</v>
      </c>
      <c r="B1809" s="72" t="n">
        <v>45786.77361111111</v>
      </c>
      <c r="C1809" t="inlineStr">
        <is>
          <t>Bogotá D.C.</t>
        </is>
      </c>
      <c r="D1809" t="inlineStr">
        <is>
          <t>Bogotá</t>
        </is>
      </c>
      <c r="E1809" t="inlineStr">
        <is>
          <t>Hogar</t>
        </is>
      </c>
      <c r="F1809" t="inlineStr">
        <is>
          <t>App</t>
        </is>
      </c>
      <c r="G1809" t="inlineStr">
        <is>
          <t>2. Carrito</t>
        </is>
      </c>
      <c r="H1809" t="n">
        <v>2</v>
      </c>
      <c r="I1809" s="73" t="n">
        <v>219500</v>
      </c>
      <c r="J1809" s="73" t="n">
        <v>504850</v>
      </c>
      <c r="K1809" s="73" t="n">
        <v>372185</v>
      </c>
    </row>
    <row r="1810">
      <c r="A1810" t="n">
        <v>11494</v>
      </c>
      <c r="B1810" s="72" t="n">
        <v>45786.79097222222</v>
      </c>
      <c r="C1810" t="inlineStr">
        <is>
          <t>Antioquia</t>
        </is>
      </c>
      <c r="D1810" t="inlineStr">
        <is>
          <t>Medellín</t>
        </is>
      </c>
      <c r="E1810" t="inlineStr">
        <is>
          <t>Juguetes</t>
        </is>
      </c>
      <c r="F1810" t="inlineStr">
        <is>
          <t>App</t>
        </is>
      </c>
      <c r="G1810" t="inlineStr">
        <is>
          <t>4. Compra</t>
        </is>
      </c>
      <c r="H1810" t="n">
        <v>4</v>
      </c>
      <c r="I1810" s="73" t="n">
        <v>73400</v>
      </c>
      <c r="J1810" s="73" t="n">
        <v>337640</v>
      </c>
      <c r="K1810" s="73" t="n">
        <v>248973</v>
      </c>
    </row>
    <row r="1811">
      <c r="A1811" t="n">
        <v>10359</v>
      </c>
      <c r="B1811" s="72" t="n">
        <v>45786.81180555555</v>
      </c>
      <c r="C1811" t="inlineStr">
        <is>
          <t>Antioquia</t>
        </is>
      </c>
      <c r="D1811" t="inlineStr">
        <is>
          <t>Medellín</t>
        </is>
      </c>
      <c r="E1811" t="inlineStr">
        <is>
          <t>Belleza</t>
        </is>
      </c>
      <c r="F1811" t="inlineStr">
        <is>
          <t>App</t>
        </is>
      </c>
      <c r="G1811" t="inlineStr">
        <is>
          <t>2. Carrito</t>
        </is>
      </c>
      <c r="H1811" t="n">
        <v>1</v>
      </c>
      <c r="I1811" s="73" t="n">
        <v>56800</v>
      </c>
      <c r="J1811" s="73" t="n">
        <v>65320</v>
      </c>
      <c r="K1811" s="73" t="n">
        <v>47276</v>
      </c>
    </row>
    <row r="1812">
      <c r="A1812" t="n">
        <v>12397</v>
      </c>
      <c r="B1812" s="72" t="n">
        <v>45787.25763888889</v>
      </c>
      <c r="C1812" t="inlineStr">
        <is>
          <t>Antioquia</t>
        </is>
      </c>
      <c r="D1812" t="inlineStr">
        <is>
          <t>Medellín</t>
        </is>
      </c>
      <c r="E1812" t="inlineStr">
        <is>
          <t>Juguetes</t>
        </is>
      </c>
      <c r="F1812" t="inlineStr">
        <is>
          <t>App</t>
        </is>
      </c>
      <c r="G1812" t="inlineStr">
        <is>
          <t>1. Visita</t>
        </is>
      </c>
      <c r="H1812" t="n">
        <v>2</v>
      </c>
      <c r="I1812" s="73" t="n">
        <v>80200</v>
      </c>
      <c r="J1812" s="73" t="n">
        <v>184460</v>
      </c>
      <c r="K1812" s="73" t="n">
        <v>127177</v>
      </c>
    </row>
    <row r="1813">
      <c r="A1813" t="n">
        <v>10031</v>
      </c>
      <c r="B1813" s="72" t="n">
        <v>45787.46041666667</v>
      </c>
      <c r="C1813" t="inlineStr">
        <is>
          <t>Bogotá D.C.</t>
        </is>
      </c>
      <c r="D1813" t="inlineStr">
        <is>
          <t>Bogotá</t>
        </is>
      </c>
      <c r="E1813" t="inlineStr">
        <is>
          <t>Belleza</t>
        </is>
      </c>
      <c r="F1813" t="inlineStr">
        <is>
          <t>Web</t>
        </is>
      </c>
      <c r="G1813" t="inlineStr">
        <is>
          <t>1. Visita</t>
        </is>
      </c>
      <c r="H1813" t="n">
        <v>4</v>
      </c>
      <c r="I1813" s="73" t="n">
        <v>74600</v>
      </c>
      <c r="J1813" s="73" t="n">
        <v>343160</v>
      </c>
      <c r="K1813" s="73" t="n">
        <v>219762</v>
      </c>
    </row>
    <row r="1814">
      <c r="A1814" t="n">
        <v>10681</v>
      </c>
      <c r="B1814" s="72" t="n">
        <v>45787.71875</v>
      </c>
      <c r="C1814" t="inlineStr">
        <is>
          <t>Santander</t>
        </is>
      </c>
      <c r="D1814" t="inlineStr">
        <is>
          <t>Bucaramanga</t>
        </is>
      </c>
      <c r="E1814" t="inlineStr">
        <is>
          <t>Tecnología</t>
        </is>
      </c>
      <c r="F1814" t="inlineStr">
        <is>
          <t>Tienda física</t>
        </is>
      </c>
      <c r="G1814" t="inlineStr">
        <is>
          <t>4. Compra</t>
        </is>
      </c>
      <c r="H1814" t="n">
        <v>1</v>
      </c>
      <c r="I1814" s="73" t="n">
        <v>966500</v>
      </c>
      <c r="J1814" s="73" t="n">
        <v>1111475</v>
      </c>
      <c r="K1814" s="73" t="n">
        <v>805617</v>
      </c>
    </row>
    <row r="1815">
      <c r="A1815" t="n">
        <v>10157</v>
      </c>
      <c r="B1815" s="72" t="n">
        <v>45787.82986111111</v>
      </c>
      <c r="C1815" t="inlineStr">
        <is>
          <t>Nariño</t>
        </is>
      </c>
      <c r="D1815" t="inlineStr">
        <is>
          <t>Pasto</t>
        </is>
      </c>
      <c r="E1815" t="inlineStr">
        <is>
          <t>Juguetes</t>
        </is>
      </c>
      <c r="F1815" t="inlineStr">
        <is>
          <t>Tienda física</t>
        </is>
      </c>
      <c r="G1815" t="inlineStr">
        <is>
          <t>2. Carrito</t>
        </is>
      </c>
      <c r="H1815" t="n">
        <v>1</v>
      </c>
      <c r="I1815" s="73" t="n">
        <v>103000</v>
      </c>
      <c r="J1815" s="73" t="n">
        <v>118450</v>
      </c>
      <c r="K1815" s="73" t="n">
        <v>67046</v>
      </c>
    </row>
    <row r="1816">
      <c r="A1816" t="n">
        <v>10762</v>
      </c>
      <c r="B1816" s="72" t="n">
        <v>45788.35972222222</v>
      </c>
      <c r="C1816" t="inlineStr">
        <is>
          <t>Bogotá D.C.</t>
        </is>
      </c>
      <c r="D1816" t="inlineStr">
        <is>
          <t>Bogotá</t>
        </is>
      </c>
      <c r="E1816" t="inlineStr">
        <is>
          <t>Tecnología</t>
        </is>
      </c>
      <c r="F1816" t="inlineStr">
        <is>
          <t>App</t>
        </is>
      </c>
      <c r="G1816" t="inlineStr">
        <is>
          <t>1. Visita</t>
        </is>
      </c>
      <c r="H1816" t="n">
        <v>3</v>
      </c>
      <c r="I1816" s="73" t="n">
        <v>805200</v>
      </c>
      <c r="J1816" s="73" t="n">
        <v>2777940</v>
      </c>
      <c r="K1816" s="73" t="n">
        <v>1803878</v>
      </c>
    </row>
    <row r="1817">
      <c r="A1817" t="n">
        <v>10180</v>
      </c>
      <c r="B1817" s="72" t="n">
        <v>45789.32916666667</v>
      </c>
      <c r="C1817" t="inlineStr">
        <is>
          <t>Antioquia</t>
        </is>
      </c>
      <c r="D1817" t="inlineStr">
        <is>
          <t>Medellín</t>
        </is>
      </c>
      <c r="E1817" t="inlineStr">
        <is>
          <t>Hogar</t>
        </is>
      </c>
      <c r="F1817" t="inlineStr">
        <is>
          <t>Web</t>
        </is>
      </c>
      <c r="G1817" t="inlineStr">
        <is>
          <t>4. Compra</t>
        </is>
      </c>
      <c r="H1817" t="n">
        <v>1</v>
      </c>
      <c r="I1817" s="73" t="n">
        <v>181400</v>
      </c>
      <c r="J1817" s="73" t="n">
        <v>181400</v>
      </c>
      <c r="K1817" s="73" t="n">
        <v>127889</v>
      </c>
    </row>
    <row r="1818">
      <c r="A1818" t="n">
        <v>11983</v>
      </c>
      <c r="B1818" s="72" t="n">
        <v>45789.36736111111</v>
      </c>
      <c r="C1818" t="inlineStr">
        <is>
          <t>Nariño</t>
        </is>
      </c>
      <c r="D1818" t="inlineStr">
        <is>
          <t>Pasto</t>
        </is>
      </c>
      <c r="E1818" t="inlineStr">
        <is>
          <t>Tecnología</t>
        </is>
      </c>
      <c r="F1818" t="inlineStr">
        <is>
          <t>Web</t>
        </is>
      </c>
      <c r="G1818" t="inlineStr">
        <is>
          <t>2. Carrito</t>
        </is>
      </c>
      <c r="H1818" t="n">
        <v>1</v>
      </c>
      <c r="I1818" s="73" t="n">
        <v>775800</v>
      </c>
      <c r="J1818" s="73" t="n">
        <v>775800</v>
      </c>
      <c r="K1818" s="73" t="n">
        <v>446343</v>
      </c>
    </row>
    <row r="1819">
      <c r="A1819" t="n">
        <v>11902</v>
      </c>
      <c r="B1819" s="72" t="n">
        <v>45789.50694444445</v>
      </c>
      <c r="C1819" t="inlineStr">
        <is>
          <t>Bogotá D.C.</t>
        </is>
      </c>
      <c r="D1819" t="inlineStr">
        <is>
          <t>Bogotá</t>
        </is>
      </c>
      <c r="E1819" t="inlineStr">
        <is>
          <t>Tecnología</t>
        </is>
      </c>
      <c r="F1819" t="inlineStr">
        <is>
          <t>Marketplace</t>
        </is>
      </c>
      <c r="G1819" t="inlineStr">
        <is>
          <t>1. Visita</t>
        </is>
      </c>
      <c r="H1819" t="n">
        <v>2</v>
      </c>
      <c r="I1819" s="73" t="n">
        <v>910200</v>
      </c>
      <c r="J1819" s="73" t="n">
        <v>1820400</v>
      </c>
      <c r="K1819" s="73" t="n">
        <v>1212658</v>
      </c>
    </row>
    <row r="1820">
      <c r="A1820" t="n">
        <v>11432</v>
      </c>
      <c r="B1820" s="72" t="n">
        <v>45789.68611111111</v>
      </c>
      <c r="C1820" t="inlineStr">
        <is>
          <t>Huila</t>
        </is>
      </c>
      <c r="D1820" t="inlineStr">
        <is>
          <t>Neiva</t>
        </is>
      </c>
      <c r="E1820" t="inlineStr">
        <is>
          <t>Tecnología</t>
        </is>
      </c>
      <c r="F1820" t="inlineStr">
        <is>
          <t>Tienda física</t>
        </is>
      </c>
      <c r="G1820" t="inlineStr">
        <is>
          <t>1. Visita</t>
        </is>
      </c>
      <c r="H1820" t="n">
        <v>4</v>
      </c>
      <c r="I1820" s="73" t="n">
        <v>794400</v>
      </c>
      <c r="J1820" s="73" t="n">
        <v>3177600</v>
      </c>
      <c r="K1820" s="73" t="n">
        <v>2097510</v>
      </c>
    </row>
    <row r="1821">
      <c r="A1821" t="n">
        <v>11903</v>
      </c>
      <c r="B1821" s="72" t="n">
        <v>45789.88125</v>
      </c>
      <c r="C1821" t="inlineStr">
        <is>
          <t>Antioquia</t>
        </is>
      </c>
      <c r="D1821" t="inlineStr">
        <is>
          <t>Medellín</t>
        </is>
      </c>
      <c r="E1821" t="inlineStr">
        <is>
          <t>Juguetes</t>
        </is>
      </c>
      <c r="F1821" t="inlineStr">
        <is>
          <t>App</t>
        </is>
      </c>
      <c r="G1821" t="inlineStr">
        <is>
          <t>1. Visita</t>
        </is>
      </c>
      <c r="H1821" t="n">
        <v>5</v>
      </c>
      <c r="I1821" s="73" t="n">
        <v>87700</v>
      </c>
      <c r="J1821" s="73" t="n">
        <v>438500</v>
      </c>
      <c r="K1821" s="73" t="n">
        <v>256126</v>
      </c>
    </row>
    <row r="1822">
      <c r="A1822" t="n">
        <v>11892</v>
      </c>
      <c r="B1822" s="72" t="n">
        <v>45790.2875</v>
      </c>
      <c r="C1822" t="inlineStr">
        <is>
          <t>Antioquia</t>
        </is>
      </c>
      <c r="D1822" t="inlineStr">
        <is>
          <t>Medellín</t>
        </is>
      </c>
      <c r="E1822" t="inlineStr">
        <is>
          <t>Moda</t>
        </is>
      </c>
      <c r="F1822" t="inlineStr">
        <is>
          <t>Web</t>
        </is>
      </c>
      <c r="G1822" t="inlineStr">
        <is>
          <t>2. Carrito</t>
        </is>
      </c>
      <c r="H1822" t="n">
        <v>4</v>
      </c>
      <c r="I1822" s="73" t="n">
        <v>134800</v>
      </c>
      <c r="J1822" s="73" t="n">
        <v>539200</v>
      </c>
      <c r="K1822" s="73" t="n">
        <v>315828</v>
      </c>
    </row>
    <row r="1823">
      <c r="A1823" t="n">
        <v>11898</v>
      </c>
      <c r="B1823" s="72" t="n">
        <v>45790.30486111111</v>
      </c>
      <c r="C1823" t="inlineStr">
        <is>
          <t>Valle del Cauca</t>
        </is>
      </c>
      <c r="D1823" t="inlineStr">
        <is>
          <t>Cali</t>
        </is>
      </c>
      <c r="E1823" t="inlineStr">
        <is>
          <t>Deportes</t>
        </is>
      </c>
      <c r="F1823" t="inlineStr">
        <is>
          <t>Tienda física</t>
        </is>
      </c>
      <c r="G1823" t="inlineStr">
        <is>
          <t>1. Visita</t>
        </is>
      </c>
      <c r="H1823" t="n">
        <v>4</v>
      </c>
      <c r="I1823" s="73" t="n">
        <v>117100</v>
      </c>
      <c r="J1823" s="73" t="n">
        <v>468400</v>
      </c>
      <c r="K1823" s="73" t="n">
        <v>349325</v>
      </c>
    </row>
    <row r="1824">
      <c r="A1824" t="n">
        <v>11614</v>
      </c>
      <c r="B1824" s="72" t="n">
        <v>45790.50277777778</v>
      </c>
      <c r="C1824" t="inlineStr">
        <is>
          <t>Antioquia</t>
        </is>
      </c>
      <c r="D1824" t="inlineStr">
        <is>
          <t>Medellín</t>
        </is>
      </c>
      <c r="E1824" t="inlineStr">
        <is>
          <t>Belleza</t>
        </is>
      </c>
      <c r="F1824" t="inlineStr">
        <is>
          <t>App</t>
        </is>
      </c>
      <c r="G1824" t="inlineStr">
        <is>
          <t>1. Visita</t>
        </is>
      </c>
      <c r="H1824" t="n">
        <v>5</v>
      </c>
      <c r="I1824" s="73" t="n">
        <v>58300</v>
      </c>
      <c r="J1824" s="73" t="n">
        <v>291500</v>
      </c>
      <c r="K1824" s="73" t="n">
        <v>199874</v>
      </c>
    </row>
    <row r="1825">
      <c r="A1825" t="n">
        <v>10002</v>
      </c>
      <c r="B1825" s="72" t="n">
        <v>45790.74722222222</v>
      </c>
      <c r="C1825" t="inlineStr">
        <is>
          <t>Bogotá D.C.</t>
        </is>
      </c>
      <c r="D1825" t="inlineStr">
        <is>
          <t>Bogotá</t>
        </is>
      </c>
      <c r="E1825" t="inlineStr">
        <is>
          <t>Tecnología</t>
        </is>
      </c>
      <c r="F1825" t="inlineStr">
        <is>
          <t>Web</t>
        </is>
      </c>
      <c r="G1825" t="inlineStr">
        <is>
          <t>1. Visita</t>
        </is>
      </c>
      <c r="H1825" t="n">
        <v>3</v>
      </c>
      <c r="I1825" s="73" t="n">
        <v>933000</v>
      </c>
      <c r="J1825" s="73" t="n">
        <v>2799000</v>
      </c>
      <c r="K1825" s="73" t="n">
        <v>1980595</v>
      </c>
    </row>
    <row r="1826">
      <c r="A1826" t="n">
        <v>11479</v>
      </c>
      <c r="B1826" s="72" t="n">
        <v>45790.83125</v>
      </c>
      <c r="C1826" t="inlineStr">
        <is>
          <t>Antioquia</t>
        </is>
      </c>
      <c r="D1826" t="inlineStr">
        <is>
          <t>Medellín</t>
        </is>
      </c>
      <c r="E1826" t="inlineStr">
        <is>
          <t>Deportes</t>
        </is>
      </c>
      <c r="F1826" t="inlineStr">
        <is>
          <t>Web</t>
        </is>
      </c>
      <c r="G1826" t="inlineStr">
        <is>
          <t>1. Visita</t>
        </is>
      </c>
      <c r="H1826" t="n">
        <v>1</v>
      </c>
      <c r="I1826" s="73" t="n">
        <v>189000</v>
      </c>
      <c r="J1826" s="73" t="n">
        <v>189000</v>
      </c>
      <c r="K1826" s="73" t="n">
        <v>138757</v>
      </c>
    </row>
    <row r="1827">
      <c r="A1827" t="n">
        <v>12361</v>
      </c>
      <c r="B1827" s="72" t="n">
        <v>45790.87222222222</v>
      </c>
      <c r="C1827" t="inlineStr">
        <is>
          <t>Risaralda</t>
        </is>
      </c>
      <c r="D1827" t="inlineStr">
        <is>
          <t>Pereira</t>
        </is>
      </c>
      <c r="E1827" t="inlineStr">
        <is>
          <t>Belleza</t>
        </is>
      </c>
      <c r="F1827" t="inlineStr">
        <is>
          <t>Marketplace</t>
        </is>
      </c>
      <c r="G1827" t="inlineStr">
        <is>
          <t>4. Compra</t>
        </is>
      </c>
      <c r="H1827" t="n">
        <v>4</v>
      </c>
      <c r="I1827" s="73" t="n">
        <v>76200</v>
      </c>
      <c r="J1827" s="73" t="n">
        <v>304800</v>
      </c>
      <c r="K1827" s="73" t="n">
        <v>212783</v>
      </c>
    </row>
    <row r="1828">
      <c r="A1828" t="n">
        <v>11521</v>
      </c>
      <c r="B1828" s="72" t="n">
        <v>45790.94097222222</v>
      </c>
      <c r="C1828" t="inlineStr">
        <is>
          <t>Antioquia</t>
        </is>
      </c>
      <c r="D1828" t="inlineStr">
        <is>
          <t>Medellín</t>
        </is>
      </c>
      <c r="E1828" t="inlineStr">
        <is>
          <t>Moda</t>
        </is>
      </c>
      <c r="F1828" t="inlineStr">
        <is>
          <t>Web</t>
        </is>
      </c>
      <c r="G1828" t="inlineStr">
        <is>
          <t>2. Carrito</t>
        </is>
      </c>
      <c r="H1828" t="n">
        <v>1</v>
      </c>
      <c r="I1828" s="73" t="n">
        <v>98600</v>
      </c>
      <c r="J1828" s="73" t="n">
        <v>98600</v>
      </c>
      <c r="K1828" s="73" t="n">
        <v>64556</v>
      </c>
    </row>
    <row r="1829">
      <c r="A1829" t="n">
        <v>11865</v>
      </c>
      <c r="B1829" s="72" t="n">
        <v>45791.47430555556</v>
      </c>
      <c r="C1829" t="inlineStr">
        <is>
          <t>Bogotá D.C.</t>
        </is>
      </c>
      <c r="D1829" t="inlineStr">
        <is>
          <t>Bogotá</t>
        </is>
      </c>
      <c r="E1829" t="inlineStr">
        <is>
          <t>Belleza</t>
        </is>
      </c>
      <c r="F1829" t="inlineStr">
        <is>
          <t>Web</t>
        </is>
      </c>
      <c r="G1829" t="inlineStr">
        <is>
          <t>3. Pago</t>
        </is>
      </c>
      <c r="H1829" t="n">
        <v>2</v>
      </c>
      <c r="I1829" s="73" t="n">
        <v>83600</v>
      </c>
      <c r="J1829" s="73" t="n">
        <v>167200</v>
      </c>
      <c r="K1829" s="73" t="n">
        <v>115481</v>
      </c>
    </row>
    <row r="1830">
      <c r="A1830" t="n">
        <v>11800</v>
      </c>
      <c r="B1830" s="72" t="n">
        <v>45791.52708333333</v>
      </c>
      <c r="C1830" t="inlineStr">
        <is>
          <t>Bogotá D.C.</t>
        </is>
      </c>
      <c r="D1830" t="inlineStr">
        <is>
          <t>Bogotá</t>
        </is>
      </c>
      <c r="E1830" t="inlineStr">
        <is>
          <t>Hogar</t>
        </is>
      </c>
      <c r="F1830" t="inlineStr">
        <is>
          <t>Marketplace</t>
        </is>
      </c>
      <c r="G1830" t="inlineStr">
        <is>
          <t>4. Compra</t>
        </is>
      </c>
      <c r="H1830" t="n">
        <v>3</v>
      </c>
      <c r="I1830" s="73" t="n">
        <v>233000</v>
      </c>
      <c r="J1830" s="73" t="n">
        <v>699000</v>
      </c>
      <c r="K1830" s="73" t="n">
        <v>435898</v>
      </c>
    </row>
    <row r="1831">
      <c r="A1831" t="n">
        <v>10848</v>
      </c>
      <c r="B1831" s="72" t="n">
        <v>45791.73333333333</v>
      </c>
      <c r="C1831" t="inlineStr">
        <is>
          <t>Meta</t>
        </is>
      </c>
      <c r="D1831" t="inlineStr">
        <is>
          <t>Villavicencio</t>
        </is>
      </c>
      <c r="E1831" t="inlineStr">
        <is>
          <t>Deportes</t>
        </is>
      </c>
      <c r="F1831" t="inlineStr">
        <is>
          <t>App</t>
        </is>
      </c>
      <c r="G1831" t="inlineStr">
        <is>
          <t>4. Compra</t>
        </is>
      </c>
      <c r="H1831" t="n">
        <v>4</v>
      </c>
      <c r="I1831" s="73" t="n">
        <v>113700</v>
      </c>
      <c r="J1831" s="73" t="n">
        <v>454800</v>
      </c>
      <c r="K1831" s="73" t="n">
        <v>262435</v>
      </c>
    </row>
    <row r="1832">
      <c r="A1832" t="n">
        <v>12168</v>
      </c>
      <c r="B1832" s="72" t="n">
        <v>45791.81666666667</v>
      </c>
      <c r="C1832" t="inlineStr">
        <is>
          <t>Bolívar</t>
        </is>
      </c>
      <c r="D1832" t="inlineStr">
        <is>
          <t>Cartagena</t>
        </is>
      </c>
      <c r="E1832" t="inlineStr">
        <is>
          <t>Deportes</t>
        </is>
      </c>
      <c r="F1832" t="inlineStr">
        <is>
          <t>Marketplace</t>
        </is>
      </c>
      <c r="G1832" t="inlineStr">
        <is>
          <t>1. Visita</t>
        </is>
      </c>
      <c r="H1832" t="n">
        <v>4</v>
      </c>
      <c r="I1832" s="73" t="n">
        <v>151900</v>
      </c>
      <c r="J1832" s="73" t="n">
        <v>607600</v>
      </c>
      <c r="K1832" s="73" t="n">
        <v>347680</v>
      </c>
    </row>
    <row r="1833">
      <c r="A1833" t="n">
        <v>10015</v>
      </c>
      <c r="B1833" s="72" t="n">
        <v>45791.83541666667</v>
      </c>
      <c r="C1833" t="inlineStr">
        <is>
          <t>Atlántico</t>
        </is>
      </c>
      <c r="D1833" t="inlineStr">
        <is>
          <t>Barranquilla</t>
        </is>
      </c>
      <c r="E1833" t="inlineStr">
        <is>
          <t>Hogar</t>
        </is>
      </c>
      <c r="F1833" t="inlineStr">
        <is>
          <t>Web</t>
        </is>
      </c>
      <c r="G1833" t="inlineStr">
        <is>
          <t>2. Carrito</t>
        </is>
      </c>
      <c r="H1833" t="n">
        <v>1</v>
      </c>
      <c r="I1833" s="73" t="n">
        <v>209800</v>
      </c>
      <c r="J1833" s="73" t="n">
        <v>209800</v>
      </c>
      <c r="K1833" s="73" t="n">
        <v>125111</v>
      </c>
    </row>
    <row r="1834">
      <c r="A1834" t="n">
        <v>12312</v>
      </c>
      <c r="B1834" s="72" t="n">
        <v>45791.95833333334</v>
      </c>
      <c r="C1834" t="inlineStr">
        <is>
          <t>Atlántico</t>
        </is>
      </c>
      <c r="D1834" t="inlineStr">
        <is>
          <t>Barranquilla</t>
        </is>
      </c>
      <c r="E1834" t="inlineStr">
        <is>
          <t>Juguetes</t>
        </is>
      </c>
      <c r="F1834" t="inlineStr">
        <is>
          <t>Tienda física</t>
        </is>
      </c>
      <c r="G1834" t="inlineStr">
        <is>
          <t>3. Pago</t>
        </is>
      </c>
      <c r="H1834" t="n">
        <v>2</v>
      </c>
      <c r="I1834" s="73" t="n">
        <v>97100</v>
      </c>
      <c r="J1834" s="73" t="n">
        <v>194200</v>
      </c>
      <c r="K1834" s="73" t="n">
        <v>114334</v>
      </c>
    </row>
    <row r="1835">
      <c r="A1835" t="n">
        <v>11343</v>
      </c>
      <c r="B1835" s="72" t="n">
        <v>45792.63263888889</v>
      </c>
      <c r="C1835" t="inlineStr">
        <is>
          <t>Valle del Cauca</t>
        </is>
      </c>
      <c r="D1835" t="inlineStr">
        <is>
          <t>Cali</t>
        </is>
      </c>
      <c r="E1835" t="inlineStr">
        <is>
          <t>Tecnología</t>
        </is>
      </c>
      <c r="F1835" t="inlineStr">
        <is>
          <t>Tienda física</t>
        </is>
      </c>
      <c r="G1835" t="inlineStr">
        <is>
          <t>1. Visita</t>
        </is>
      </c>
      <c r="H1835" t="n">
        <v>4</v>
      </c>
      <c r="I1835" s="73" t="n">
        <v>693500</v>
      </c>
      <c r="J1835" s="73" t="n">
        <v>2774000</v>
      </c>
      <c r="K1835" s="73" t="n">
        <v>1986265</v>
      </c>
    </row>
    <row r="1836">
      <c r="A1836" t="n">
        <v>10233</v>
      </c>
      <c r="B1836" s="72" t="n">
        <v>45792.94444444445</v>
      </c>
      <c r="C1836" t="inlineStr">
        <is>
          <t>Valle del Cauca</t>
        </is>
      </c>
      <c r="D1836" t="inlineStr">
        <is>
          <t>Cali</t>
        </is>
      </c>
      <c r="E1836" t="inlineStr">
        <is>
          <t>Hogar</t>
        </is>
      </c>
      <c r="F1836" t="inlineStr">
        <is>
          <t>Web</t>
        </is>
      </c>
      <c r="G1836" t="inlineStr">
        <is>
          <t>1. Visita</t>
        </is>
      </c>
      <c r="H1836" t="n">
        <v>3</v>
      </c>
      <c r="I1836" s="73" t="n">
        <v>149400</v>
      </c>
      <c r="J1836" s="73" t="n">
        <v>448200</v>
      </c>
      <c r="K1836" s="73" t="n">
        <v>265441</v>
      </c>
    </row>
    <row r="1837">
      <c r="A1837" t="n">
        <v>11547</v>
      </c>
      <c r="B1837" s="72" t="n">
        <v>45792.96527777778</v>
      </c>
      <c r="C1837" t="inlineStr">
        <is>
          <t>Santander</t>
        </is>
      </c>
      <c r="D1837" t="inlineStr">
        <is>
          <t>Bucaramanga</t>
        </is>
      </c>
      <c r="E1837" t="inlineStr">
        <is>
          <t>Belleza</t>
        </is>
      </c>
      <c r="F1837" t="inlineStr">
        <is>
          <t>App</t>
        </is>
      </c>
      <c r="G1837" t="inlineStr">
        <is>
          <t>1. Visita</t>
        </is>
      </c>
      <c r="H1837" t="n">
        <v>5</v>
      </c>
      <c r="I1837" s="73" t="n">
        <v>88400</v>
      </c>
      <c r="J1837" s="73" t="n">
        <v>442000</v>
      </c>
      <c r="K1837" s="73" t="n">
        <v>300693</v>
      </c>
    </row>
    <row r="1838">
      <c r="A1838" t="n">
        <v>11245</v>
      </c>
      <c r="B1838" s="72" t="n">
        <v>45793.62013888889</v>
      </c>
      <c r="C1838" t="inlineStr">
        <is>
          <t>Valle del Cauca</t>
        </is>
      </c>
      <c r="D1838" t="inlineStr">
        <is>
          <t>Cali</t>
        </is>
      </c>
      <c r="E1838" t="inlineStr">
        <is>
          <t>Tecnología</t>
        </is>
      </c>
      <c r="F1838" t="inlineStr">
        <is>
          <t>App</t>
        </is>
      </c>
      <c r="G1838" t="inlineStr">
        <is>
          <t>2. Carrito</t>
        </is>
      </c>
      <c r="H1838" t="n">
        <v>1</v>
      </c>
      <c r="I1838" s="73" t="n">
        <v>837900</v>
      </c>
      <c r="J1838" s="73" t="n">
        <v>963585</v>
      </c>
      <c r="K1838" s="73" t="n">
        <v>621151</v>
      </c>
    </row>
    <row r="1839">
      <c r="A1839" t="n">
        <v>10562</v>
      </c>
      <c r="B1839" s="72" t="n">
        <v>45793.63263888889</v>
      </c>
      <c r="C1839" t="inlineStr">
        <is>
          <t>Antioquia</t>
        </is>
      </c>
      <c r="D1839" t="inlineStr">
        <is>
          <t>Medellín</t>
        </is>
      </c>
      <c r="E1839" t="inlineStr">
        <is>
          <t>Hogar</t>
        </is>
      </c>
      <c r="F1839" t="inlineStr">
        <is>
          <t>App</t>
        </is>
      </c>
      <c r="G1839" t="inlineStr">
        <is>
          <t>2. Carrito</t>
        </is>
      </c>
      <c r="H1839" t="n">
        <v>2</v>
      </c>
      <c r="I1839" s="73" t="n">
        <v>182900</v>
      </c>
      <c r="J1839" s="73" t="n">
        <v>420670</v>
      </c>
      <c r="K1839" s="73" t="n">
        <v>239596</v>
      </c>
    </row>
    <row r="1840">
      <c r="A1840" t="n">
        <v>11544</v>
      </c>
      <c r="B1840" s="72" t="n">
        <v>45793.67152777778</v>
      </c>
      <c r="C1840" t="inlineStr">
        <is>
          <t>Atlántico</t>
        </is>
      </c>
      <c r="D1840" t="inlineStr">
        <is>
          <t>Barranquilla</t>
        </is>
      </c>
      <c r="E1840" t="inlineStr">
        <is>
          <t>Deportes</t>
        </is>
      </c>
      <c r="F1840" t="inlineStr">
        <is>
          <t>Marketplace</t>
        </is>
      </c>
      <c r="G1840" t="inlineStr">
        <is>
          <t>2. Carrito</t>
        </is>
      </c>
      <c r="H1840" t="n">
        <v>3</v>
      </c>
      <c r="I1840" s="73" t="n">
        <v>186000</v>
      </c>
      <c r="J1840" s="73" t="n">
        <v>641700</v>
      </c>
      <c r="K1840" s="73" t="n">
        <v>454342</v>
      </c>
    </row>
    <row r="1841">
      <c r="A1841" t="n">
        <v>11629</v>
      </c>
      <c r="B1841" s="72" t="n">
        <v>45793.68263888889</v>
      </c>
      <c r="C1841" t="inlineStr">
        <is>
          <t>Valle del Cauca</t>
        </is>
      </c>
      <c r="D1841" t="inlineStr">
        <is>
          <t>Cali</t>
        </is>
      </c>
      <c r="E1841" t="inlineStr">
        <is>
          <t>Moda</t>
        </is>
      </c>
      <c r="F1841" t="inlineStr">
        <is>
          <t>Tienda física</t>
        </is>
      </c>
      <c r="G1841" t="inlineStr">
        <is>
          <t>1. Visita</t>
        </is>
      </c>
      <c r="H1841" t="n">
        <v>5</v>
      </c>
      <c r="I1841" s="73" t="n">
        <v>124200</v>
      </c>
      <c r="J1841" s="73" t="n">
        <v>714150</v>
      </c>
      <c r="K1841" s="73" t="n">
        <v>431229</v>
      </c>
    </row>
    <row r="1842">
      <c r="A1842" t="n">
        <v>10043</v>
      </c>
      <c r="B1842" s="72" t="n">
        <v>45793.94722222222</v>
      </c>
      <c r="C1842" t="inlineStr">
        <is>
          <t>Bogotá D.C.</t>
        </is>
      </c>
      <c r="D1842" t="inlineStr">
        <is>
          <t>Bogotá</t>
        </is>
      </c>
      <c r="E1842" t="inlineStr">
        <is>
          <t>Belleza</t>
        </is>
      </c>
      <c r="F1842" t="inlineStr">
        <is>
          <t>Web</t>
        </is>
      </c>
      <c r="G1842" t="inlineStr">
        <is>
          <t>3. Pago</t>
        </is>
      </c>
      <c r="H1842" t="n">
        <v>4</v>
      </c>
      <c r="I1842" s="73" t="n">
        <v>67600</v>
      </c>
      <c r="J1842" s="73" t="n">
        <v>310960</v>
      </c>
      <c r="K1842" s="73" t="n">
        <v>217417</v>
      </c>
    </row>
    <row r="1843">
      <c r="A1843" t="n">
        <v>11767</v>
      </c>
      <c r="B1843" s="72" t="n">
        <v>45794.47777777778</v>
      </c>
      <c r="C1843" t="inlineStr">
        <is>
          <t>Huila</t>
        </is>
      </c>
      <c r="D1843" t="inlineStr">
        <is>
          <t>Neiva</t>
        </is>
      </c>
      <c r="E1843" t="inlineStr">
        <is>
          <t>Belleza</t>
        </is>
      </c>
      <c r="F1843" t="inlineStr">
        <is>
          <t>App</t>
        </is>
      </c>
      <c r="G1843" t="inlineStr">
        <is>
          <t>1. Visita</t>
        </is>
      </c>
      <c r="H1843" t="n">
        <v>1</v>
      </c>
      <c r="I1843" s="73" t="n">
        <v>85600</v>
      </c>
      <c r="J1843" s="73" t="n">
        <v>98440</v>
      </c>
      <c r="K1843" s="73" t="n">
        <v>69307</v>
      </c>
    </row>
    <row r="1844">
      <c r="A1844" t="n">
        <v>11828</v>
      </c>
      <c r="B1844" s="72" t="n">
        <v>45794.74305555555</v>
      </c>
      <c r="C1844" t="inlineStr">
        <is>
          <t>Atlántico</t>
        </is>
      </c>
      <c r="D1844" t="inlineStr">
        <is>
          <t>Barranquilla</t>
        </is>
      </c>
      <c r="E1844" t="inlineStr">
        <is>
          <t>Tecnología</t>
        </is>
      </c>
      <c r="F1844" t="inlineStr">
        <is>
          <t>Web</t>
        </is>
      </c>
      <c r="G1844" t="inlineStr">
        <is>
          <t>3. Pago</t>
        </is>
      </c>
      <c r="H1844" t="n">
        <v>3</v>
      </c>
      <c r="I1844" s="73" t="n">
        <v>620400</v>
      </c>
      <c r="J1844" s="73" t="n">
        <v>2140380</v>
      </c>
      <c r="K1844" s="73" t="n">
        <v>1182215</v>
      </c>
    </row>
    <row r="1845">
      <c r="A1845" t="n">
        <v>10452</v>
      </c>
      <c r="B1845" s="72" t="n">
        <v>45794.76597222222</v>
      </c>
      <c r="C1845" t="inlineStr">
        <is>
          <t>Antioquia</t>
        </is>
      </c>
      <c r="D1845" t="inlineStr">
        <is>
          <t>Medellín</t>
        </is>
      </c>
      <c r="E1845" t="inlineStr">
        <is>
          <t>Tecnología</t>
        </is>
      </c>
      <c r="F1845" t="inlineStr">
        <is>
          <t>App</t>
        </is>
      </c>
      <c r="G1845" t="inlineStr">
        <is>
          <t>1. Visita</t>
        </is>
      </c>
      <c r="H1845" t="n">
        <v>1</v>
      </c>
      <c r="I1845" s="73" t="n">
        <v>1087400</v>
      </c>
      <c r="J1845" s="73" t="n">
        <v>1250510</v>
      </c>
      <c r="K1845" s="73" t="n">
        <v>794164</v>
      </c>
    </row>
    <row r="1846">
      <c r="A1846" t="n">
        <v>10319</v>
      </c>
      <c r="B1846" s="72" t="n">
        <v>45794.8375</v>
      </c>
      <c r="C1846" t="inlineStr">
        <is>
          <t>Bogotá D.C.</t>
        </is>
      </c>
      <c r="D1846" t="inlineStr">
        <is>
          <t>Bogotá</t>
        </is>
      </c>
      <c r="E1846" t="inlineStr">
        <is>
          <t>Deportes</t>
        </is>
      </c>
      <c r="F1846" t="inlineStr">
        <is>
          <t>Web</t>
        </is>
      </c>
      <c r="G1846" t="inlineStr">
        <is>
          <t>1. Visita</t>
        </is>
      </c>
      <c r="H1846" t="n">
        <v>3</v>
      </c>
      <c r="I1846" s="73" t="n">
        <v>148700</v>
      </c>
      <c r="J1846" s="73" t="n">
        <v>513015</v>
      </c>
      <c r="K1846" s="73" t="n">
        <v>353431</v>
      </c>
    </row>
    <row r="1847">
      <c r="A1847" t="n">
        <v>10308</v>
      </c>
      <c r="B1847" s="72" t="n">
        <v>45794.89027777778</v>
      </c>
      <c r="C1847" t="inlineStr">
        <is>
          <t>Bogotá D.C.</t>
        </is>
      </c>
      <c r="D1847" t="inlineStr">
        <is>
          <t>Bogotá</t>
        </is>
      </c>
      <c r="E1847" t="inlineStr">
        <is>
          <t>Tecnología</t>
        </is>
      </c>
      <c r="F1847" t="inlineStr">
        <is>
          <t>Tienda física</t>
        </is>
      </c>
      <c r="G1847" t="inlineStr">
        <is>
          <t>2. Carrito</t>
        </is>
      </c>
      <c r="H1847" t="n">
        <v>1</v>
      </c>
      <c r="I1847" s="73" t="n">
        <v>757800</v>
      </c>
      <c r="J1847" s="73" t="n">
        <v>871470</v>
      </c>
      <c r="K1847" s="73" t="n">
        <v>627076</v>
      </c>
    </row>
    <row r="1848">
      <c r="A1848" t="n">
        <v>11211</v>
      </c>
      <c r="B1848" s="72" t="n">
        <v>45795.39027777778</v>
      </c>
      <c r="C1848" t="inlineStr">
        <is>
          <t>Antioquia</t>
        </is>
      </c>
      <c r="D1848" t="inlineStr">
        <is>
          <t>Medellín</t>
        </is>
      </c>
      <c r="E1848" t="inlineStr">
        <is>
          <t>Moda</t>
        </is>
      </c>
      <c r="F1848" t="inlineStr">
        <is>
          <t>App</t>
        </is>
      </c>
      <c r="G1848" t="inlineStr">
        <is>
          <t>2. Carrito</t>
        </is>
      </c>
      <c r="H1848" t="n">
        <v>3</v>
      </c>
      <c r="I1848" s="73" t="n">
        <v>122400</v>
      </c>
      <c r="J1848" s="73" t="n">
        <v>422280</v>
      </c>
      <c r="K1848" s="73" t="n">
        <v>243849</v>
      </c>
    </row>
    <row r="1849">
      <c r="A1849" t="n">
        <v>10841</v>
      </c>
      <c r="B1849" s="72" t="n">
        <v>45795.47222222222</v>
      </c>
      <c r="C1849" t="inlineStr">
        <is>
          <t>Atlántico</t>
        </is>
      </c>
      <c r="D1849" t="inlineStr">
        <is>
          <t>Barranquilla</t>
        </is>
      </c>
      <c r="E1849" t="inlineStr">
        <is>
          <t>Moda</t>
        </is>
      </c>
      <c r="F1849" t="inlineStr">
        <is>
          <t>Tienda física</t>
        </is>
      </c>
      <c r="G1849" t="inlineStr">
        <is>
          <t>4. Compra</t>
        </is>
      </c>
      <c r="H1849" t="n">
        <v>1</v>
      </c>
      <c r="I1849" s="73" t="n">
        <v>143700</v>
      </c>
      <c r="J1849" s="73" t="n">
        <v>165255</v>
      </c>
      <c r="K1849" s="73" t="n">
        <v>94571</v>
      </c>
    </row>
    <row r="1850">
      <c r="A1850" t="n">
        <v>11881</v>
      </c>
      <c r="B1850" s="72" t="n">
        <v>45795.58541666667</v>
      </c>
      <c r="C1850" t="inlineStr">
        <is>
          <t>Valle del Cauca</t>
        </is>
      </c>
      <c r="D1850" t="inlineStr">
        <is>
          <t>Cali</t>
        </is>
      </c>
      <c r="E1850" t="inlineStr">
        <is>
          <t>Belleza</t>
        </is>
      </c>
      <c r="F1850" t="inlineStr">
        <is>
          <t>App</t>
        </is>
      </c>
      <c r="G1850" t="inlineStr">
        <is>
          <t>1. Visita</t>
        </is>
      </c>
      <c r="H1850" t="n">
        <v>5</v>
      </c>
      <c r="I1850" s="73" t="n">
        <v>51600</v>
      </c>
      <c r="J1850" s="73" t="n">
        <v>296700</v>
      </c>
      <c r="K1850" s="73" t="n">
        <v>179764</v>
      </c>
    </row>
    <row r="1851">
      <c r="A1851" t="n">
        <v>10919</v>
      </c>
      <c r="B1851" s="72" t="n">
        <v>45795.76319444444</v>
      </c>
      <c r="C1851" t="inlineStr">
        <is>
          <t>Meta</t>
        </is>
      </c>
      <c r="D1851" t="inlineStr">
        <is>
          <t>Villavicencio</t>
        </is>
      </c>
      <c r="E1851" t="inlineStr">
        <is>
          <t>Belleza</t>
        </is>
      </c>
      <c r="F1851" t="inlineStr">
        <is>
          <t>Web</t>
        </is>
      </c>
      <c r="G1851" t="inlineStr">
        <is>
          <t>1. Visita</t>
        </is>
      </c>
      <c r="H1851" t="n">
        <v>4</v>
      </c>
      <c r="I1851" s="73" t="n">
        <v>73300</v>
      </c>
      <c r="J1851" s="73" t="n">
        <v>337180</v>
      </c>
      <c r="K1851" s="73" t="n">
        <v>239807</v>
      </c>
    </row>
    <row r="1852">
      <c r="A1852" t="n">
        <v>11318</v>
      </c>
      <c r="B1852" s="72" t="n">
        <v>45795.79097222222</v>
      </c>
      <c r="C1852" t="inlineStr">
        <is>
          <t>Atlántico</t>
        </is>
      </c>
      <c r="D1852" t="inlineStr">
        <is>
          <t>Barranquilla</t>
        </is>
      </c>
      <c r="E1852" t="inlineStr">
        <is>
          <t>Belleza</t>
        </is>
      </c>
      <c r="F1852" t="inlineStr">
        <is>
          <t>App</t>
        </is>
      </c>
      <c r="G1852" t="inlineStr">
        <is>
          <t>1. Visita</t>
        </is>
      </c>
      <c r="H1852" t="n">
        <v>2</v>
      </c>
      <c r="I1852" s="73" t="n">
        <v>66000</v>
      </c>
      <c r="J1852" s="73" t="n">
        <v>151800</v>
      </c>
      <c r="K1852" s="73" t="n">
        <v>106952</v>
      </c>
    </row>
    <row r="1853">
      <c r="A1853" t="n">
        <v>12023</v>
      </c>
      <c r="B1853" s="72" t="n">
        <v>45795.86041666667</v>
      </c>
      <c r="C1853" t="inlineStr">
        <is>
          <t>Nariño</t>
        </is>
      </c>
      <c r="D1853" t="inlineStr">
        <is>
          <t>Pasto</t>
        </is>
      </c>
      <c r="E1853" t="inlineStr">
        <is>
          <t>Tecnología</t>
        </is>
      </c>
      <c r="F1853" t="inlineStr">
        <is>
          <t>Tienda física</t>
        </is>
      </c>
      <c r="G1853" t="inlineStr">
        <is>
          <t>1. Visita</t>
        </is>
      </c>
      <c r="H1853" t="n">
        <v>3</v>
      </c>
      <c r="I1853" s="73" t="n">
        <v>798700</v>
      </c>
      <c r="J1853" s="73" t="n">
        <v>2755515</v>
      </c>
      <c r="K1853" s="73" t="n">
        <v>1573066</v>
      </c>
    </row>
    <row r="1854">
      <c r="A1854" t="n">
        <v>10337</v>
      </c>
      <c r="B1854" s="72" t="n">
        <v>45795.98541666667</v>
      </c>
      <c r="C1854" t="inlineStr">
        <is>
          <t>Santander</t>
        </is>
      </c>
      <c r="D1854" t="inlineStr">
        <is>
          <t>Bucaramanga</t>
        </is>
      </c>
      <c r="E1854" t="inlineStr">
        <is>
          <t>Deportes</t>
        </is>
      </c>
      <c r="F1854" t="inlineStr">
        <is>
          <t>App</t>
        </is>
      </c>
      <c r="G1854" t="inlineStr">
        <is>
          <t>1. Visita</t>
        </is>
      </c>
      <c r="H1854" t="n">
        <v>2</v>
      </c>
      <c r="I1854" s="73" t="n">
        <v>114700</v>
      </c>
      <c r="J1854" s="73" t="n">
        <v>263810</v>
      </c>
      <c r="K1854" s="73" t="n">
        <v>172303</v>
      </c>
    </row>
    <row r="1855">
      <c r="A1855" t="n">
        <v>11737</v>
      </c>
      <c r="B1855" s="72" t="n">
        <v>45795.99305555555</v>
      </c>
      <c r="C1855" t="inlineStr">
        <is>
          <t>Bogotá D.C.</t>
        </is>
      </c>
      <c r="D1855" t="inlineStr">
        <is>
          <t>Bogotá</t>
        </is>
      </c>
      <c r="E1855" t="inlineStr">
        <is>
          <t>Hogar</t>
        </is>
      </c>
      <c r="F1855" t="inlineStr">
        <is>
          <t>Tienda física</t>
        </is>
      </c>
      <c r="G1855" t="inlineStr">
        <is>
          <t>2. Carrito</t>
        </is>
      </c>
      <c r="H1855" t="n">
        <v>4</v>
      </c>
      <c r="I1855" s="73" t="n">
        <v>242500</v>
      </c>
      <c r="J1855" s="73" t="n">
        <v>1115500</v>
      </c>
      <c r="K1855" s="73" t="n">
        <v>719844</v>
      </c>
    </row>
    <row r="1856">
      <c r="A1856" t="n">
        <v>12273</v>
      </c>
      <c r="B1856" s="72" t="n">
        <v>45796.51111111111</v>
      </c>
      <c r="C1856" t="inlineStr">
        <is>
          <t>Huila</t>
        </is>
      </c>
      <c r="D1856" t="inlineStr">
        <is>
          <t>Neiva</t>
        </is>
      </c>
      <c r="E1856" t="inlineStr">
        <is>
          <t>Juguetes</t>
        </is>
      </c>
      <c r="F1856" t="inlineStr">
        <is>
          <t>Web</t>
        </is>
      </c>
      <c r="G1856" t="inlineStr">
        <is>
          <t>2. Carrito</t>
        </is>
      </c>
      <c r="H1856" t="n">
        <v>5</v>
      </c>
      <c r="I1856" s="73" t="n">
        <v>111200</v>
      </c>
      <c r="J1856" s="73" t="n">
        <v>556000</v>
      </c>
      <c r="K1856" s="73" t="n">
        <v>384862</v>
      </c>
    </row>
    <row r="1857">
      <c r="A1857" t="n">
        <v>11615</v>
      </c>
      <c r="B1857" s="72" t="n">
        <v>45796.525</v>
      </c>
      <c r="C1857" t="inlineStr">
        <is>
          <t>Antioquia</t>
        </is>
      </c>
      <c r="D1857" t="inlineStr">
        <is>
          <t>Medellín</t>
        </is>
      </c>
      <c r="E1857" t="inlineStr">
        <is>
          <t>Tecnología</t>
        </is>
      </c>
      <c r="F1857" t="inlineStr">
        <is>
          <t>Web</t>
        </is>
      </c>
      <c r="G1857" t="inlineStr">
        <is>
          <t>1. Visita</t>
        </is>
      </c>
      <c r="H1857" t="n">
        <v>1</v>
      </c>
      <c r="I1857" s="73" t="n">
        <v>619700</v>
      </c>
      <c r="J1857" s="73" t="n">
        <v>619700</v>
      </c>
      <c r="K1857" s="73" t="n">
        <v>372027</v>
      </c>
    </row>
    <row r="1858">
      <c r="A1858" t="n">
        <v>11278</v>
      </c>
      <c r="B1858" s="72" t="n">
        <v>45796.86597222222</v>
      </c>
      <c r="C1858" t="inlineStr">
        <is>
          <t>Antioquia</t>
        </is>
      </c>
      <c r="D1858" t="inlineStr">
        <is>
          <t>Medellín</t>
        </is>
      </c>
      <c r="E1858" t="inlineStr">
        <is>
          <t>Moda</t>
        </is>
      </c>
      <c r="F1858" t="inlineStr">
        <is>
          <t>Tienda física</t>
        </is>
      </c>
      <c r="G1858" t="inlineStr">
        <is>
          <t>1. Visita</t>
        </is>
      </c>
      <c r="H1858" t="n">
        <v>3</v>
      </c>
      <c r="I1858" s="73" t="n">
        <v>86400</v>
      </c>
      <c r="J1858" s="73" t="n">
        <v>259200</v>
      </c>
      <c r="K1858" s="73" t="n">
        <v>147305</v>
      </c>
    </row>
    <row r="1859">
      <c r="A1859" t="n">
        <v>12140</v>
      </c>
      <c r="B1859" s="72" t="n">
        <v>45797.29027777778</v>
      </c>
      <c r="C1859" t="inlineStr">
        <is>
          <t>Bogotá D.C.</t>
        </is>
      </c>
      <c r="D1859" t="inlineStr">
        <is>
          <t>Bogotá</t>
        </is>
      </c>
      <c r="E1859" t="inlineStr">
        <is>
          <t>Moda</t>
        </is>
      </c>
      <c r="F1859" t="inlineStr">
        <is>
          <t>App</t>
        </is>
      </c>
      <c r="G1859" t="inlineStr">
        <is>
          <t>3. Pago</t>
        </is>
      </c>
      <c r="H1859" t="n">
        <v>4</v>
      </c>
      <c r="I1859" s="73" t="n">
        <v>101600</v>
      </c>
      <c r="J1859" s="73" t="n">
        <v>406400</v>
      </c>
      <c r="K1859" s="73" t="n">
        <v>240033</v>
      </c>
    </row>
    <row r="1860">
      <c r="A1860" t="n">
        <v>12213</v>
      </c>
      <c r="B1860" s="72" t="n">
        <v>45797.54305555556</v>
      </c>
      <c r="C1860" t="inlineStr">
        <is>
          <t>Antioquia</t>
        </is>
      </c>
      <c r="D1860" t="inlineStr">
        <is>
          <t>Medellín</t>
        </is>
      </c>
      <c r="E1860" t="inlineStr">
        <is>
          <t>Juguetes</t>
        </is>
      </c>
      <c r="F1860" t="inlineStr">
        <is>
          <t>Web</t>
        </is>
      </c>
      <c r="G1860" t="inlineStr">
        <is>
          <t>2. Carrito</t>
        </is>
      </c>
      <c r="H1860" t="n">
        <v>1</v>
      </c>
      <c r="I1860" s="73" t="n">
        <v>107400</v>
      </c>
      <c r="J1860" s="73" t="n">
        <v>107400</v>
      </c>
      <c r="K1860" s="73" t="n">
        <v>74945</v>
      </c>
    </row>
    <row r="1861">
      <c r="A1861" t="n">
        <v>10972</v>
      </c>
      <c r="B1861" s="72" t="n">
        <v>45798.39861111111</v>
      </c>
      <c r="C1861" t="inlineStr">
        <is>
          <t>Bolívar</t>
        </is>
      </c>
      <c r="D1861" t="inlineStr">
        <is>
          <t>Cartagena</t>
        </is>
      </c>
      <c r="E1861" t="inlineStr">
        <is>
          <t>Juguetes</t>
        </is>
      </c>
      <c r="F1861" t="inlineStr">
        <is>
          <t>Web</t>
        </is>
      </c>
      <c r="G1861" t="inlineStr">
        <is>
          <t>1. Visita</t>
        </is>
      </c>
      <c r="H1861" t="n">
        <v>2</v>
      </c>
      <c r="I1861" s="73" t="n">
        <v>106300</v>
      </c>
      <c r="J1861" s="73" t="n">
        <v>212600</v>
      </c>
      <c r="K1861" s="73" t="n">
        <v>152139</v>
      </c>
    </row>
    <row r="1862">
      <c r="A1862" t="n">
        <v>11133</v>
      </c>
      <c r="B1862" s="72" t="n">
        <v>45798.42222222222</v>
      </c>
      <c r="C1862" t="inlineStr">
        <is>
          <t>Bogotá D.C.</t>
        </is>
      </c>
      <c r="D1862" t="inlineStr">
        <is>
          <t>Bogotá</t>
        </is>
      </c>
      <c r="E1862" t="inlineStr">
        <is>
          <t>Hogar</t>
        </is>
      </c>
      <c r="F1862" t="inlineStr">
        <is>
          <t>Tienda física</t>
        </is>
      </c>
      <c r="G1862" t="inlineStr">
        <is>
          <t>1. Visita</t>
        </is>
      </c>
      <c r="H1862" t="n">
        <v>1</v>
      </c>
      <c r="I1862" s="73" t="n">
        <v>263600</v>
      </c>
      <c r="J1862" s="73" t="n">
        <v>263600</v>
      </c>
      <c r="K1862" s="73" t="n">
        <v>161388</v>
      </c>
    </row>
    <row r="1863">
      <c r="A1863" t="n">
        <v>11416</v>
      </c>
      <c r="B1863" s="72" t="n">
        <v>45798.73402777778</v>
      </c>
      <c r="C1863" t="inlineStr">
        <is>
          <t>Antioquia</t>
        </is>
      </c>
      <c r="D1863" t="inlineStr">
        <is>
          <t>Medellín</t>
        </is>
      </c>
      <c r="E1863" t="inlineStr">
        <is>
          <t>Deportes</t>
        </is>
      </c>
      <c r="F1863" t="inlineStr">
        <is>
          <t>Web</t>
        </is>
      </c>
      <c r="G1863" t="inlineStr">
        <is>
          <t>1. Visita</t>
        </is>
      </c>
      <c r="H1863" t="n">
        <v>2</v>
      </c>
      <c r="I1863" s="73" t="n">
        <v>152100</v>
      </c>
      <c r="J1863" s="73" t="n">
        <v>304200</v>
      </c>
      <c r="K1863" s="73" t="n">
        <v>214376</v>
      </c>
    </row>
    <row r="1864">
      <c r="A1864" t="n">
        <v>11920</v>
      </c>
      <c r="B1864" s="72" t="n">
        <v>45799.79444444444</v>
      </c>
      <c r="C1864" t="inlineStr">
        <is>
          <t>Nariño</t>
        </is>
      </c>
      <c r="D1864" t="inlineStr">
        <is>
          <t>Pasto</t>
        </is>
      </c>
      <c r="E1864" t="inlineStr">
        <is>
          <t>Hogar</t>
        </is>
      </c>
      <c r="F1864" t="inlineStr">
        <is>
          <t>Web</t>
        </is>
      </c>
      <c r="G1864" t="inlineStr">
        <is>
          <t>1. Visita</t>
        </is>
      </c>
      <c r="H1864" t="n">
        <v>5</v>
      </c>
      <c r="I1864" s="73" t="n">
        <v>270200</v>
      </c>
      <c r="J1864" s="73" t="n">
        <v>1351000</v>
      </c>
      <c r="K1864" s="73" t="n">
        <v>949747</v>
      </c>
    </row>
    <row r="1865">
      <c r="A1865" t="n">
        <v>12316</v>
      </c>
      <c r="B1865" s="72" t="n">
        <v>45800.43541666667</v>
      </c>
      <c r="C1865" t="inlineStr">
        <is>
          <t>Antioquia</t>
        </is>
      </c>
      <c r="D1865" t="inlineStr">
        <is>
          <t>Medellín</t>
        </is>
      </c>
      <c r="E1865" t="inlineStr">
        <is>
          <t>Juguetes</t>
        </is>
      </c>
      <c r="F1865" t="inlineStr">
        <is>
          <t>App</t>
        </is>
      </c>
      <c r="G1865" t="inlineStr">
        <is>
          <t>4. Compra</t>
        </is>
      </c>
      <c r="H1865" t="n">
        <v>3</v>
      </c>
      <c r="I1865" s="73" t="n">
        <v>107200</v>
      </c>
      <c r="J1865" s="73" t="n">
        <v>369840</v>
      </c>
      <c r="K1865" s="73" t="n">
        <v>223724</v>
      </c>
    </row>
    <row r="1866">
      <c r="A1866" t="n">
        <v>10469</v>
      </c>
      <c r="B1866" s="72" t="n">
        <v>45801.40347222222</v>
      </c>
      <c r="C1866" t="inlineStr">
        <is>
          <t>Santander</t>
        </is>
      </c>
      <c r="D1866" t="inlineStr">
        <is>
          <t>Bucaramanga</t>
        </is>
      </c>
      <c r="E1866" t="inlineStr">
        <is>
          <t>Hogar</t>
        </is>
      </c>
      <c r="F1866" t="inlineStr">
        <is>
          <t>App</t>
        </is>
      </c>
      <c r="G1866" t="inlineStr">
        <is>
          <t>2. Carrito</t>
        </is>
      </c>
      <c r="H1866" t="n">
        <v>2</v>
      </c>
      <c r="I1866" s="73" t="n">
        <v>211400</v>
      </c>
      <c r="J1866" s="73" t="n">
        <v>486220</v>
      </c>
      <c r="K1866" s="73" t="n">
        <v>321132</v>
      </c>
    </row>
    <row r="1867">
      <c r="A1867" t="n">
        <v>10291</v>
      </c>
      <c r="B1867" s="72" t="n">
        <v>45801.65625</v>
      </c>
      <c r="C1867" t="inlineStr">
        <is>
          <t>Risaralda</t>
        </is>
      </c>
      <c r="D1867" t="inlineStr">
        <is>
          <t>Pereira</t>
        </is>
      </c>
      <c r="E1867" t="inlineStr">
        <is>
          <t>Belleza</t>
        </is>
      </c>
      <c r="F1867" t="inlineStr">
        <is>
          <t>Web</t>
        </is>
      </c>
      <c r="G1867" t="inlineStr">
        <is>
          <t>2. Carrito</t>
        </is>
      </c>
      <c r="H1867" t="n">
        <v>3</v>
      </c>
      <c r="I1867" s="73" t="n">
        <v>77700</v>
      </c>
      <c r="J1867" s="73" t="n">
        <v>268065</v>
      </c>
      <c r="K1867" s="73" t="n">
        <v>152086</v>
      </c>
    </row>
    <row r="1868">
      <c r="A1868" t="n">
        <v>11404</v>
      </c>
      <c r="B1868" s="72" t="n">
        <v>45801.79583333333</v>
      </c>
      <c r="C1868" t="inlineStr">
        <is>
          <t>Bogotá D.C.</t>
        </is>
      </c>
      <c r="D1868" t="inlineStr">
        <is>
          <t>Bogotá</t>
        </is>
      </c>
      <c r="E1868" t="inlineStr">
        <is>
          <t>Juguetes</t>
        </is>
      </c>
      <c r="F1868" t="inlineStr">
        <is>
          <t>Web</t>
        </is>
      </c>
      <c r="G1868" t="inlineStr">
        <is>
          <t>4. Compra</t>
        </is>
      </c>
      <c r="H1868" t="n">
        <v>2</v>
      </c>
      <c r="I1868" s="73" t="n">
        <v>84600</v>
      </c>
      <c r="J1868" s="73" t="n">
        <v>194580</v>
      </c>
      <c r="K1868" s="73" t="n">
        <v>108026</v>
      </c>
    </row>
    <row r="1869">
      <c r="A1869" t="n">
        <v>12185</v>
      </c>
      <c r="B1869" s="72" t="n">
        <v>45801.85833333333</v>
      </c>
      <c r="C1869" t="inlineStr">
        <is>
          <t>Santander</t>
        </is>
      </c>
      <c r="D1869" t="inlineStr">
        <is>
          <t>Bucaramanga</t>
        </is>
      </c>
      <c r="E1869" t="inlineStr">
        <is>
          <t>Juguetes</t>
        </is>
      </c>
      <c r="F1869" t="inlineStr">
        <is>
          <t>App</t>
        </is>
      </c>
      <c r="G1869" t="inlineStr">
        <is>
          <t>1. Visita</t>
        </is>
      </c>
      <c r="H1869" t="n">
        <v>2</v>
      </c>
      <c r="I1869" s="73" t="n">
        <v>109500</v>
      </c>
      <c r="J1869" s="73" t="n">
        <v>251850</v>
      </c>
      <c r="K1869" s="73" t="n">
        <v>145188</v>
      </c>
    </row>
    <row r="1870">
      <c r="A1870" t="n">
        <v>10166</v>
      </c>
      <c r="B1870" s="72" t="n">
        <v>45802.57916666667</v>
      </c>
      <c r="C1870" t="inlineStr">
        <is>
          <t>Antioquia</t>
        </is>
      </c>
      <c r="D1870" t="inlineStr">
        <is>
          <t>Medellín</t>
        </is>
      </c>
      <c r="E1870" t="inlineStr">
        <is>
          <t>Juguetes</t>
        </is>
      </c>
      <c r="F1870" t="inlineStr">
        <is>
          <t>Tienda física</t>
        </is>
      </c>
      <c r="G1870" t="inlineStr">
        <is>
          <t>3. Pago</t>
        </is>
      </c>
      <c r="H1870" t="n">
        <v>1</v>
      </c>
      <c r="I1870" s="73" t="n">
        <v>93000</v>
      </c>
      <c r="J1870" s="73" t="n">
        <v>106950</v>
      </c>
      <c r="K1870" s="73" t="n">
        <v>68909</v>
      </c>
    </row>
    <row r="1871">
      <c r="A1871" t="n">
        <v>10751</v>
      </c>
      <c r="B1871" s="72" t="n">
        <v>45802.69791666666</v>
      </c>
      <c r="C1871" t="inlineStr">
        <is>
          <t>Antioquia</t>
        </is>
      </c>
      <c r="D1871" t="inlineStr">
        <is>
          <t>Medellín</t>
        </is>
      </c>
      <c r="E1871" t="inlineStr">
        <is>
          <t>Juguetes</t>
        </is>
      </c>
      <c r="F1871" t="inlineStr">
        <is>
          <t>Tienda física</t>
        </is>
      </c>
      <c r="G1871" t="inlineStr">
        <is>
          <t>2. Carrito</t>
        </is>
      </c>
      <c r="H1871" t="n">
        <v>2</v>
      </c>
      <c r="I1871" s="73" t="n">
        <v>95100</v>
      </c>
      <c r="J1871" s="73" t="n">
        <v>218730</v>
      </c>
      <c r="K1871" s="73" t="n">
        <v>148179</v>
      </c>
    </row>
    <row r="1872">
      <c r="A1872" t="n">
        <v>10765</v>
      </c>
      <c r="B1872" s="72" t="n">
        <v>45802.78055555555</v>
      </c>
      <c r="C1872" t="inlineStr">
        <is>
          <t>Bolívar</t>
        </is>
      </c>
      <c r="D1872" t="inlineStr">
        <is>
          <t>Cartagena</t>
        </is>
      </c>
      <c r="E1872" t="inlineStr">
        <is>
          <t>Moda</t>
        </is>
      </c>
      <c r="F1872" t="inlineStr">
        <is>
          <t>Tienda física</t>
        </is>
      </c>
      <c r="G1872" t="inlineStr">
        <is>
          <t>4. Compra</t>
        </is>
      </c>
      <c r="H1872" t="n">
        <v>5</v>
      </c>
      <c r="I1872" s="73" t="n">
        <v>151500</v>
      </c>
      <c r="J1872" s="73" t="n">
        <v>871125</v>
      </c>
      <c r="K1872" s="73" t="n">
        <v>525920</v>
      </c>
    </row>
    <row r="1873">
      <c r="A1873" t="n">
        <v>10160</v>
      </c>
      <c r="B1873" s="72" t="n">
        <v>45802.88263888889</v>
      </c>
      <c r="C1873" t="inlineStr">
        <is>
          <t>Bogotá D.C.</t>
        </is>
      </c>
      <c r="D1873" t="inlineStr">
        <is>
          <t>Bogotá</t>
        </is>
      </c>
      <c r="E1873" t="inlineStr">
        <is>
          <t>Deportes</t>
        </is>
      </c>
      <c r="F1873" t="inlineStr">
        <is>
          <t>Web</t>
        </is>
      </c>
      <c r="G1873" t="inlineStr">
        <is>
          <t>2. Carrito</t>
        </is>
      </c>
      <c r="H1873" t="n">
        <v>2</v>
      </c>
      <c r="I1873" s="73" t="n">
        <v>164000</v>
      </c>
      <c r="J1873" s="73" t="n">
        <v>377200</v>
      </c>
      <c r="K1873" s="73" t="n">
        <v>249157</v>
      </c>
    </row>
    <row r="1874">
      <c r="A1874" t="n">
        <v>10929</v>
      </c>
      <c r="B1874" s="72" t="n">
        <v>45802.91180555556</v>
      </c>
      <c r="C1874" t="inlineStr">
        <is>
          <t>Risaralda</t>
        </is>
      </c>
      <c r="D1874" t="inlineStr">
        <is>
          <t>Pereira</t>
        </is>
      </c>
      <c r="E1874" t="inlineStr">
        <is>
          <t>Hogar</t>
        </is>
      </c>
      <c r="F1874" t="inlineStr">
        <is>
          <t>Web</t>
        </is>
      </c>
      <c r="G1874" t="inlineStr">
        <is>
          <t>1. Visita</t>
        </is>
      </c>
      <c r="H1874" t="n">
        <v>1</v>
      </c>
      <c r="I1874" s="73" t="n">
        <v>149100</v>
      </c>
      <c r="J1874" s="73" t="n">
        <v>171465</v>
      </c>
      <c r="K1874" s="73" t="n">
        <v>102304</v>
      </c>
    </row>
    <row r="1875">
      <c r="A1875" t="n">
        <v>11191</v>
      </c>
      <c r="B1875" s="72" t="n">
        <v>45802.9125</v>
      </c>
      <c r="C1875" t="inlineStr">
        <is>
          <t>Antioquia</t>
        </is>
      </c>
      <c r="D1875" t="inlineStr">
        <is>
          <t>Medellín</t>
        </is>
      </c>
      <c r="E1875" t="inlineStr">
        <is>
          <t>Hogar</t>
        </is>
      </c>
      <c r="F1875" t="inlineStr">
        <is>
          <t>App</t>
        </is>
      </c>
      <c r="G1875" t="inlineStr">
        <is>
          <t>1. Visita</t>
        </is>
      </c>
      <c r="H1875" t="n">
        <v>5</v>
      </c>
      <c r="I1875" s="73" t="n">
        <v>241800</v>
      </c>
      <c r="J1875" s="73" t="n">
        <v>1390350</v>
      </c>
      <c r="K1875" s="73" t="n">
        <v>864903</v>
      </c>
    </row>
    <row r="1876">
      <c r="A1876" t="n">
        <v>10641</v>
      </c>
      <c r="B1876" s="72" t="n">
        <v>45803.57986111111</v>
      </c>
      <c r="C1876" t="inlineStr">
        <is>
          <t>Bogotá D.C.</t>
        </is>
      </c>
      <c r="D1876" t="inlineStr">
        <is>
          <t>Bogotá</t>
        </is>
      </c>
      <c r="E1876" t="inlineStr">
        <is>
          <t>Tecnología</t>
        </is>
      </c>
      <c r="F1876" t="inlineStr">
        <is>
          <t>Web</t>
        </is>
      </c>
      <c r="G1876" t="inlineStr">
        <is>
          <t>2. Carrito</t>
        </is>
      </c>
      <c r="H1876" t="n">
        <v>4</v>
      </c>
      <c r="I1876" s="73" t="n">
        <v>1063900</v>
      </c>
      <c r="J1876" s="73" t="n">
        <v>4255600</v>
      </c>
      <c r="K1876" s="73" t="n">
        <v>2720577</v>
      </c>
    </row>
    <row r="1877">
      <c r="A1877" t="n">
        <v>11805</v>
      </c>
      <c r="B1877" s="72" t="n">
        <v>45803.75833333333</v>
      </c>
      <c r="C1877" t="inlineStr">
        <is>
          <t>Antioquia</t>
        </is>
      </c>
      <c r="D1877" t="inlineStr">
        <is>
          <t>Medellín</t>
        </is>
      </c>
      <c r="E1877" t="inlineStr">
        <is>
          <t>Juguetes</t>
        </is>
      </c>
      <c r="F1877" t="inlineStr">
        <is>
          <t>Web</t>
        </is>
      </c>
      <c r="G1877" t="inlineStr">
        <is>
          <t>2. Carrito</t>
        </is>
      </c>
      <c r="H1877" t="n">
        <v>5</v>
      </c>
      <c r="I1877" s="73" t="n">
        <v>74800</v>
      </c>
      <c r="J1877" s="73" t="n">
        <v>374000</v>
      </c>
      <c r="K1877" s="73" t="n">
        <v>251818</v>
      </c>
    </row>
    <row r="1878">
      <c r="A1878" t="n">
        <v>10782</v>
      </c>
      <c r="B1878" s="72" t="n">
        <v>45804.26041666666</v>
      </c>
      <c r="C1878" t="inlineStr">
        <is>
          <t>Meta</t>
        </is>
      </c>
      <c r="D1878" t="inlineStr">
        <is>
          <t>Villavicencio</t>
        </is>
      </c>
      <c r="E1878" t="inlineStr">
        <is>
          <t>Juguetes</t>
        </is>
      </c>
      <c r="F1878" t="inlineStr">
        <is>
          <t>Tienda física</t>
        </is>
      </c>
      <c r="G1878" t="inlineStr">
        <is>
          <t>1. Visita</t>
        </is>
      </c>
      <c r="H1878" t="n">
        <v>4</v>
      </c>
      <c r="I1878" s="73" t="n">
        <v>65400</v>
      </c>
      <c r="J1878" s="73" t="n">
        <v>261600</v>
      </c>
      <c r="K1878" s="73" t="n">
        <v>167795</v>
      </c>
    </row>
    <row r="1879">
      <c r="A1879" t="n">
        <v>11524</v>
      </c>
      <c r="B1879" s="72" t="n">
        <v>45804.29513888889</v>
      </c>
      <c r="C1879" t="inlineStr">
        <is>
          <t>Bogotá D.C.</t>
        </is>
      </c>
      <c r="D1879" t="inlineStr">
        <is>
          <t>Bogotá</t>
        </is>
      </c>
      <c r="E1879" t="inlineStr">
        <is>
          <t>Belleza</t>
        </is>
      </c>
      <c r="F1879" t="inlineStr">
        <is>
          <t>Tienda física</t>
        </is>
      </c>
      <c r="G1879" t="inlineStr">
        <is>
          <t>3. Pago</t>
        </is>
      </c>
      <c r="H1879" t="n">
        <v>3</v>
      </c>
      <c r="I1879" s="73" t="n">
        <v>57000</v>
      </c>
      <c r="J1879" s="73" t="n">
        <v>171000</v>
      </c>
      <c r="K1879" s="73" t="n">
        <v>117454</v>
      </c>
    </row>
    <row r="1880">
      <c r="A1880" t="n">
        <v>12377</v>
      </c>
      <c r="B1880" s="72" t="n">
        <v>45804.44166666667</v>
      </c>
      <c r="C1880" t="inlineStr">
        <is>
          <t>Bolívar</t>
        </is>
      </c>
      <c r="D1880" t="inlineStr">
        <is>
          <t>Cartagena</t>
        </is>
      </c>
      <c r="E1880" t="inlineStr">
        <is>
          <t>Belleza</t>
        </is>
      </c>
      <c r="F1880" t="inlineStr">
        <is>
          <t>Web</t>
        </is>
      </c>
      <c r="G1880" t="inlineStr">
        <is>
          <t>1. Visita</t>
        </is>
      </c>
      <c r="H1880" t="n">
        <v>5</v>
      </c>
      <c r="I1880" s="73" t="n">
        <v>90100</v>
      </c>
      <c r="J1880" s="73" t="n">
        <v>450500</v>
      </c>
      <c r="K1880" s="73" t="n">
        <v>265581</v>
      </c>
    </row>
    <row r="1881">
      <c r="A1881" t="n">
        <v>11559</v>
      </c>
      <c r="B1881" s="72" t="n">
        <v>45804.62291666667</v>
      </c>
      <c r="C1881" t="inlineStr">
        <is>
          <t>Valle del Cauca</t>
        </is>
      </c>
      <c r="D1881" t="inlineStr">
        <is>
          <t>Cali</t>
        </is>
      </c>
      <c r="E1881" t="inlineStr">
        <is>
          <t>Deportes</t>
        </is>
      </c>
      <c r="F1881" t="inlineStr">
        <is>
          <t>Tienda física</t>
        </is>
      </c>
      <c r="G1881" t="inlineStr">
        <is>
          <t>1. Visita</t>
        </is>
      </c>
      <c r="H1881" t="n">
        <v>1</v>
      </c>
      <c r="I1881" s="73" t="n">
        <v>121400</v>
      </c>
      <c r="J1881" s="73" t="n">
        <v>121400</v>
      </c>
      <c r="K1881" s="73" t="n">
        <v>68155</v>
      </c>
    </row>
    <row r="1882">
      <c r="A1882" t="n">
        <v>10039</v>
      </c>
      <c r="B1882" s="72" t="n">
        <v>45804.76875</v>
      </c>
      <c r="C1882" t="inlineStr">
        <is>
          <t>Bogotá D.C.</t>
        </is>
      </c>
      <c r="D1882" t="inlineStr">
        <is>
          <t>Bogotá</t>
        </is>
      </c>
      <c r="E1882" t="inlineStr">
        <is>
          <t>Tecnología</t>
        </is>
      </c>
      <c r="F1882" t="inlineStr">
        <is>
          <t>Web</t>
        </is>
      </c>
      <c r="G1882" t="inlineStr">
        <is>
          <t>1. Visita</t>
        </is>
      </c>
      <c r="H1882" t="n">
        <v>2</v>
      </c>
      <c r="I1882" s="73" t="n">
        <v>930800</v>
      </c>
      <c r="J1882" s="73" t="n">
        <v>1861600</v>
      </c>
      <c r="K1882" s="73" t="n">
        <v>1244451</v>
      </c>
    </row>
    <row r="1883">
      <c r="A1883" t="n">
        <v>11469</v>
      </c>
      <c r="B1883" s="72" t="n">
        <v>45804.83125</v>
      </c>
      <c r="C1883" t="inlineStr">
        <is>
          <t>Antioquia</t>
        </is>
      </c>
      <c r="D1883" t="inlineStr">
        <is>
          <t>Medellín</t>
        </is>
      </c>
      <c r="E1883" t="inlineStr">
        <is>
          <t>Deportes</t>
        </is>
      </c>
      <c r="F1883" t="inlineStr">
        <is>
          <t>Web</t>
        </is>
      </c>
      <c r="G1883" t="inlineStr">
        <is>
          <t>1. Visita</t>
        </is>
      </c>
      <c r="H1883" t="n">
        <v>3</v>
      </c>
      <c r="I1883" s="73" t="n">
        <v>138800</v>
      </c>
      <c r="J1883" s="73" t="n">
        <v>416400</v>
      </c>
      <c r="K1883" s="73" t="n">
        <v>262746</v>
      </c>
    </row>
    <row r="1884">
      <c r="A1884" t="n">
        <v>11935</v>
      </c>
      <c r="B1884" s="72" t="n">
        <v>45805.40972222222</v>
      </c>
      <c r="C1884" t="inlineStr">
        <is>
          <t>Bogotá D.C.</t>
        </is>
      </c>
      <c r="D1884" t="inlineStr">
        <is>
          <t>Bogotá</t>
        </is>
      </c>
      <c r="E1884" t="inlineStr">
        <is>
          <t>Tecnología</t>
        </is>
      </c>
      <c r="F1884" t="inlineStr">
        <is>
          <t>Tienda física</t>
        </is>
      </c>
      <c r="G1884" t="inlineStr">
        <is>
          <t>1. Visita</t>
        </is>
      </c>
      <c r="H1884" t="n">
        <v>5</v>
      </c>
      <c r="I1884" s="73" t="n">
        <v>745700</v>
      </c>
      <c r="J1884" s="73" t="n">
        <v>3728500</v>
      </c>
      <c r="K1884" s="73" t="n">
        <v>2540469</v>
      </c>
    </row>
    <row r="1885">
      <c r="A1885" t="n">
        <v>11130</v>
      </c>
      <c r="B1885" s="72" t="n">
        <v>45805.45555555556</v>
      </c>
      <c r="C1885" t="inlineStr">
        <is>
          <t>Valle del Cauca</t>
        </is>
      </c>
      <c r="D1885" t="inlineStr">
        <is>
          <t>Cali</t>
        </is>
      </c>
      <c r="E1885" t="inlineStr">
        <is>
          <t>Hogar</t>
        </is>
      </c>
      <c r="F1885" t="inlineStr">
        <is>
          <t>Web</t>
        </is>
      </c>
      <c r="G1885" t="inlineStr">
        <is>
          <t>1. Visita</t>
        </is>
      </c>
      <c r="H1885" t="n">
        <v>1</v>
      </c>
      <c r="I1885" s="73" t="n">
        <v>249100</v>
      </c>
      <c r="J1885" s="73" t="n">
        <v>249100</v>
      </c>
      <c r="K1885" s="73" t="n">
        <v>163982</v>
      </c>
    </row>
    <row r="1886">
      <c r="A1886" t="n">
        <v>11599</v>
      </c>
      <c r="B1886" s="72" t="n">
        <v>45805.78819444445</v>
      </c>
      <c r="C1886" t="inlineStr">
        <is>
          <t>Bolívar</t>
        </is>
      </c>
      <c r="D1886" t="inlineStr">
        <is>
          <t>Cartagena</t>
        </is>
      </c>
      <c r="E1886" t="inlineStr">
        <is>
          <t>Deportes</t>
        </is>
      </c>
      <c r="F1886" t="inlineStr">
        <is>
          <t>Marketplace</t>
        </is>
      </c>
      <c r="G1886" t="inlineStr">
        <is>
          <t>3. Pago</t>
        </is>
      </c>
      <c r="H1886" t="n">
        <v>5</v>
      </c>
      <c r="I1886" s="73" t="n">
        <v>112400</v>
      </c>
      <c r="J1886" s="73" t="n">
        <v>562000</v>
      </c>
      <c r="K1886" s="73" t="n">
        <v>349670</v>
      </c>
    </row>
    <row r="1887">
      <c r="A1887" t="n">
        <v>12073</v>
      </c>
      <c r="B1887" s="72" t="n">
        <v>45805.82708333333</v>
      </c>
      <c r="C1887" t="inlineStr">
        <is>
          <t>Valle del Cauca</t>
        </is>
      </c>
      <c r="D1887" t="inlineStr">
        <is>
          <t>Cali</t>
        </is>
      </c>
      <c r="E1887" t="inlineStr">
        <is>
          <t>Juguetes</t>
        </is>
      </c>
      <c r="F1887" t="inlineStr">
        <is>
          <t>App</t>
        </is>
      </c>
      <c r="G1887" t="inlineStr">
        <is>
          <t>1. Visita</t>
        </is>
      </c>
      <c r="H1887" t="n">
        <v>3</v>
      </c>
      <c r="I1887" s="73" t="n">
        <v>80000</v>
      </c>
      <c r="J1887" s="73" t="n">
        <v>240000</v>
      </c>
      <c r="K1887" s="73" t="n">
        <v>161774</v>
      </c>
    </row>
    <row r="1888">
      <c r="A1888" t="n">
        <v>12315</v>
      </c>
      <c r="B1888" s="72" t="n">
        <v>45806.42291666667</v>
      </c>
      <c r="C1888" t="inlineStr">
        <is>
          <t>Huila</t>
        </is>
      </c>
      <c r="D1888" t="inlineStr">
        <is>
          <t>Neiva</t>
        </is>
      </c>
      <c r="E1888" t="inlineStr">
        <is>
          <t>Hogar</t>
        </is>
      </c>
      <c r="F1888" t="inlineStr">
        <is>
          <t>Tienda física</t>
        </is>
      </c>
      <c r="G1888" t="inlineStr">
        <is>
          <t>1. Visita</t>
        </is>
      </c>
      <c r="H1888" t="n">
        <v>4</v>
      </c>
      <c r="I1888" s="73" t="n">
        <v>154900</v>
      </c>
      <c r="J1888" s="73" t="n">
        <v>619600</v>
      </c>
      <c r="K1888" s="73" t="n">
        <v>374867</v>
      </c>
    </row>
    <row r="1889">
      <c r="A1889" t="n">
        <v>11054</v>
      </c>
      <c r="B1889" s="72" t="n">
        <v>45806.44375</v>
      </c>
      <c r="C1889" t="inlineStr">
        <is>
          <t>Bogotá D.C.</t>
        </is>
      </c>
      <c r="D1889" t="inlineStr">
        <is>
          <t>Bogotá</t>
        </is>
      </c>
      <c r="E1889" t="inlineStr">
        <is>
          <t>Moda</t>
        </is>
      </c>
      <c r="F1889" t="inlineStr">
        <is>
          <t>App</t>
        </is>
      </c>
      <c r="G1889" t="inlineStr">
        <is>
          <t>2. Carrito</t>
        </is>
      </c>
      <c r="H1889" t="n">
        <v>5</v>
      </c>
      <c r="I1889" s="73" t="n">
        <v>108500</v>
      </c>
      <c r="J1889" s="73" t="n">
        <v>542500</v>
      </c>
      <c r="K1889" s="73" t="n">
        <v>371555</v>
      </c>
    </row>
    <row r="1890">
      <c r="A1890" t="n">
        <v>10941</v>
      </c>
      <c r="B1890" s="72" t="n">
        <v>45806.51944444444</v>
      </c>
      <c r="C1890" t="inlineStr">
        <is>
          <t>Bolívar</t>
        </is>
      </c>
      <c r="D1890" t="inlineStr">
        <is>
          <t>Cartagena</t>
        </is>
      </c>
      <c r="E1890" t="inlineStr">
        <is>
          <t>Juguetes</t>
        </is>
      </c>
      <c r="F1890" t="inlineStr">
        <is>
          <t>Web</t>
        </is>
      </c>
      <c r="G1890" t="inlineStr">
        <is>
          <t>2. Carrito</t>
        </is>
      </c>
      <c r="H1890" t="n">
        <v>3</v>
      </c>
      <c r="I1890" s="73" t="n">
        <v>103400</v>
      </c>
      <c r="J1890" s="73" t="n">
        <v>310200</v>
      </c>
      <c r="K1890" s="73" t="n">
        <v>194013</v>
      </c>
    </row>
    <row r="1891">
      <c r="A1891" t="n">
        <v>11152</v>
      </c>
      <c r="B1891" s="72" t="n">
        <v>45806.52847222222</v>
      </c>
      <c r="C1891" t="inlineStr">
        <is>
          <t>Bogotá D.C.</t>
        </is>
      </c>
      <c r="D1891" t="inlineStr">
        <is>
          <t>Bogotá</t>
        </is>
      </c>
      <c r="E1891" t="inlineStr">
        <is>
          <t>Hogar</t>
        </is>
      </c>
      <c r="F1891" t="inlineStr">
        <is>
          <t>App</t>
        </is>
      </c>
      <c r="G1891" t="inlineStr">
        <is>
          <t>3. Pago</t>
        </is>
      </c>
      <c r="H1891" t="n">
        <v>2</v>
      </c>
      <c r="I1891" s="73" t="n">
        <v>170500</v>
      </c>
      <c r="J1891" s="73" t="n">
        <v>341000</v>
      </c>
      <c r="K1891" s="73" t="n">
        <v>226490</v>
      </c>
    </row>
    <row r="1892">
      <c r="A1892" t="n">
        <v>12178</v>
      </c>
      <c r="B1892" s="72" t="n">
        <v>45806.77847222222</v>
      </c>
      <c r="C1892" t="inlineStr">
        <is>
          <t>Bogotá D.C.</t>
        </is>
      </c>
      <c r="D1892" t="inlineStr">
        <is>
          <t>Bogotá</t>
        </is>
      </c>
      <c r="E1892" t="inlineStr">
        <is>
          <t>Deportes</t>
        </is>
      </c>
      <c r="F1892" t="inlineStr">
        <is>
          <t>Marketplace</t>
        </is>
      </c>
      <c r="G1892" t="inlineStr">
        <is>
          <t>1. Visita</t>
        </is>
      </c>
      <c r="H1892" t="n">
        <v>4</v>
      </c>
      <c r="I1892" s="73" t="n">
        <v>133900</v>
      </c>
      <c r="J1892" s="73" t="n">
        <v>535600</v>
      </c>
      <c r="K1892" s="73" t="n">
        <v>327646</v>
      </c>
    </row>
    <row r="1893">
      <c r="A1893" t="n">
        <v>12075</v>
      </c>
      <c r="B1893" s="72" t="n">
        <v>45806.86805555555</v>
      </c>
      <c r="C1893" t="inlineStr">
        <is>
          <t>Bogotá D.C.</t>
        </is>
      </c>
      <c r="D1893" t="inlineStr">
        <is>
          <t>Bogotá</t>
        </is>
      </c>
      <c r="E1893" t="inlineStr">
        <is>
          <t>Belleza</t>
        </is>
      </c>
      <c r="F1893" t="inlineStr">
        <is>
          <t>Tienda física</t>
        </is>
      </c>
      <c r="G1893" t="inlineStr">
        <is>
          <t>1. Visita</t>
        </is>
      </c>
      <c r="H1893" t="n">
        <v>5</v>
      </c>
      <c r="I1893" s="73" t="n">
        <v>86700</v>
      </c>
      <c r="J1893" s="73" t="n">
        <v>433500</v>
      </c>
      <c r="K1893" s="73" t="n">
        <v>270003</v>
      </c>
    </row>
    <row r="1894">
      <c r="A1894" t="n">
        <v>10773</v>
      </c>
      <c r="B1894" s="72" t="n">
        <v>45806.92916666667</v>
      </c>
      <c r="C1894" t="inlineStr">
        <is>
          <t>Santander</t>
        </is>
      </c>
      <c r="D1894" t="inlineStr">
        <is>
          <t>Bucaramanga</t>
        </is>
      </c>
      <c r="E1894" t="inlineStr">
        <is>
          <t>Hogar</t>
        </is>
      </c>
      <c r="F1894" t="inlineStr">
        <is>
          <t>App</t>
        </is>
      </c>
      <c r="G1894" t="inlineStr">
        <is>
          <t>2. Carrito</t>
        </is>
      </c>
      <c r="H1894" t="n">
        <v>5</v>
      </c>
      <c r="I1894" s="73" t="n">
        <v>179200</v>
      </c>
      <c r="J1894" s="73" t="n">
        <v>896000</v>
      </c>
      <c r="K1894" s="73" t="n">
        <v>665074</v>
      </c>
    </row>
    <row r="1895">
      <c r="A1895" t="n">
        <v>11823</v>
      </c>
      <c r="B1895" s="72" t="n">
        <v>45807.57222222222</v>
      </c>
      <c r="C1895" t="inlineStr">
        <is>
          <t>Antioquia</t>
        </is>
      </c>
      <c r="D1895" t="inlineStr">
        <is>
          <t>Medellín</t>
        </is>
      </c>
      <c r="E1895" t="inlineStr">
        <is>
          <t>Tecnología</t>
        </is>
      </c>
      <c r="F1895" t="inlineStr">
        <is>
          <t>Tienda física</t>
        </is>
      </c>
      <c r="G1895" t="inlineStr">
        <is>
          <t>4. Compra</t>
        </is>
      </c>
      <c r="H1895" t="n">
        <v>3</v>
      </c>
      <c r="I1895" s="73" t="n">
        <v>930200</v>
      </c>
      <c r="J1895" s="73" t="n">
        <v>3209190</v>
      </c>
      <c r="K1895" s="73" t="n">
        <v>2057325</v>
      </c>
    </row>
    <row r="1896">
      <c r="A1896" t="n">
        <v>11452</v>
      </c>
      <c r="B1896" s="72" t="n">
        <v>45807.59027777778</v>
      </c>
      <c r="C1896" t="inlineStr">
        <is>
          <t>Antioquia</t>
        </is>
      </c>
      <c r="D1896" t="inlineStr">
        <is>
          <t>Medellín</t>
        </is>
      </c>
      <c r="E1896" t="inlineStr">
        <is>
          <t>Belleza</t>
        </is>
      </c>
      <c r="F1896" t="inlineStr">
        <is>
          <t>Marketplace</t>
        </is>
      </c>
      <c r="G1896" t="inlineStr">
        <is>
          <t>3. Pago</t>
        </is>
      </c>
      <c r="H1896" t="n">
        <v>5</v>
      </c>
      <c r="I1896" s="73" t="n">
        <v>57300</v>
      </c>
      <c r="J1896" s="73" t="n">
        <v>329475</v>
      </c>
      <c r="K1896" s="73" t="n">
        <v>244324</v>
      </c>
    </row>
    <row r="1897">
      <c r="A1897" t="n">
        <v>10856</v>
      </c>
      <c r="B1897" s="72" t="n">
        <v>45807.78194444445</v>
      </c>
      <c r="C1897" t="inlineStr">
        <is>
          <t>Bolívar</t>
        </is>
      </c>
      <c r="D1897" t="inlineStr">
        <is>
          <t>Cartagena</t>
        </is>
      </c>
      <c r="E1897" t="inlineStr">
        <is>
          <t>Tecnología</t>
        </is>
      </c>
      <c r="F1897" t="inlineStr">
        <is>
          <t>Tienda física</t>
        </is>
      </c>
      <c r="G1897" t="inlineStr">
        <is>
          <t>2. Carrito</t>
        </is>
      </c>
      <c r="H1897" t="n">
        <v>4</v>
      </c>
      <c r="I1897" s="73" t="n">
        <v>1046100</v>
      </c>
      <c r="J1897" s="73" t="n">
        <v>4812060</v>
      </c>
      <c r="K1897" s="73" t="n">
        <v>3396538</v>
      </c>
    </row>
    <row r="1898">
      <c r="A1898" t="n">
        <v>10105</v>
      </c>
      <c r="B1898" s="72" t="n">
        <v>45808.39097222222</v>
      </c>
      <c r="C1898" t="inlineStr">
        <is>
          <t>Valle del Cauca</t>
        </is>
      </c>
      <c r="D1898" t="inlineStr">
        <is>
          <t>Cali</t>
        </is>
      </c>
      <c r="E1898" t="inlineStr">
        <is>
          <t>Juguetes</t>
        </is>
      </c>
      <c r="F1898" t="inlineStr">
        <is>
          <t>Tienda física</t>
        </is>
      </c>
      <c r="G1898" t="inlineStr">
        <is>
          <t>1. Visita</t>
        </is>
      </c>
      <c r="H1898" t="n">
        <v>1</v>
      </c>
      <c r="I1898" s="73" t="n">
        <v>109700</v>
      </c>
      <c r="J1898" s="73" t="n">
        <v>126155</v>
      </c>
      <c r="K1898" s="73" t="n">
        <v>82943</v>
      </c>
    </row>
    <row r="1899">
      <c r="A1899" t="n">
        <v>11150</v>
      </c>
      <c r="B1899" s="72" t="n">
        <v>45808.48402777778</v>
      </c>
      <c r="C1899" t="inlineStr">
        <is>
          <t>Antioquia</t>
        </is>
      </c>
      <c r="D1899" t="inlineStr">
        <is>
          <t>Medellín</t>
        </is>
      </c>
      <c r="E1899" t="inlineStr">
        <is>
          <t>Juguetes</t>
        </is>
      </c>
      <c r="F1899" t="inlineStr">
        <is>
          <t>Marketplace</t>
        </is>
      </c>
      <c r="G1899" t="inlineStr">
        <is>
          <t>1. Visita</t>
        </is>
      </c>
      <c r="H1899" t="n">
        <v>4</v>
      </c>
      <c r="I1899" s="73" t="n">
        <v>99000</v>
      </c>
      <c r="J1899" s="73" t="n">
        <v>455400</v>
      </c>
      <c r="K1899" s="73" t="n">
        <v>271156</v>
      </c>
    </row>
    <row r="1900">
      <c r="A1900" t="n">
        <v>10786</v>
      </c>
      <c r="B1900" s="72" t="n">
        <v>45808.49861111111</v>
      </c>
      <c r="C1900" t="inlineStr">
        <is>
          <t>Bogotá D.C.</t>
        </is>
      </c>
      <c r="D1900" t="inlineStr">
        <is>
          <t>Bogotá</t>
        </is>
      </c>
      <c r="E1900" t="inlineStr">
        <is>
          <t>Moda</t>
        </is>
      </c>
      <c r="F1900" t="inlineStr">
        <is>
          <t>Tienda física</t>
        </is>
      </c>
      <c r="G1900" t="inlineStr">
        <is>
          <t>3. Pago</t>
        </is>
      </c>
      <c r="H1900" t="n">
        <v>4</v>
      </c>
      <c r="I1900" s="73" t="n">
        <v>104700</v>
      </c>
      <c r="J1900" s="73" t="n">
        <v>481620</v>
      </c>
      <c r="K1900" s="73" t="n">
        <v>331604</v>
      </c>
    </row>
    <row r="1901">
      <c r="A1901" t="n">
        <v>11472</v>
      </c>
      <c r="B1901" s="72" t="n">
        <v>45808.50208333333</v>
      </c>
      <c r="C1901" t="inlineStr">
        <is>
          <t>Risaralda</t>
        </is>
      </c>
      <c r="D1901" t="inlineStr">
        <is>
          <t>Pereira</t>
        </is>
      </c>
      <c r="E1901" t="inlineStr">
        <is>
          <t>Deportes</t>
        </is>
      </c>
      <c r="F1901" t="inlineStr">
        <is>
          <t>App</t>
        </is>
      </c>
      <c r="G1901" t="inlineStr">
        <is>
          <t>2. Carrito</t>
        </is>
      </c>
      <c r="H1901" t="n">
        <v>4</v>
      </c>
      <c r="I1901" s="73" t="n">
        <v>131700</v>
      </c>
      <c r="J1901" s="73" t="n">
        <v>605820</v>
      </c>
      <c r="K1901" s="73" t="n">
        <v>404304</v>
      </c>
    </row>
    <row r="1902">
      <c r="A1902" t="n">
        <v>11579</v>
      </c>
      <c r="B1902" s="72" t="n">
        <v>45809.60347222222</v>
      </c>
      <c r="C1902" t="inlineStr">
        <is>
          <t>Bogotá D.C.</t>
        </is>
      </c>
      <c r="D1902" t="inlineStr">
        <is>
          <t>Bogotá</t>
        </is>
      </c>
      <c r="E1902" t="inlineStr">
        <is>
          <t>Juguetes</t>
        </is>
      </c>
      <c r="F1902" t="inlineStr">
        <is>
          <t>Web</t>
        </is>
      </c>
      <c r="G1902" t="inlineStr">
        <is>
          <t>4. Compra</t>
        </is>
      </c>
      <c r="H1902" t="n">
        <v>1</v>
      </c>
      <c r="I1902" s="73" t="n">
        <v>76000</v>
      </c>
      <c r="J1902" s="73" t="n">
        <v>87400</v>
      </c>
      <c r="K1902" s="73" t="n">
        <v>54726</v>
      </c>
    </row>
    <row r="1903">
      <c r="A1903" t="n">
        <v>11273</v>
      </c>
      <c r="B1903" s="72" t="n">
        <v>45809.80902777778</v>
      </c>
      <c r="C1903" t="inlineStr">
        <is>
          <t>Valle del Cauca</t>
        </is>
      </c>
      <c r="D1903" t="inlineStr">
        <is>
          <t>Cali</t>
        </is>
      </c>
      <c r="E1903" t="inlineStr">
        <is>
          <t>Belleza</t>
        </is>
      </c>
      <c r="F1903" t="inlineStr">
        <is>
          <t>Tienda física</t>
        </is>
      </c>
      <c r="G1903" t="inlineStr">
        <is>
          <t>2. Carrito</t>
        </is>
      </c>
      <c r="H1903" t="n">
        <v>5</v>
      </c>
      <c r="I1903" s="73" t="n">
        <v>73500</v>
      </c>
      <c r="J1903" s="73" t="n">
        <v>422625</v>
      </c>
      <c r="K1903" s="73" t="n">
        <v>285641</v>
      </c>
    </row>
    <row r="1904">
      <c r="A1904" t="n">
        <v>11785</v>
      </c>
      <c r="B1904" s="72" t="n">
        <v>45809.81180555555</v>
      </c>
      <c r="C1904" t="inlineStr">
        <is>
          <t>Santander</t>
        </is>
      </c>
      <c r="D1904" t="inlineStr">
        <is>
          <t>Bucaramanga</t>
        </is>
      </c>
      <c r="E1904" t="inlineStr">
        <is>
          <t>Tecnología</t>
        </is>
      </c>
      <c r="F1904" t="inlineStr">
        <is>
          <t>Web</t>
        </is>
      </c>
      <c r="G1904" t="inlineStr">
        <is>
          <t>1. Visita</t>
        </is>
      </c>
      <c r="H1904" t="n">
        <v>3</v>
      </c>
      <c r="I1904" s="73" t="n">
        <v>891400</v>
      </c>
      <c r="J1904" s="73" t="n">
        <v>3075330</v>
      </c>
      <c r="K1904" s="73" t="n">
        <v>1908571</v>
      </c>
    </row>
    <row r="1905">
      <c r="A1905" t="n">
        <v>11664</v>
      </c>
      <c r="B1905" s="72" t="n">
        <v>45809.92777777778</v>
      </c>
      <c r="C1905" t="inlineStr">
        <is>
          <t>Valle del Cauca</t>
        </is>
      </c>
      <c r="D1905" t="inlineStr">
        <is>
          <t>Cali</t>
        </is>
      </c>
      <c r="E1905" t="inlineStr">
        <is>
          <t>Deportes</t>
        </is>
      </c>
      <c r="F1905" t="inlineStr">
        <is>
          <t>Tienda física</t>
        </is>
      </c>
      <c r="G1905" t="inlineStr">
        <is>
          <t>1. Visita</t>
        </is>
      </c>
      <c r="H1905" t="n">
        <v>4</v>
      </c>
      <c r="I1905" s="73" t="n">
        <v>192000</v>
      </c>
      <c r="J1905" s="73" t="n">
        <v>883200</v>
      </c>
      <c r="K1905" s="73" t="n">
        <v>523476</v>
      </c>
    </row>
    <row r="1906">
      <c r="A1906" t="n">
        <v>10098</v>
      </c>
      <c r="B1906" s="72" t="n">
        <v>45809.98333333333</v>
      </c>
      <c r="C1906" t="inlineStr">
        <is>
          <t>Bogotá D.C.</t>
        </is>
      </c>
      <c r="D1906" t="inlineStr">
        <is>
          <t>Bogotá</t>
        </is>
      </c>
      <c r="E1906" t="inlineStr">
        <is>
          <t>Hogar</t>
        </is>
      </c>
      <c r="F1906" t="inlineStr">
        <is>
          <t>App</t>
        </is>
      </c>
      <c r="G1906" t="inlineStr">
        <is>
          <t>2. Carrito</t>
        </is>
      </c>
      <c r="H1906" t="n">
        <v>4</v>
      </c>
      <c r="I1906" s="73" t="n">
        <v>219700</v>
      </c>
      <c r="J1906" s="73" t="n">
        <v>1010620</v>
      </c>
      <c r="K1906" s="73" t="n">
        <v>667129</v>
      </c>
    </row>
    <row r="1907">
      <c r="A1907" t="n">
        <v>10232</v>
      </c>
      <c r="B1907" s="72" t="n">
        <v>45810.40416666667</v>
      </c>
      <c r="C1907" t="inlineStr">
        <is>
          <t>Bogotá D.C.</t>
        </is>
      </c>
      <c r="D1907" t="inlineStr">
        <is>
          <t>Bogotá</t>
        </is>
      </c>
      <c r="E1907" t="inlineStr">
        <is>
          <t>Tecnología</t>
        </is>
      </c>
      <c r="F1907" t="inlineStr">
        <is>
          <t>App</t>
        </is>
      </c>
      <c r="G1907" t="inlineStr">
        <is>
          <t>2. Carrito</t>
        </is>
      </c>
      <c r="H1907" t="n">
        <v>3</v>
      </c>
      <c r="I1907" s="73" t="n">
        <v>996800</v>
      </c>
      <c r="J1907" s="73" t="n">
        <v>2990400</v>
      </c>
      <c r="K1907" s="73" t="n">
        <v>2050408</v>
      </c>
    </row>
    <row r="1908">
      <c r="A1908" t="n">
        <v>12170</v>
      </c>
      <c r="B1908" s="72" t="n">
        <v>45810.50347222222</v>
      </c>
      <c r="C1908" t="inlineStr">
        <is>
          <t>Bogotá D.C.</t>
        </is>
      </c>
      <c r="D1908" t="inlineStr">
        <is>
          <t>Bogotá</t>
        </is>
      </c>
      <c r="E1908" t="inlineStr">
        <is>
          <t>Tecnología</t>
        </is>
      </c>
      <c r="F1908" t="inlineStr">
        <is>
          <t>Web</t>
        </is>
      </c>
      <c r="G1908" t="inlineStr">
        <is>
          <t>4. Compra</t>
        </is>
      </c>
      <c r="H1908" t="n">
        <v>4</v>
      </c>
      <c r="I1908" s="73" t="n">
        <v>774700</v>
      </c>
      <c r="J1908" s="73" t="n">
        <v>3098800</v>
      </c>
      <c r="K1908" s="73" t="n">
        <v>1927902</v>
      </c>
    </row>
    <row r="1909">
      <c r="A1909" t="n">
        <v>10561</v>
      </c>
      <c r="B1909" s="72" t="n">
        <v>45810.68402777778</v>
      </c>
      <c r="C1909" t="inlineStr">
        <is>
          <t>Risaralda</t>
        </is>
      </c>
      <c r="D1909" t="inlineStr">
        <is>
          <t>Pereira</t>
        </is>
      </c>
      <c r="E1909" t="inlineStr">
        <is>
          <t>Tecnología</t>
        </is>
      </c>
      <c r="F1909" t="inlineStr">
        <is>
          <t>App</t>
        </is>
      </c>
      <c r="G1909" t="inlineStr">
        <is>
          <t>1. Visita</t>
        </is>
      </c>
      <c r="H1909" t="n">
        <v>5</v>
      </c>
      <c r="I1909" s="73" t="n">
        <v>906900</v>
      </c>
      <c r="J1909" s="73" t="n">
        <v>4534500</v>
      </c>
      <c r="K1909" s="73" t="n">
        <v>2929579</v>
      </c>
    </row>
    <row r="1910">
      <c r="A1910" t="n">
        <v>10521</v>
      </c>
      <c r="B1910" s="72" t="n">
        <v>45810.69027777778</v>
      </c>
      <c r="C1910" t="inlineStr">
        <is>
          <t>Valle del Cauca</t>
        </is>
      </c>
      <c r="D1910" t="inlineStr">
        <is>
          <t>Cali</t>
        </is>
      </c>
      <c r="E1910" t="inlineStr">
        <is>
          <t>Moda</t>
        </is>
      </c>
      <c r="F1910" t="inlineStr">
        <is>
          <t>App</t>
        </is>
      </c>
      <c r="G1910" t="inlineStr">
        <is>
          <t>4. Compra</t>
        </is>
      </c>
      <c r="H1910" t="n">
        <v>5</v>
      </c>
      <c r="I1910" s="73" t="n">
        <v>125500</v>
      </c>
      <c r="J1910" s="73" t="n">
        <v>627500</v>
      </c>
      <c r="K1910" s="73" t="n">
        <v>454846</v>
      </c>
    </row>
    <row r="1911">
      <c r="A1911" t="n">
        <v>10087</v>
      </c>
      <c r="B1911" s="72" t="n">
        <v>45810.72708333333</v>
      </c>
      <c r="C1911" t="inlineStr">
        <is>
          <t>Bogotá D.C.</t>
        </is>
      </c>
      <c r="D1911" t="inlineStr">
        <is>
          <t>Bogotá</t>
        </is>
      </c>
      <c r="E1911" t="inlineStr">
        <is>
          <t>Hogar</t>
        </is>
      </c>
      <c r="F1911" t="inlineStr">
        <is>
          <t>Tienda física</t>
        </is>
      </c>
      <c r="G1911" t="inlineStr">
        <is>
          <t>1. Visita</t>
        </is>
      </c>
      <c r="H1911" t="n">
        <v>5</v>
      </c>
      <c r="I1911" s="73" t="n">
        <v>180700</v>
      </c>
      <c r="J1911" s="73" t="n">
        <v>903500</v>
      </c>
      <c r="K1911" s="73" t="n">
        <v>544388</v>
      </c>
    </row>
    <row r="1912">
      <c r="A1912" t="n">
        <v>10398</v>
      </c>
      <c r="B1912" s="72" t="n">
        <v>45810.80625</v>
      </c>
      <c r="C1912" t="inlineStr">
        <is>
          <t>Bogotá D.C.</t>
        </is>
      </c>
      <c r="D1912" t="inlineStr">
        <is>
          <t>Bogotá</t>
        </is>
      </c>
      <c r="E1912" t="inlineStr">
        <is>
          <t>Belleza</t>
        </is>
      </c>
      <c r="F1912" t="inlineStr">
        <is>
          <t>Web</t>
        </is>
      </c>
      <c r="G1912" t="inlineStr">
        <is>
          <t>1. Visita</t>
        </is>
      </c>
      <c r="H1912" t="n">
        <v>3</v>
      </c>
      <c r="I1912" s="73" t="n">
        <v>57800</v>
      </c>
      <c r="J1912" s="73" t="n">
        <v>173400</v>
      </c>
      <c r="K1912" s="73" t="n">
        <v>96522</v>
      </c>
    </row>
    <row r="1913">
      <c r="A1913" t="n">
        <v>11877</v>
      </c>
      <c r="B1913" s="72" t="n">
        <v>45810.92430555556</v>
      </c>
      <c r="C1913" t="inlineStr">
        <is>
          <t>Atlántico</t>
        </is>
      </c>
      <c r="D1913" t="inlineStr">
        <is>
          <t>Barranquilla</t>
        </is>
      </c>
      <c r="E1913" t="inlineStr">
        <is>
          <t>Tecnología</t>
        </is>
      </c>
      <c r="F1913" t="inlineStr">
        <is>
          <t>App</t>
        </is>
      </c>
      <c r="G1913" t="inlineStr">
        <is>
          <t>1. Visita</t>
        </is>
      </c>
      <c r="H1913" t="n">
        <v>5</v>
      </c>
      <c r="I1913" s="73" t="n">
        <v>975500</v>
      </c>
      <c r="J1913" s="73" t="n">
        <v>4877500</v>
      </c>
      <c r="K1913" s="73" t="n">
        <v>3647723</v>
      </c>
    </row>
    <row r="1914">
      <c r="A1914" t="n">
        <v>10440</v>
      </c>
      <c r="B1914" s="72" t="n">
        <v>45811.51180555556</v>
      </c>
      <c r="C1914" t="inlineStr">
        <is>
          <t>Valle del Cauca</t>
        </is>
      </c>
      <c r="D1914" t="inlineStr">
        <is>
          <t>Cali</t>
        </is>
      </c>
      <c r="E1914" t="inlineStr">
        <is>
          <t>Tecnología</t>
        </is>
      </c>
      <c r="F1914" t="inlineStr">
        <is>
          <t>App</t>
        </is>
      </c>
      <c r="G1914" t="inlineStr">
        <is>
          <t>2. Carrito</t>
        </is>
      </c>
      <c r="H1914" t="n">
        <v>1</v>
      </c>
      <c r="I1914" s="73" t="n">
        <v>679100</v>
      </c>
      <c r="J1914" s="73" t="n">
        <v>679100</v>
      </c>
      <c r="K1914" s="73" t="n">
        <v>506570</v>
      </c>
    </row>
    <row r="1915">
      <c r="A1915" t="n">
        <v>12068</v>
      </c>
      <c r="B1915" s="72" t="n">
        <v>45811.53055555555</v>
      </c>
      <c r="C1915" t="inlineStr">
        <is>
          <t>Bogotá D.C.</t>
        </is>
      </c>
      <c r="D1915" t="inlineStr">
        <is>
          <t>Bogotá</t>
        </is>
      </c>
      <c r="E1915" t="inlineStr">
        <is>
          <t>Tecnología</t>
        </is>
      </c>
      <c r="F1915" t="inlineStr">
        <is>
          <t>Tienda física</t>
        </is>
      </c>
      <c r="G1915" t="inlineStr">
        <is>
          <t>2. Carrito</t>
        </is>
      </c>
      <c r="H1915" t="n">
        <v>5</v>
      </c>
      <c r="I1915" s="73" t="n">
        <v>791700</v>
      </c>
      <c r="J1915" s="73" t="n">
        <v>3958500</v>
      </c>
      <c r="K1915" s="73" t="n">
        <v>2867470</v>
      </c>
    </row>
    <row r="1916">
      <c r="A1916" t="n">
        <v>12220</v>
      </c>
      <c r="B1916" s="72" t="n">
        <v>45811.54375</v>
      </c>
      <c r="C1916" t="inlineStr">
        <is>
          <t>Risaralda</t>
        </is>
      </c>
      <c r="D1916" t="inlineStr">
        <is>
          <t>Pereira</t>
        </is>
      </c>
      <c r="E1916" t="inlineStr">
        <is>
          <t>Belleza</t>
        </is>
      </c>
      <c r="F1916" t="inlineStr">
        <is>
          <t>Web</t>
        </is>
      </c>
      <c r="G1916" t="inlineStr">
        <is>
          <t>1. Visita</t>
        </is>
      </c>
      <c r="H1916" t="n">
        <v>2</v>
      </c>
      <c r="I1916" s="73" t="n">
        <v>71200</v>
      </c>
      <c r="J1916" s="73" t="n">
        <v>142400</v>
      </c>
      <c r="K1916" s="73" t="n">
        <v>98435</v>
      </c>
    </row>
    <row r="1917">
      <c r="A1917" t="n">
        <v>11086</v>
      </c>
      <c r="B1917" s="72" t="n">
        <v>45811.89513888889</v>
      </c>
      <c r="C1917" t="inlineStr">
        <is>
          <t>Nariño</t>
        </is>
      </c>
      <c r="D1917" t="inlineStr">
        <is>
          <t>Pasto</t>
        </is>
      </c>
      <c r="E1917" t="inlineStr">
        <is>
          <t>Belleza</t>
        </is>
      </c>
      <c r="F1917" t="inlineStr">
        <is>
          <t>Web</t>
        </is>
      </c>
      <c r="G1917" t="inlineStr">
        <is>
          <t>3. Pago</t>
        </is>
      </c>
      <c r="H1917" t="n">
        <v>4</v>
      </c>
      <c r="I1917" s="73" t="n">
        <v>64100</v>
      </c>
      <c r="J1917" s="73" t="n">
        <v>256400</v>
      </c>
      <c r="K1917" s="73" t="n">
        <v>149150</v>
      </c>
    </row>
    <row r="1918">
      <c r="A1918" t="n">
        <v>12015</v>
      </c>
      <c r="B1918" s="72" t="n">
        <v>45812.43194444444</v>
      </c>
      <c r="C1918" t="inlineStr">
        <is>
          <t>Valle del Cauca</t>
        </is>
      </c>
      <c r="D1918" t="inlineStr">
        <is>
          <t>Cali</t>
        </is>
      </c>
      <c r="E1918" t="inlineStr">
        <is>
          <t>Deportes</t>
        </is>
      </c>
      <c r="F1918" t="inlineStr">
        <is>
          <t>Web</t>
        </is>
      </c>
      <c r="G1918" t="inlineStr">
        <is>
          <t>1. Visita</t>
        </is>
      </c>
      <c r="H1918" t="n">
        <v>2</v>
      </c>
      <c r="I1918" s="73" t="n">
        <v>140200</v>
      </c>
      <c r="J1918" s="73" t="n">
        <v>280400</v>
      </c>
      <c r="K1918" s="73" t="n">
        <v>187853</v>
      </c>
    </row>
    <row r="1919">
      <c r="A1919" t="n">
        <v>11727</v>
      </c>
      <c r="B1919" s="72" t="n">
        <v>45812.47986111111</v>
      </c>
      <c r="C1919" t="inlineStr">
        <is>
          <t>Valle del Cauca</t>
        </is>
      </c>
      <c r="D1919" t="inlineStr">
        <is>
          <t>Cali</t>
        </is>
      </c>
      <c r="E1919" t="inlineStr">
        <is>
          <t>Juguetes</t>
        </is>
      </c>
      <c r="F1919" t="inlineStr">
        <is>
          <t>App</t>
        </is>
      </c>
      <c r="G1919" t="inlineStr">
        <is>
          <t>3. Pago</t>
        </is>
      </c>
      <c r="H1919" t="n">
        <v>1</v>
      </c>
      <c r="I1919" s="73" t="n">
        <v>85700</v>
      </c>
      <c r="J1919" s="73" t="n">
        <v>85700</v>
      </c>
      <c r="K1919" s="73" t="n">
        <v>58428</v>
      </c>
    </row>
    <row r="1920">
      <c r="A1920" t="n">
        <v>11621</v>
      </c>
      <c r="B1920" s="72" t="n">
        <v>45812.67569444444</v>
      </c>
      <c r="C1920" t="inlineStr">
        <is>
          <t>Valle del Cauca</t>
        </is>
      </c>
      <c r="D1920" t="inlineStr">
        <is>
          <t>Cali</t>
        </is>
      </c>
      <c r="E1920" t="inlineStr">
        <is>
          <t>Juguetes</t>
        </is>
      </c>
      <c r="F1920" t="inlineStr">
        <is>
          <t>Tienda física</t>
        </is>
      </c>
      <c r="G1920" t="inlineStr">
        <is>
          <t>2. Carrito</t>
        </is>
      </c>
      <c r="H1920" t="n">
        <v>1</v>
      </c>
      <c r="I1920" s="73" t="n">
        <v>93600</v>
      </c>
      <c r="J1920" s="73" t="n">
        <v>93600</v>
      </c>
      <c r="K1920" s="73" t="n">
        <v>57259</v>
      </c>
    </row>
    <row r="1921">
      <c r="A1921" t="n">
        <v>11227</v>
      </c>
      <c r="B1921" s="72" t="n">
        <v>45812.76666666667</v>
      </c>
      <c r="C1921" t="inlineStr">
        <is>
          <t>Santander</t>
        </is>
      </c>
      <c r="D1921" t="inlineStr">
        <is>
          <t>Bucaramanga</t>
        </is>
      </c>
      <c r="E1921" t="inlineStr">
        <is>
          <t>Moda</t>
        </is>
      </c>
      <c r="F1921" t="inlineStr">
        <is>
          <t>Marketplace</t>
        </is>
      </c>
      <c r="G1921" t="inlineStr">
        <is>
          <t>2. Carrito</t>
        </is>
      </c>
      <c r="H1921" t="n">
        <v>4</v>
      </c>
      <c r="I1921" s="73" t="n">
        <v>94000</v>
      </c>
      <c r="J1921" s="73" t="n">
        <v>376000</v>
      </c>
      <c r="K1921" s="73" t="n">
        <v>208514</v>
      </c>
    </row>
    <row r="1922">
      <c r="A1922" t="n">
        <v>11407</v>
      </c>
      <c r="B1922" s="72" t="n">
        <v>45812.79583333333</v>
      </c>
      <c r="C1922" t="inlineStr">
        <is>
          <t>Risaralda</t>
        </is>
      </c>
      <c r="D1922" t="inlineStr">
        <is>
          <t>Pereira</t>
        </is>
      </c>
      <c r="E1922" t="inlineStr">
        <is>
          <t>Moda</t>
        </is>
      </c>
      <c r="F1922" t="inlineStr">
        <is>
          <t>Tienda física</t>
        </is>
      </c>
      <c r="G1922" t="inlineStr">
        <is>
          <t>1. Visita</t>
        </is>
      </c>
      <c r="H1922" t="n">
        <v>4</v>
      </c>
      <c r="I1922" s="73" t="n">
        <v>120900</v>
      </c>
      <c r="J1922" s="73" t="n">
        <v>483600</v>
      </c>
      <c r="K1922" s="73" t="n">
        <v>279001</v>
      </c>
    </row>
    <row r="1923">
      <c r="A1923" t="n">
        <v>10733</v>
      </c>
      <c r="B1923" s="72" t="n">
        <v>45812.85277777778</v>
      </c>
      <c r="C1923" t="inlineStr">
        <is>
          <t>Huila</t>
        </is>
      </c>
      <c r="D1923" t="inlineStr">
        <is>
          <t>Neiva</t>
        </is>
      </c>
      <c r="E1923" t="inlineStr">
        <is>
          <t>Hogar</t>
        </is>
      </c>
      <c r="F1923" t="inlineStr">
        <is>
          <t>App</t>
        </is>
      </c>
      <c r="G1923" t="inlineStr">
        <is>
          <t>1. Visita</t>
        </is>
      </c>
      <c r="H1923" t="n">
        <v>5</v>
      </c>
      <c r="I1923" s="73" t="n">
        <v>173400</v>
      </c>
      <c r="J1923" s="73" t="n">
        <v>867000</v>
      </c>
      <c r="K1923" s="73" t="n">
        <v>560952</v>
      </c>
    </row>
    <row r="1924">
      <c r="A1924" t="n">
        <v>11402</v>
      </c>
      <c r="B1924" s="72" t="n">
        <v>45812.87152777778</v>
      </c>
      <c r="C1924" t="inlineStr">
        <is>
          <t>Antioquia</t>
        </is>
      </c>
      <c r="D1924" t="inlineStr">
        <is>
          <t>Medellín</t>
        </is>
      </c>
      <c r="E1924" t="inlineStr">
        <is>
          <t>Juguetes</t>
        </is>
      </c>
      <c r="F1924" t="inlineStr">
        <is>
          <t>Web</t>
        </is>
      </c>
      <c r="G1924" t="inlineStr">
        <is>
          <t>4. Compra</t>
        </is>
      </c>
      <c r="H1924" t="n">
        <v>2</v>
      </c>
      <c r="I1924" s="73" t="n">
        <v>72900</v>
      </c>
      <c r="J1924" s="73" t="n">
        <v>145800</v>
      </c>
      <c r="K1924" s="73" t="n">
        <v>98076</v>
      </c>
    </row>
    <row r="1925">
      <c r="A1925" t="n">
        <v>11232</v>
      </c>
      <c r="B1925" s="72" t="n">
        <v>45813.86111111111</v>
      </c>
      <c r="C1925" t="inlineStr">
        <is>
          <t>Antioquia</t>
        </is>
      </c>
      <c r="D1925" t="inlineStr">
        <is>
          <t>Medellín</t>
        </is>
      </c>
      <c r="E1925" t="inlineStr">
        <is>
          <t>Juguetes</t>
        </is>
      </c>
      <c r="F1925" t="inlineStr">
        <is>
          <t>Marketplace</t>
        </is>
      </c>
      <c r="G1925" t="inlineStr">
        <is>
          <t>4. Compra</t>
        </is>
      </c>
      <c r="H1925" t="n">
        <v>3</v>
      </c>
      <c r="I1925" s="73" t="n">
        <v>75900</v>
      </c>
      <c r="J1925" s="73" t="n">
        <v>227700</v>
      </c>
      <c r="K1925" s="73" t="n">
        <v>140581</v>
      </c>
    </row>
    <row r="1926">
      <c r="A1926" t="n">
        <v>12161</v>
      </c>
      <c r="B1926" s="72" t="n">
        <v>45814.46319444444</v>
      </c>
      <c r="C1926" t="inlineStr">
        <is>
          <t>Antioquia</t>
        </is>
      </c>
      <c r="D1926" t="inlineStr">
        <is>
          <t>Medellín</t>
        </is>
      </c>
      <c r="E1926" t="inlineStr">
        <is>
          <t>Moda</t>
        </is>
      </c>
      <c r="F1926" t="inlineStr">
        <is>
          <t>Tienda física</t>
        </is>
      </c>
      <c r="G1926" t="inlineStr">
        <is>
          <t>1. Visita</t>
        </is>
      </c>
      <c r="H1926" t="n">
        <v>3</v>
      </c>
      <c r="I1926" s="73" t="n">
        <v>125200</v>
      </c>
      <c r="J1926" s="73" t="n">
        <v>431940</v>
      </c>
      <c r="K1926" s="73" t="n">
        <v>255269</v>
      </c>
    </row>
    <row r="1927">
      <c r="A1927" t="n">
        <v>10201</v>
      </c>
      <c r="B1927" s="72" t="n">
        <v>45814.70833333334</v>
      </c>
      <c r="C1927" t="inlineStr">
        <is>
          <t>Bolívar</t>
        </is>
      </c>
      <c r="D1927" t="inlineStr">
        <is>
          <t>Cartagena</t>
        </is>
      </c>
      <c r="E1927" t="inlineStr">
        <is>
          <t>Deportes</t>
        </is>
      </c>
      <c r="F1927" t="inlineStr">
        <is>
          <t>Web</t>
        </is>
      </c>
      <c r="G1927" t="inlineStr">
        <is>
          <t>1. Visita</t>
        </is>
      </c>
      <c r="H1927" t="n">
        <v>2</v>
      </c>
      <c r="I1927" s="73" t="n">
        <v>119000</v>
      </c>
      <c r="J1927" s="73" t="n">
        <v>273700</v>
      </c>
      <c r="K1927" s="73" t="n">
        <v>173251</v>
      </c>
    </row>
    <row r="1928">
      <c r="A1928" t="n">
        <v>11077</v>
      </c>
      <c r="B1928" s="72" t="n">
        <v>45815.42083333333</v>
      </c>
      <c r="C1928" t="inlineStr">
        <is>
          <t>Bolívar</t>
        </is>
      </c>
      <c r="D1928" t="inlineStr">
        <is>
          <t>Cartagena</t>
        </is>
      </c>
      <c r="E1928" t="inlineStr">
        <is>
          <t>Hogar</t>
        </is>
      </c>
      <c r="F1928" t="inlineStr">
        <is>
          <t>Web</t>
        </is>
      </c>
      <c r="G1928" t="inlineStr">
        <is>
          <t>1. Visita</t>
        </is>
      </c>
      <c r="H1928" t="n">
        <v>2</v>
      </c>
      <c r="I1928" s="73" t="n">
        <v>242700</v>
      </c>
      <c r="J1928" s="73" t="n">
        <v>558210</v>
      </c>
      <c r="K1928" s="73" t="n">
        <v>390361</v>
      </c>
    </row>
    <row r="1929">
      <c r="A1929" t="n">
        <v>10165</v>
      </c>
      <c r="B1929" s="72" t="n">
        <v>45815.61597222222</v>
      </c>
      <c r="C1929" t="inlineStr">
        <is>
          <t>Meta</t>
        </is>
      </c>
      <c r="D1929" t="inlineStr">
        <is>
          <t>Villavicencio</t>
        </is>
      </c>
      <c r="E1929" t="inlineStr">
        <is>
          <t>Juguetes</t>
        </is>
      </c>
      <c r="F1929" t="inlineStr">
        <is>
          <t>App</t>
        </is>
      </c>
      <c r="G1929" t="inlineStr">
        <is>
          <t>1. Visita</t>
        </is>
      </c>
      <c r="H1929" t="n">
        <v>1</v>
      </c>
      <c r="I1929" s="73" t="n">
        <v>67200</v>
      </c>
      <c r="J1929" s="73" t="n">
        <v>77280</v>
      </c>
      <c r="K1929" s="73" t="n">
        <v>48728</v>
      </c>
    </row>
    <row r="1930">
      <c r="A1930" t="n">
        <v>11510</v>
      </c>
      <c r="B1930" s="72" t="n">
        <v>45815.72361111111</v>
      </c>
      <c r="C1930" t="inlineStr">
        <is>
          <t>Valle del Cauca</t>
        </is>
      </c>
      <c r="D1930" t="inlineStr">
        <is>
          <t>Cali</t>
        </is>
      </c>
      <c r="E1930" t="inlineStr">
        <is>
          <t>Hogar</t>
        </is>
      </c>
      <c r="F1930" t="inlineStr">
        <is>
          <t>App</t>
        </is>
      </c>
      <c r="G1930" t="inlineStr">
        <is>
          <t>1. Visita</t>
        </is>
      </c>
      <c r="H1930" t="n">
        <v>3</v>
      </c>
      <c r="I1930" s="73" t="n">
        <v>150000</v>
      </c>
      <c r="J1930" s="73" t="n">
        <v>517500</v>
      </c>
      <c r="K1930" s="73" t="n">
        <v>311553</v>
      </c>
    </row>
    <row r="1931">
      <c r="A1931" t="n">
        <v>11580</v>
      </c>
      <c r="B1931" s="72" t="n">
        <v>45815.76319444444</v>
      </c>
      <c r="C1931" t="inlineStr">
        <is>
          <t>Antioquia</t>
        </is>
      </c>
      <c r="D1931" t="inlineStr">
        <is>
          <t>Medellín</t>
        </is>
      </c>
      <c r="E1931" t="inlineStr">
        <is>
          <t>Hogar</t>
        </is>
      </c>
      <c r="F1931" t="inlineStr">
        <is>
          <t>Tienda física</t>
        </is>
      </c>
      <c r="G1931" t="inlineStr">
        <is>
          <t>1. Visita</t>
        </is>
      </c>
      <c r="H1931" t="n">
        <v>3</v>
      </c>
      <c r="I1931" s="73" t="n">
        <v>229000</v>
      </c>
      <c r="J1931" s="73" t="n">
        <v>790050</v>
      </c>
      <c r="K1931" s="73" t="n">
        <v>487025</v>
      </c>
    </row>
    <row r="1932">
      <c r="A1932" t="n">
        <v>12056</v>
      </c>
      <c r="B1932" s="72" t="n">
        <v>45815.93958333333</v>
      </c>
      <c r="C1932" t="inlineStr">
        <is>
          <t>Valle del Cauca</t>
        </is>
      </c>
      <c r="D1932" t="inlineStr">
        <is>
          <t>Cali</t>
        </is>
      </c>
      <c r="E1932" t="inlineStr">
        <is>
          <t>Deportes</t>
        </is>
      </c>
      <c r="F1932" t="inlineStr">
        <is>
          <t>App</t>
        </is>
      </c>
      <c r="G1932" t="inlineStr">
        <is>
          <t>1. Visita</t>
        </is>
      </c>
      <c r="H1932" t="n">
        <v>3</v>
      </c>
      <c r="I1932" s="73" t="n">
        <v>153400</v>
      </c>
      <c r="J1932" s="73" t="n">
        <v>529230</v>
      </c>
      <c r="K1932" s="73" t="n">
        <v>338002</v>
      </c>
    </row>
    <row r="1933">
      <c r="A1933" t="n">
        <v>11965</v>
      </c>
      <c r="B1933" s="72" t="n">
        <v>45815.98263888889</v>
      </c>
      <c r="C1933" t="inlineStr">
        <is>
          <t>Antioquia</t>
        </is>
      </c>
      <c r="D1933" t="inlineStr">
        <is>
          <t>Medellín</t>
        </is>
      </c>
      <c r="E1933" t="inlineStr">
        <is>
          <t>Deportes</t>
        </is>
      </c>
      <c r="F1933" t="inlineStr">
        <is>
          <t>App</t>
        </is>
      </c>
      <c r="G1933" t="inlineStr">
        <is>
          <t>3. Pago</t>
        </is>
      </c>
      <c r="H1933" t="n">
        <v>4</v>
      </c>
      <c r="I1933" s="73" t="n">
        <v>203000</v>
      </c>
      <c r="J1933" s="73" t="n">
        <v>933800</v>
      </c>
      <c r="K1933" s="73" t="n">
        <v>693893</v>
      </c>
    </row>
    <row r="1934">
      <c r="A1934" t="n">
        <v>11986</v>
      </c>
      <c r="B1934" s="72" t="n">
        <v>45816.37916666667</v>
      </c>
      <c r="C1934" t="inlineStr">
        <is>
          <t>Risaralda</t>
        </is>
      </c>
      <c r="D1934" t="inlineStr">
        <is>
          <t>Pereira</t>
        </is>
      </c>
      <c r="E1934" t="inlineStr">
        <is>
          <t>Moda</t>
        </is>
      </c>
      <c r="F1934" t="inlineStr">
        <is>
          <t>Tienda física</t>
        </is>
      </c>
      <c r="G1934" t="inlineStr">
        <is>
          <t>2. Carrito</t>
        </is>
      </c>
      <c r="H1934" t="n">
        <v>5</v>
      </c>
      <c r="I1934" s="73" t="n">
        <v>116000</v>
      </c>
      <c r="J1934" s="73" t="n">
        <v>667000</v>
      </c>
      <c r="K1934" s="73" t="n">
        <v>431446</v>
      </c>
    </row>
    <row r="1935">
      <c r="A1935" t="n">
        <v>11117</v>
      </c>
      <c r="B1935" s="72" t="n">
        <v>45816.65416666667</v>
      </c>
      <c r="C1935" t="inlineStr">
        <is>
          <t>Valle del Cauca</t>
        </is>
      </c>
      <c r="D1935" t="inlineStr">
        <is>
          <t>Cali</t>
        </is>
      </c>
      <c r="E1935" t="inlineStr">
        <is>
          <t>Juguetes</t>
        </is>
      </c>
      <c r="F1935" t="inlineStr">
        <is>
          <t>Web</t>
        </is>
      </c>
      <c r="G1935" t="inlineStr">
        <is>
          <t>4. Compra</t>
        </is>
      </c>
      <c r="H1935" t="n">
        <v>4</v>
      </c>
      <c r="I1935" s="73" t="n">
        <v>111500</v>
      </c>
      <c r="J1935" s="73" t="n">
        <v>512900</v>
      </c>
      <c r="K1935" s="73" t="n">
        <v>343120</v>
      </c>
    </row>
    <row r="1936">
      <c r="A1936" t="n">
        <v>12343</v>
      </c>
      <c r="B1936" s="72" t="n">
        <v>45816.68402777778</v>
      </c>
      <c r="C1936" t="inlineStr">
        <is>
          <t>Atlántico</t>
        </is>
      </c>
      <c r="D1936" t="inlineStr">
        <is>
          <t>Barranquilla</t>
        </is>
      </c>
      <c r="E1936" t="inlineStr">
        <is>
          <t>Deportes</t>
        </is>
      </c>
      <c r="F1936" t="inlineStr">
        <is>
          <t>App</t>
        </is>
      </c>
      <c r="G1936" t="inlineStr">
        <is>
          <t>2. Carrito</t>
        </is>
      </c>
      <c r="H1936" t="n">
        <v>4</v>
      </c>
      <c r="I1936" s="73" t="n">
        <v>191200</v>
      </c>
      <c r="J1936" s="73" t="n">
        <v>879520</v>
      </c>
      <c r="K1936" s="73" t="n">
        <v>640542</v>
      </c>
    </row>
    <row r="1937">
      <c r="A1937" t="n">
        <v>10193</v>
      </c>
      <c r="B1937" s="72" t="n">
        <v>45816.75625</v>
      </c>
      <c r="C1937" t="inlineStr">
        <is>
          <t>Bogotá D.C.</t>
        </is>
      </c>
      <c r="D1937" t="inlineStr">
        <is>
          <t>Bogotá</t>
        </is>
      </c>
      <c r="E1937" t="inlineStr">
        <is>
          <t>Belleza</t>
        </is>
      </c>
      <c r="F1937" t="inlineStr">
        <is>
          <t>App</t>
        </is>
      </c>
      <c r="G1937" t="inlineStr">
        <is>
          <t>2. Carrito</t>
        </is>
      </c>
      <c r="H1937" t="n">
        <v>3</v>
      </c>
      <c r="I1937" s="73" t="n">
        <v>49100</v>
      </c>
      <c r="J1937" s="73" t="n">
        <v>169395</v>
      </c>
      <c r="K1937" s="73" t="n">
        <v>114535</v>
      </c>
    </row>
    <row r="1938">
      <c r="A1938" t="n">
        <v>11084</v>
      </c>
      <c r="B1938" s="72" t="n">
        <v>45817.13194444445</v>
      </c>
      <c r="C1938" t="inlineStr">
        <is>
          <t>Antioquia</t>
        </is>
      </c>
      <c r="D1938" t="inlineStr">
        <is>
          <t>Medellín</t>
        </is>
      </c>
      <c r="E1938" t="inlineStr">
        <is>
          <t>Moda</t>
        </is>
      </c>
      <c r="F1938" t="inlineStr">
        <is>
          <t>Marketplace</t>
        </is>
      </c>
      <c r="G1938" t="inlineStr">
        <is>
          <t>1. Visita</t>
        </is>
      </c>
      <c r="H1938" t="n">
        <v>4</v>
      </c>
      <c r="I1938" s="73" t="n">
        <v>150100</v>
      </c>
      <c r="J1938" s="73" t="n">
        <v>600400</v>
      </c>
      <c r="K1938" s="73" t="n">
        <v>385971</v>
      </c>
    </row>
    <row r="1939">
      <c r="A1939" t="n">
        <v>12238</v>
      </c>
      <c r="B1939" s="72" t="n">
        <v>45817.38194444445</v>
      </c>
      <c r="C1939" t="inlineStr">
        <is>
          <t>Santander</t>
        </is>
      </c>
      <c r="D1939" t="inlineStr">
        <is>
          <t>Bucaramanga</t>
        </is>
      </c>
      <c r="E1939" t="inlineStr">
        <is>
          <t>Moda</t>
        </is>
      </c>
      <c r="F1939" t="inlineStr">
        <is>
          <t>Tienda física</t>
        </is>
      </c>
      <c r="G1939" t="inlineStr">
        <is>
          <t>1. Visita</t>
        </is>
      </c>
      <c r="H1939" t="n">
        <v>2</v>
      </c>
      <c r="I1939" s="73" t="n">
        <v>120300</v>
      </c>
      <c r="J1939" s="73" t="n">
        <v>240600</v>
      </c>
      <c r="K1939" s="73" t="n">
        <v>169796</v>
      </c>
    </row>
    <row r="1940">
      <c r="A1940" t="n">
        <v>11787</v>
      </c>
      <c r="B1940" s="72" t="n">
        <v>45817.62083333333</v>
      </c>
      <c r="C1940" t="inlineStr">
        <is>
          <t>Atlántico</t>
        </is>
      </c>
      <c r="D1940" t="inlineStr">
        <is>
          <t>Barranquilla</t>
        </is>
      </c>
      <c r="E1940" t="inlineStr">
        <is>
          <t>Tecnología</t>
        </is>
      </c>
      <c r="F1940" t="inlineStr">
        <is>
          <t>App</t>
        </is>
      </c>
      <c r="G1940" t="inlineStr">
        <is>
          <t>3. Pago</t>
        </is>
      </c>
      <c r="H1940" t="n">
        <v>1</v>
      </c>
      <c r="I1940" s="73" t="n">
        <v>719200</v>
      </c>
      <c r="J1940" s="73" t="n">
        <v>719200</v>
      </c>
      <c r="K1940" s="73" t="n">
        <v>537420</v>
      </c>
    </row>
    <row r="1941">
      <c r="A1941" t="n">
        <v>10680</v>
      </c>
      <c r="B1941" s="72" t="n">
        <v>45817.65625</v>
      </c>
      <c r="C1941" t="inlineStr">
        <is>
          <t>Bogotá D.C.</t>
        </is>
      </c>
      <c r="D1941" t="inlineStr">
        <is>
          <t>Bogotá</t>
        </is>
      </c>
      <c r="E1941" t="inlineStr">
        <is>
          <t>Hogar</t>
        </is>
      </c>
      <c r="F1941" t="inlineStr">
        <is>
          <t>Marketplace</t>
        </is>
      </c>
      <c r="G1941" t="inlineStr">
        <is>
          <t>1. Visita</t>
        </is>
      </c>
      <c r="H1941" t="n">
        <v>2</v>
      </c>
      <c r="I1941" s="73" t="n">
        <v>213900</v>
      </c>
      <c r="J1941" s="73" t="n">
        <v>427800</v>
      </c>
      <c r="K1941" s="73" t="n">
        <v>298258</v>
      </c>
    </row>
    <row r="1942">
      <c r="A1942" t="n">
        <v>10550</v>
      </c>
      <c r="B1942" s="72" t="n">
        <v>45817.65972222222</v>
      </c>
      <c r="C1942" t="inlineStr">
        <is>
          <t>Santander</t>
        </is>
      </c>
      <c r="D1942" t="inlineStr">
        <is>
          <t>Bucaramanga</t>
        </is>
      </c>
      <c r="E1942" t="inlineStr">
        <is>
          <t>Tecnología</t>
        </is>
      </c>
      <c r="F1942" t="inlineStr">
        <is>
          <t>Web</t>
        </is>
      </c>
      <c r="G1942" t="inlineStr">
        <is>
          <t>1. Visita</t>
        </is>
      </c>
      <c r="H1942" t="n">
        <v>2</v>
      </c>
      <c r="I1942" s="73" t="n">
        <v>834200</v>
      </c>
      <c r="J1942" s="73" t="n">
        <v>1668400</v>
      </c>
      <c r="K1942" s="73" t="n">
        <v>1150942</v>
      </c>
    </row>
    <row r="1943">
      <c r="A1943" t="n">
        <v>11050</v>
      </c>
      <c r="B1943" s="72" t="n">
        <v>45817.91666666666</v>
      </c>
      <c r="C1943" t="inlineStr">
        <is>
          <t>Valle del Cauca</t>
        </is>
      </c>
      <c r="D1943" t="inlineStr">
        <is>
          <t>Cali</t>
        </is>
      </c>
      <c r="E1943" t="inlineStr">
        <is>
          <t>Juguetes</t>
        </is>
      </c>
      <c r="F1943" t="inlineStr">
        <is>
          <t>Tienda física</t>
        </is>
      </c>
      <c r="G1943" t="inlineStr">
        <is>
          <t>2. Carrito</t>
        </is>
      </c>
      <c r="H1943" t="n">
        <v>1</v>
      </c>
      <c r="I1943" s="73" t="n">
        <v>93700</v>
      </c>
      <c r="J1943" s="73" t="n">
        <v>93700</v>
      </c>
      <c r="K1943" s="73" t="n">
        <v>52299</v>
      </c>
    </row>
    <row r="1944">
      <c r="A1944" t="n">
        <v>10677</v>
      </c>
      <c r="B1944" s="72" t="n">
        <v>45818.25277777778</v>
      </c>
      <c r="C1944" t="inlineStr">
        <is>
          <t>Bogotá D.C.</t>
        </is>
      </c>
      <c r="D1944" t="inlineStr">
        <is>
          <t>Bogotá</t>
        </is>
      </c>
      <c r="E1944" t="inlineStr">
        <is>
          <t>Deportes</t>
        </is>
      </c>
      <c r="F1944" t="inlineStr">
        <is>
          <t>Marketplace</t>
        </is>
      </c>
      <c r="G1944" t="inlineStr">
        <is>
          <t>1. Visita</t>
        </is>
      </c>
      <c r="H1944" t="n">
        <v>3</v>
      </c>
      <c r="I1944" s="73" t="n">
        <v>129300</v>
      </c>
      <c r="J1944" s="73" t="n">
        <v>387900</v>
      </c>
      <c r="K1944" s="73" t="n">
        <v>273302</v>
      </c>
    </row>
    <row r="1945">
      <c r="A1945" t="n">
        <v>12182</v>
      </c>
      <c r="B1945" s="72" t="n">
        <v>45818.36388888889</v>
      </c>
      <c r="C1945" t="inlineStr">
        <is>
          <t>Bogotá D.C.</t>
        </is>
      </c>
      <c r="D1945" t="inlineStr">
        <is>
          <t>Bogotá</t>
        </is>
      </c>
      <c r="E1945" t="inlineStr">
        <is>
          <t>Deportes</t>
        </is>
      </c>
      <c r="F1945" t="inlineStr">
        <is>
          <t>Web</t>
        </is>
      </c>
      <c r="G1945" t="inlineStr">
        <is>
          <t>1. Visita</t>
        </is>
      </c>
      <c r="H1945" t="n">
        <v>2</v>
      </c>
      <c r="I1945" s="73" t="n">
        <v>152300</v>
      </c>
      <c r="J1945" s="73" t="n">
        <v>304600</v>
      </c>
      <c r="K1945" s="73" t="n">
        <v>215165</v>
      </c>
    </row>
    <row r="1946">
      <c r="A1946" t="n">
        <v>10781</v>
      </c>
      <c r="B1946" s="72" t="n">
        <v>45818.76388888889</v>
      </c>
      <c r="C1946" t="inlineStr">
        <is>
          <t>Bogotá D.C.</t>
        </is>
      </c>
      <c r="D1946" t="inlineStr">
        <is>
          <t>Bogotá</t>
        </is>
      </c>
      <c r="E1946" t="inlineStr">
        <is>
          <t>Deportes</t>
        </is>
      </c>
      <c r="F1946" t="inlineStr">
        <is>
          <t>Web</t>
        </is>
      </c>
      <c r="G1946" t="inlineStr">
        <is>
          <t>2. Carrito</t>
        </is>
      </c>
      <c r="H1946" t="n">
        <v>2</v>
      </c>
      <c r="I1946" s="73" t="n">
        <v>163100</v>
      </c>
      <c r="J1946" s="73" t="n">
        <v>326200</v>
      </c>
      <c r="K1946" s="73" t="n">
        <v>214531</v>
      </c>
    </row>
    <row r="1947">
      <c r="A1947" t="n">
        <v>11954</v>
      </c>
      <c r="B1947" s="72" t="n">
        <v>45818.76666666667</v>
      </c>
      <c r="C1947" t="inlineStr">
        <is>
          <t>Bogotá D.C.</t>
        </is>
      </c>
      <c r="D1947" t="inlineStr">
        <is>
          <t>Bogotá</t>
        </is>
      </c>
      <c r="E1947" t="inlineStr">
        <is>
          <t>Moda</t>
        </is>
      </c>
      <c r="F1947" t="inlineStr">
        <is>
          <t>Marketplace</t>
        </is>
      </c>
      <c r="G1947" t="inlineStr">
        <is>
          <t>3. Pago</t>
        </is>
      </c>
      <c r="H1947" t="n">
        <v>3</v>
      </c>
      <c r="I1947" s="73" t="n">
        <v>134200</v>
      </c>
      <c r="J1947" s="73" t="n">
        <v>402600</v>
      </c>
      <c r="K1947" s="73" t="n">
        <v>266688</v>
      </c>
    </row>
    <row r="1948">
      <c r="A1948" t="n">
        <v>10242</v>
      </c>
      <c r="B1948" s="72" t="n">
        <v>45818.92638888889</v>
      </c>
      <c r="C1948" t="inlineStr">
        <is>
          <t>Antioquia</t>
        </is>
      </c>
      <c r="D1948" t="inlineStr">
        <is>
          <t>Medellín</t>
        </is>
      </c>
      <c r="E1948" t="inlineStr">
        <is>
          <t>Deportes</t>
        </is>
      </c>
      <c r="F1948" t="inlineStr">
        <is>
          <t>Web</t>
        </is>
      </c>
      <c r="G1948" t="inlineStr">
        <is>
          <t>2. Carrito</t>
        </is>
      </c>
      <c r="H1948" t="n">
        <v>4</v>
      </c>
      <c r="I1948" s="73" t="n">
        <v>136600</v>
      </c>
      <c r="J1948" s="73" t="n">
        <v>546400</v>
      </c>
      <c r="K1948" s="73" t="n">
        <v>323748</v>
      </c>
    </row>
    <row r="1949">
      <c r="A1949" t="n">
        <v>12216</v>
      </c>
      <c r="B1949" s="72" t="n">
        <v>45819.025</v>
      </c>
      <c r="C1949" t="inlineStr">
        <is>
          <t>Nariño</t>
        </is>
      </c>
      <c r="D1949" t="inlineStr">
        <is>
          <t>Pasto</t>
        </is>
      </c>
      <c r="E1949" t="inlineStr">
        <is>
          <t>Tecnología</t>
        </is>
      </c>
      <c r="F1949" t="inlineStr">
        <is>
          <t>App</t>
        </is>
      </c>
      <c r="G1949" t="inlineStr">
        <is>
          <t>4. Compra</t>
        </is>
      </c>
      <c r="H1949" t="n">
        <v>4</v>
      </c>
      <c r="I1949" s="73" t="n">
        <v>880300</v>
      </c>
      <c r="J1949" s="73" t="n">
        <v>3521200</v>
      </c>
      <c r="K1949" s="73" t="n">
        <v>2169393</v>
      </c>
    </row>
    <row r="1950">
      <c r="A1950" t="n">
        <v>11143</v>
      </c>
      <c r="B1950" s="72" t="n">
        <v>45819.15138888889</v>
      </c>
      <c r="C1950" t="inlineStr">
        <is>
          <t>Nariño</t>
        </is>
      </c>
      <c r="D1950" t="inlineStr">
        <is>
          <t>Pasto</t>
        </is>
      </c>
      <c r="E1950" t="inlineStr">
        <is>
          <t>Hogar</t>
        </is>
      </c>
      <c r="F1950" t="inlineStr">
        <is>
          <t>App</t>
        </is>
      </c>
      <c r="G1950" t="inlineStr">
        <is>
          <t>1. Visita</t>
        </is>
      </c>
      <c r="H1950" t="n">
        <v>1</v>
      </c>
      <c r="I1950" s="73" t="n">
        <v>233900</v>
      </c>
      <c r="J1950" s="73" t="n">
        <v>233900</v>
      </c>
      <c r="K1950" s="73" t="n">
        <v>164811</v>
      </c>
    </row>
    <row r="1951">
      <c r="A1951" t="n">
        <v>12284</v>
      </c>
      <c r="B1951" s="72" t="n">
        <v>45819.45416666667</v>
      </c>
      <c r="C1951" t="inlineStr">
        <is>
          <t>Atlántico</t>
        </is>
      </c>
      <c r="D1951" t="inlineStr">
        <is>
          <t>Barranquilla</t>
        </is>
      </c>
      <c r="E1951" t="inlineStr">
        <is>
          <t>Moda</t>
        </is>
      </c>
      <c r="F1951" t="inlineStr">
        <is>
          <t>Web</t>
        </is>
      </c>
      <c r="G1951" t="inlineStr">
        <is>
          <t>4. Compra</t>
        </is>
      </c>
      <c r="H1951" t="n">
        <v>4</v>
      </c>
      <c r="I1951" s="73" t="n">
        <v>84400</v>
      </c>
      <c r="J1951" s="73" t="n">
        <v>337600</v>
      </c>
      <c r="K1951" s="73" t="n">
        <v>243082</v>
      </c>
    </row>
    <row r="1952">
      <c r="A1952" t="n">
        <v>10667</v>
      </c>
      <c r="B1952" s="72" t="n">
        <v>45819.45486111111</v>
      </c>
      <c r="C1952" t="inlineStr">
        <is>
          <t>Bogotá D.C.</t>
        </is>
      </c>
      <c r="D1952" t="inlineStr">
        <is>
          <t>Bogotá</t>
        </is>
      </c>
      <c r="E1952" t="inlineStr">
        <is>
          <t>Deportes</t>
        </is>
      </c>
      <c r="F1952" t="inlineStr">
        <is>
          <t>App</t>
        </is>
      </c>
      <c r="G1952" t="inlineStr">
        <is>
          <t>4. Compra</t>
        </is>
      </c>
      <c r="H1952" t="n">
        <v>2</v>
      </c>
      <c r="I1952" s="73" t="n">
        <v>189100</v>
      </c>
      <c r="J1952" s="73" t="n">
        <v>378200</v>
      </c>
      <c r="K1952" s="73" t="n">
        <v>251361</v>
      </c>
    </row>
    <row r="1953">
      <c r="A1953" t="n">
        <v>11170</v>
      </c>
      <c r="B1953" s="72" t="n">
        <v>45819.86875</v>
      </c>
      <c r="C1953" t="inlineStr">
        <is>
          <t>Meta</t>
        </is>
      </c>
      <c r="D1953" t="inlineStr">
        <is>
          <t>Villavicencio</t>
        </is>
      </c>
      <c r="E1953" t="inlineStr">
        <is>
          <t>Tecnología</t>
        </is>
      </c>
      <c r="F1953" t="inlineStr">
        <is>
          <t>App</t>
        </is>
      </c>
      <c r="G1953" t="inlineStr">
        <is>
          <t>4. Compra</t>
        </is>
      </c>
      <c r="H1953" t="n">
        <v>1</v>
      </c>
      <c r="I1953" s="73" t="n">
        <v>980000</v>
      </c>
      <c r="J1953" s="73" t="n">
        <v>980000</v>
      </c>
      <c r="K1953" s="73" t="n">
        <v>595956</v>
      </c>
    </row>
    <row r="1954">
      <c r="A1954" t="n">
        <v>10377</v>
      </c>
      <c r="B1954" s="72" t="n">
        <v>45820.20347222222</v>
      </c>
      <c r="C1954" t="inlineStr">
        <is>
          <t>Valle del Cauca</t>
        </is>
      </c>
      <c r="D1954" t="inlineStr">
        <is>
          <t>Cali</t>
        </is>
      </c>
      <c r="E1954" t="inlineStr">
        <is>
          <t>Tecnología</t>
        </is>
      </c>
      <c r="F1954" t="inlineStr">
        <is>
          <t>Web</t>
        </is>
      </c>
      <c r="G1954" t="inlineStr">
        <is>
          <t>1. Visita</t>
        </is>
      </c>
      <c r="H1954" t="n">
        <v>4</v>
      </c>
      <c r="I1954" s="73" t="n">
        <v>1063800</v>
      </c>
      <c r="J1954" s="73" t="n">
        <v>4255200</v>
      </c>
      <c r="K1954" s="73" t="n">
        <v>2448362</v>
      </c>
    </row>
    <row r="1955">
      <c r="A1955" t="n">
        <v>10479</v>
      </c>
      <c r="B1955" s="72" t="n">
        <v>45820.4875</v>
      </c>
      <c r="C1955" t="inlineStr">
        <is>
          <t>Nariño</t>
        </is>
      </c>
      <c r="D1955" t="inlineStr">
        <is>
          <t>Pasto</t>
        </is>
      </c>
      <c r="E1955" t="inlineStr">
        <is>
          <t>Hogar</t>
        </is>
      </c>
      <c r="F1955" t="inlineStr">
        <is>
          <t>Marketplace</t>
        </is>
      </c>
      <c r="G1955" t="inlineStr">
        <is>
          <t>2. Carrito</t>
        </is>
      </c>
      <c r="H1955" t="n">
        <v>3</v>
      </c>
      <c r="I1955" s="73" t="n">
        <v>173100</v>
      </c>
      <c r="J1955" s="73" t="n">
        <v>519300</v>
      </c>
      <c r="K1955" s="73" t="n">
        <v>356526</v>
      </c>
    </row>
    <row r="1956">
      <c r="A1956" t="n">
        <v>10741</v>
      </c>
      <c r="B1956" s="72" t="n">
        <v>45820.83472222222</v>
      </c>
      <c r="C1956" t="inlineStr">
        <is>
          <t>Bolívar</t>
        </is>
      </c>
      <c r="D1956" t="inlineStr">
        <is>
          <t>Cartagena</t>
        </is>
      </c>
      <c r="E1956" t="inlineStr">
        <is>
          <t>Deportes</t>
        </is>
      </c>
      <c r="F1956" t="inlineStr">
        <is>
          <t>Tienda física</t>
        </is>
      </c>
      <c r="G1956" t="inlineStr">
        <is>
          <t>4. Compra</t>
        </is>
      </c>
      <c r="H1956" t="n">
        <v>5</v>
      </c>
      <c r="I1956" s="73" t="n">
        <v>140600</v>
      </c>
      <c r="J1956" s="73" t="n">
        <v>703000</v>
      </c>
      <c r="K1956" s="73" t="n">
        <v>498621</v>
      </c>
    </row>
    <row r="1957">
      <c r="A1957" t="n">
        <v>11198</v>
      </c>
      <c r="B1957" s="72" t="n">
        <v>45820.99444444444</v>
      </c>
      <c r="C1957" t="inlineStr">
        <is>
          <t>Bolívar</t>
        </is>
      </c>
      <c r="D1957" t="inlineStr">
        <is>
          <t>Cartagena</t>
        </is>
      </c>
      <c r="E1957" t="inlineStr">
        <is>
          <t>Deportes</t>
        </is>
      </c>
      <c r="F1957" t="inlineStr">
        <is>
          <t>Marketplace</t>
        </is>
      </c>
      <c r="G1957" t="inlineStr">
        <is>
          <t>1. Visita</t>
        </is>
      </c>
      <c r="H1957" t="n">
        <v>5</v>
      </c>
      <c r="I1957" s="73" t="n">
        <v>126700</v>
      </c>
      <c r="J1957" s="73" t="n">
        <v>633500</v>
      </c>
      <c r="K1957" s="73" t="n">
        <v>376232</v>
      </c>
    </row>
    <row r="1958">
      <c r="A1958" t="n">
        <v>10302</v>
      </c>
      <c r="B1958" s="72" t="n">
        <v>45821.40138888889</v>
      </c>
      <c r="C1958" t="inlineStr">
        <is>
          <t>Bolívar</t>
        </is>
      </c>
      <c r="D1958" t="inlineStr">
        <is>
          <t>Cartagena</t>
        </is>
      </c>
      <c r="E1958" t="inlineStr">
        <is>
          <t>Belleza</t>
        </is>
      </c>
      <c r="F1958" t="inlineStr">
        <is>
          <t>Web</t>
        </is>
      </c>
      <c r="G1958" t="inlineStr">
        <is>
          <t>1. Visita</t>
        </is>
      </c>
      <c r="H1958" t="n">
        <v>4</v>
      </c>
      <c r="I1958" s="73" t="n">
        <v>88200</v>
      </c>
      <c r="J1958" s="73" t="n">
        <v>405720</v>
      </c>
      <c r="K1958" s="73" t="n">
        <v>269459</v>
      </c>
    </row>
    <row r="1959">
      <c r="A1959" t="n">
        <v>11475</v>
      </c>
      <c r="B1959" s="72" t="n">
        <v>45821.54027777778</v>
      </c>
      <c r="C1959" t="inlineStr">
        <is>
          <t>Bolívar</t>
        </is>
      </c>
      <c r="D1959" t="inlineStr">
        <is>
          <t>Cartagena</t>
        </is>
      </c>
      <c r="E1959" t="inlineStr">
        <is>
          <t>Tecnología</t>
        </is>
      </c>
      <c r="F1959" t="inlineStr">
        <is>
          <t>App</t>
        </is>
      </c>
      <c r="G1959" t="inlineStr">
        <is>
          <t>1. Visita</t>
        </is>
      </c>
      <c r="H1959" t="n">
        <v>1</v>
      </c>
      <c r="I1959" s="73" t="n">
        <v>937200</v>
      </c>
      <c r="J1959" s="73" t="n">
        <v>1077780</v>
      </c>
      <c r="K1959" s="73" t="n">
        <v>785892</v>
      </c>
    </row>
    <row r="1960">
      <c r="A1960" t="n">
        <v>10130</v>
      </c>
      <c r="B1960" s="72" t="n">
        <v>45821.55763888889</v>
      </c>
      <c r="C1960" t="inlineStr">
        <is>
          <t>Bogotá D.C.</t>
        </is>
      </c>
      <c r="D1960" t="inlineStr">
        <is>
          <t>Bogotá</t>
        </is>
      </c>
      <c r="E1960" t="inlineStr">
        <is>
          <t>Belleza</t>
        </is>
      </c>
      <c r="F1960" t="inlineStr">
        <is>
          <t>Web</t>
        </is>
      </c>
      <c r="G1960" t="inlineStr">
        <is>
          <t>1. Visita</t>
        </is>
      </c>
      <c r="H1960" t="n">
        <v>5</v>
      </c>
      <c r="I1960" s="73" t="n">
        <v>61200</v>
      </c>
      <c r="J1960" s="73" t="n">
        <v>351900</v>
      </c>
      <c r="K1960" s="73" t="n">
        <v>260385</v>
      </c>
    </row>
    <row r="1961">
      <c r="A1961" t="n">
        <v>10590</v>
      </c>
      <c r="B1961" s="72" t="n">
        <v>45821.7625</v>
      </c>
      <c r="C1961" t="inlineStr">
        <is>
          <t>Huila</t>
        </is>
      </c>
      <c r="D1961" t="inlineStr">
        <is>
          <t>Neiva</t>
        </is>
      </c>
      <c r="E1961" t="inlineStr">
        <is>
          <t>Moda</t>
        </is>
      </c>
      <c r="F1961" t="inlineStr">
        <is>
          <t>Web</t>
        </is>
      </c>
      <c r="G1961" t="inlineStr">
        <is>
          <t>2. Carrito</t>
        </is>
      </c>
      <c r="H1961" t="n">
        <v>5</v>
      </c>
      <c r="I1961" s="73" t="n">
        <v>104300</v>
      </c>
      <c r="J1961" s="73" t="n">
        <v>599725</v>
      </c>
      <c r="K1961" s="73" t="n">
        <v>431697</v>
      </c>
    </row>
    <row r="1962">
      <c r="A1962" t="n">
        <v>10198</v>
      </c>
      <c r="B1962" s="72" t="n">
        <v>45821.76805555556</v>
      </c>
      <c r="C1962" t="inlineStr">
        <is>
          <t>Bogotá D.C.</t>
        </is>
      </c>
      <c r="D1962" t="inlineStr">
        <is>
          <t>Bogotá</t>
        </is>
      </c>
      <c r="E1962" t="inlineStr">
        <is>
          <t>Moda</t>
        </is>
      </c>
      <c r="F1962" t="inlineStr">
        <is>
          <t>Web</t>
        </is>
      </c>
      <c r="G1962" t="inlineStr">
        <is>
          <t>1. Visita</t>
        </is>
      </c>
      <c r="H1962" t="n">
        <v>2</v>
      </c>
      <c r="I1962" s="73" t="n">
        <v>141900</v>
      </c>
      <c r="J1962" s="73" t="n">
        <v>326370</v>
      </c>
      <c r="K1962" s="73" t="n">
        <v>232930</v>
      </c>
    </row>
    <row r="1963">
      <c r="A1963" t="n">
        <v>12383</v>
      </c>
      <c r="B1963" s="72" t="n">
        <v>45821.80972222222</v>
      </c>
      <c r="C1963" t="inlineStr">
        <is>
          <t>Atlántico</t>
        </is>
      </c>
      <c r="D1963" t="inlineStr">
        <is>
          <t>Barranquilla</t>
        </is>
      </c>
      <c r="E1963" t="inlineStr">
        <is>
          <t>Tecnología</t>
        </is>
      </c>
      <c r="F1963" t="inlineStr">
        <is>
          <t>App</t>
        </is>
      </c>
      <c r="G1963" t="inlineStr">
        <is>
          <t>1. Visita</t>
        </is>
      </c>
      <c r="H1963" t="n">
        <v>5</v>
      </c>
      <c r="I1963" s="73" t="n">
        <v>1050300</v>
      </c>
      <c r="J1963" s="73" t="n">
        <v>6039225</v>
      </c>
      <c r="K1963" s="73" t="n">
        <v>3488494</v>
      </c>
    </row>
    <row r="1964">
      <c r="A1964" t="n">
        <v>10303</v>
      </c>
      <c r="B1964" s="72" t="n">
        <v>45821.83541666667</v>
      </c>
      <c r="C1964" t="inlineStr">
        <is>
          <t>Bogotá D.C.</t>
        </is>
      </c>
      <c r="D1964" t="inlineStr">
        <is>
          <t>Bogotá</t>
        </is>
      </c>
      <c r="E1964" t="inlineStr">
        <is>
          <t>Juguetes</t>
        </is>
      </c>
      <c r="F1964" t="inlineStr">
        <is>
          <t>Tienda física</t>
        </is>
      </c>
      <c r="G1964" t="inlineStr">
        <is>
          <t>1. Visita</t>
        </is>
      </c>
      <c r="H1964" t="n">
        <v>1</v>
      </c>
      <c r="I1964" s="73" t="n">
        <v>71000</v>
      </c>
      <c r="J1964" s="73" t="n">
        <v>81650</v>
      </c>
      <c r="K1964" s="73" t="n">
        <v>51792</v>
      </c>
    </row>
    <row r="1965">
      <c r="A1965" t="n">
        <v>10705</v>
      </c>
      <c r="B1965" s="72" t="n">
        <v>45821.84583333333</v>
      </c>
      <c r="C1965" t="inlineStr">
        <is>
          <t>Atlántico</t>
        </is>
      </c>
      <c r="D1965" t="inlineStr">
        <is>
          <t>Barranquilla</t>
        </is>
      </c>
      <c r="E1965" t="inlineStr">
        <is>
          <t>Juguetes</t>
        </is>
      </c>
      <c r="F1965" t="inlineStr">
        <is>
          <t>Web</t>
        </is>
      </c>
      <c r="G1965" t="inlineStr">
        <is>
          <t>1. Visita</t>
        </is>
      </c>
      <c r="H1965" t="n">
        <v>5</v>
      </c>
      <c r="I1965" s="73" t="n">
        <v>89000</v>
      </c>
      <c r="J1965" s="73" t="n">
        <v>511750</v>
      </c>
      <c r="K1965" s="73" t="n">
        <v>290105</v>
      </c>
    </row>
    <row r="1966">
      <c r="A1966" t="n">
        <v>11558</v>
      </c>
      <c r="B1966" s="72" t="n">
        <v>45822.47222222222</v>
      </c>
      <c r="C1966" t="inlineStr">
        <is>
          <t>Antioquia</t>
        </is>
      </c>
      <c r="D1966" t="inlineStr">
        <is>
          <t>Medellín</t>
        </is>
      </c>
      <c r="E1966" t="inlineStr">
        <is>
          <t>Deportes</t>
        </is>
      </c>
      <c r="F1966" t="inlineStr">
        <is>
          <t>App</t>
        </is>
      </c>
      <c r="G1966" t="inlineStr">
        <is>
          <t>4. Compra</t>
        </is>
      </c>
      <c r="H1966" t="n">
        <v>5</v>
      </c>
      <c r="I1966" s="73" t="n">
        <v>196200</v>
      </c>
      <c r="J1966" s="73" t="n">
        <v>1128150</v>
      </c>
      <c r="K1966" s="73" t="n">
        <v>693205</v>
      </c>
    </row>
    <row r="1967">
      <c r="A1967" t="n">
        <v>10335</v>
      </c>
      <c r="B1967" s="72" t="n">
        <v>45822.58958333333</v>
      </c>
      <c r="C1967" t="inlineStr">
        <is>
          <t>Valle del Cauca</t>
        </is>
      </c>
      <c r="D1967" t="inlineStr">
        <is>
          <t>Cali</t>
        </is>
      </c>
      <c r="E1967" t="inlineStr">
        <is>
          <t>Hogar</t>
        </is>
      </c>
      <c r="F1967" t="inlineStr">
        <is>
          <t>Web</t>
        </is>
      </c>
      <c r="G1967" t="inlineStr">
        <is>
          <t>1. Visita</t>
        </is>
      </c>
      <c r="H1967" t="n">
        <v>5</v>
      </c>
      <c r="I1967" s="73" t="n">
        <v>221400</v>
      </c>
      <c r="J1967" s="73" t="n">
        <v>1273050</v>
      </c>
      <c r="K1967" s="73" t="n">
        <v>836700</v>
      </c>
    </row>
    <row r="1968">
      <c r="A1968" t="n">
        <v>11855</v>
      </c>
      <c r="B1968" s="72" t="n">
        <v>45822.62291666667</v>
      </c>
      <c r="C1968" t="inlineStr">
        <is>
          <t>Valle del Cauca</t>
        </is>
      </c>
      <c r="D1968" t="inlineStr">
        <is>
          <t>Cali</t>
        </is>
      </c>
      <c r="E1968" t="inlineStr">
        <is>
          <t>Hogar</t>
        </is>
      </c>
      <c r="F1968" t="inlineStr">
        <is>
          <t>App</t>
        </is>
      </c>
      <c r="G1968" t="inlineStr">
        <is>
          <t>2. Carrito</t>
        </is>
      </c>
      <c r="H1968" t="n">
        <v>1</v>
      </c>
      <c r="I1968" s="73" t="n">
        <v>262200</v>
      </c>
      <c r="J1968" s="73" t="n">
        <v>301530</v>
      </c>
      <c r="K1968" s="73" t="n">
        <v>212282</v>
      </c>
    </row>
    <row r="1969">
      <c r="A1969" t="n">
        <v>11082</v>
      </c>
      <c r="B1969" s="72" t="n">
        <v>45822.87361111111</v>
      </c>
      <c r="C1969" t="inlineStr">
        <is>
          <t>Antioquia</t>
        </is>
      </c>
      <c r="D1969" t="inlineStr">
        <is>
          <t>Medellín</t>
        </is>
      </c>
      <c r="E1969" t="inlineStr">
        <is>
          <t>Belleza</t>
        </is>
      </c>
      <c r="F1969" t="inlineStr">
        <is>
          <t>Web</t>
        </is>
      </c>
      <c r="G1969" t="inlineStr">
        <is>
          <t>3. Pago</t>
        </is>
      </c>
      <c r="H1969" t="n">
        <v>5</v>
      </c>
      <c r="I1969" s="73" t="n">
        <v>52000</v>
      </c>
      <c r="J1969" s="73" t="n">
        <v>299000</v>
      </c>
      <c r="K1969" s="73" t="n">
        <v>166045</v>
      </c>
    </row>
    <row r="1970">
      <c r="A1970" t="n">
        <v>10300</v>
      </c>
      <c r="B1970" s="72" t="n">
        <v>45823.74375</v>
      </c>
      <c r="C1970" t="inlineStr">
        <is>
          <t>Valle del Cauca</t>
        </is>
      </c>
      <c r="D1970" t="inlineStr">
        <is>
          <t>Cali</t>
        </is>
      </c>
      <c r="E1970" t="inlineStr">
        <is>
          <t>Deportes</t>
        </is>
      </c>
      <c r="F1970" t="inlineStr">
        <is>
          <t>Web</t>
        </is>
      </c>
      <c r="G1970" t="inlineStr">
        <is>
          <t>1. Visita</t>
        </is>
      </c>
      <c r="H1970" t="n">
        <v>5</v>
      </c>
      <c r="I1970" s="73" t="n">
        <v>165700</v>
      </c>
      <c r="J1970" s="73" t="n">
        <v>952775</v>
      </c>
      <c r="K1970" s="73" t="n">
        <v>629913</v>
      </c>
    </row>
    <row r="1971">
      <c r="A1971" t="n">
        <v>10336</v>
      </c>
      <c r="B1971" s="72" t="n">
        <v>45823.78263888889</v>
      </c>
      <c r="C1971" t="inlineStr">
        <is>
          <t>Atlántico</t>
        </is>
      </c>
      <c r="D1971" t="inlineStr">
        <is>
          <t>Barranquilla</t>
        </is>
      </c>
      <c r="E1971" t="inlineStr">
        <is>
          <t>Deportes</t>
        </is>
      </c>
      <c r="F1971" t="inlineStr">
        <is>
          <t>Web</t>
        </is>
      </c>
      <c r="G1971" t="inlineStr">
        <is>
          <t>1. Visita</t>
        </is>
      </c>
      <c r="H1971" t="n">
        <v>2</v>
      </c>
      <c r="I1971" s="73" t="n">
        <v>166800</v>
      </c>
      <c r="J1971" s="73" t="n">
        <v>383640</v>
      </c>
      <c r="K1971" s="73" t="n">
        <v>269208</v>
      </c>
    </row>
    <row r="1972">
      <c r="A1972" t="n">
        <v>10264</v>
      </c>
      <c r="B1972" s="72" t="n">
        <v>45823.96388888889</v>
      </c>
      <c r="C1972" t="inlineStr">
        <is>
          <t>Bogotá D.C.</t>
        </is>
      </c>
      <c r="D1972" t="inlineStr">
        <is>
          <t>Bogotá</t>
        </is>
      </c>
      <c r="E1972" t="inlineStr">
        <is>
          <t>Hogar</t>
        </is>
      </c>
      <c r="F1972" t="inlineStr">
        <is>
          <t>Marketplace</t>
        </is>
      </c>
      <c r="G1972" t="inlineStr">
        <is>
          <t>2. Carrito</t>
        </is>
      </c>
      <c r="H1972" t="n">
        <v>2</v>
      </c>
      <c r="I1972" s="73" t="n">
        <v>176500</v>
      </c>
      <c r="J1972" s="73" t="n">
        <v>405950</v>
      </c>
      <c r="K1972" s="73" t="n">
        <v>268193</v>
      </c>
    </row>
    <row r="1973">
      <c r="A1973" t="n">
        <v>11759</v>
      </c>
      <c r="B1973" s="72" t="n">
        <v>45824.69097222222</v>
      </c>
      <c r="C1973" t="inlineStr">
        <is>
          <t>Bolívar</t>
        </is>
      </c>
      <c r="D1973" t="inlineStr">
        <is>
          <t>Cartagena</t>
        </is>
      </c>
      <c r="E1973" t="inlineStr">
        <is>
          <t>Hogar</t>
        </is>
      </c>
      <c r="F1973" t="inlineStr">
        <is>
          <t>App</t>
        </is>
      </c>
      <c r="G1973" t="inlineStr">
        <is>
          <t>1. Visita</t>
        </is>
      </c>
      <c r="H1973" t="n">
        <v>4</v>
      </c>
      <c r="I1973" s="73" t="n">
        <v>241400</v>
      </c>
      <c r="J1973" s="73" t="n">
        <v>965600</v>
      </c>
      <c r="K1973" s="73" t="n">
        <v>662921</v>
      </c>
    </row>
    <row r="1974">
      <c r="A1974" t="n">
        <v>10385</v>
      </c>
      <c r="B1974" s="72" t="n">
        <v>45824.81875</v>
      </c>
      <c r="C1974" t="inlineStr">
        <is>
          <t>Valle del Cauca</t>
        </is>
      </c>
      <c r="D1974" t="inlineStr">
        <is>
          <t>Cali</t>
        </is>
      </c>
      <c r="E1974" t="inlineStr">
        <is>
          <t>Deportes</t>
        </is>
      </c>
      <c r="F1974" t="inlineStr">
        <is>
          <t>Web</t>
        </is>
      </c>
      <c r="G1974" t="inlineStr">
        <is>
          <t>1. Visita</t>
        </is>
      </c>
      <c r="H1974" t="n">
        <v>3</v>
      </c>
      <c r="I1974" s="73" t="n">
        <v>187000</v>
      </c>
      <c r="J1974" s="73" t="n">
        <v>561000</v>
      </c>
      <c r="K1974" s="73" t="n">
        <v>410778</v>
      </c>
    </row>
    <row r="1975">
      <c r="A1975" t="n">
        <v>12399</v>
      </c>
      <c r="B1975" s="72" t="n">
        <v>45824.87222222222</v>
      </c>
      <c r="C1975" t="inlineStr">
        <is>
          <t>Bogotá D.C.</t>
        </is>
      </c>
      <c r="D1975" t="inlineStr">
        <is>
          <t>Bogotá</t>
        </is>
      </c>
      <c r="E1975" t="inlineStr">
        <is>
          <t>Tecnología</t>
        </is>
      </c>
      <c r="F1975" t="inlineStr">
        <is>
          <t>App</t>
        </is>
      </c>
      <c r="G1975" t="inlineStr">
        <is>
          <t>2. Carrito</t>
        </is>
      </c>
      <c r="H1975" t="n">
        <v>2</v>
      </c>
      <c r="I1975" s="73" t="n">
        <v>620400</v>
      </c>
      <c r="J1975" s="73" t="n">
        <v>1240800</v>
      </c>
      <c r="K1975" s="73" t="n">
        <v>688532</v>
      </c>
    </row>
    <row r="1976">
      <c r="A1976" t="n">
        <v>10054</v>
      </c>
      <c r="B1976" s="72" t="n">
        <v>45824.93958333333</v>
      </c>
      <c r="C1976" t="inlineStr">
        <is>
          <t>Antioquia</t>
        </is>
      </c>
      <c r="D1976" t="inlineStr">
        <is>
          <t>Medellín</t>
        </is>
      </c>
      <c r="E1976" t="inlineStr">
        <is>
          <t>Belleza</t>
        </is>
      </c>
      <c r="F1976" t="inlineStr">
        <is>
          <t>App</t>
        </is>
      </c>
      <c r="G1976" t="inlineStr">
        <is>
          <t>2. Carrito</t>
        </is>
      </c>
      <c r="H1976" t="n">
        <v>3</v>
      </c>
      <c r="I1976" s="73" t="n">
        <v>62600</v>
      </c>
      <c r="J1976" s="73" t="n">
        <v>187800</v>
      </c>
      <c r="K1976" s="73" t="n">
        <v>122537</v>
      </c>
    </row>
    <row r="1977">
      <c r="A1977" t="n">
        <v>11517</v>
      </c>
      <c r="B1977" s="72" t="n">
        <v>45825.42916666667</v>
      </c>
      <c r="C1977" t="inlineStr">
        <is>
          <t>Nariño</t>
        </is>
      </c>
      <c r="D1977" t="inlineStr">
        <is>
          <t>Pasto</t>
        </is>
      </c>
      <c r="E1977" t="inlineStr">
        <is>
          <t>Tecnología</t>
        </is>
      </c>
      <c r="F1977" t="inlineStr">
        <is>
          <t>App</t>
        </is>
      </c>
      <c r="G1977" t="inlineStr">
        <is>
          <t>1. Visita</t>
        </is>
      </c>
      <c r="H1977" t="n">
        <v>1</v>
      </c>
      <c r="I1977" s="73" t="n">
        <v>988900</v>
      </c>
      <c r="J1977" s="73" t="n">
        <v>988900</v>
      </c>
      <c r="K1977" s="73" t="n">
        <v>546838</v>
      </c>
    </row>
    <row r="1978">
      <c r="A1978" t="n">
        <v>11323</v>
      </c>
      <c r="B1978" s="72" t="n">
        <v>45825.95069444444</v>
      </c>
      <c r="C1978" t="inlineStr">
        <is>
          <t>Bogotá D.C.</t>
        </is>
      </c>
      <c r="D1978" t="inlineStr">
        <is>
          <t>Bogotá</t>
        </is>
      </c>
      <c r="E1978" t="inlineStr">
        <is>
          <t>Juguetes</t>
        </is>
      </c>
      <c r="F1978" t="inlineStr">
        <is>
          <t>Marketplace</t>
        </is>
      </c>
      <c r="G1978" t="inlineStr">
        <is>
          <t>3. Pago</t>
        </is>
      </c>
      <c r="H1978" t="n">
        <v>1</v>
      </c>
      <c r="I1978" s="73" t="n">
        <v>75800</v>
      </c>
      <c r="J1978" s="73" t="n">
        <v>75800</v>
      </c>
      <c r="K1978" s="73" t="n">
        <v>43139</v>
      </c>
    </row>
    <row r="1979">
      <c r="A1979" t="n">
        <v>10917</v>
      </c>
      <c r="B1979" s="72" t="n">
        <v>45826.69375</v>
      </c>
      <c r="C1979" t="inlineStr">
        <is>
          <t>Antioquia</t>
        </is>
      </c>
      <c r="D1979" t="inlineStr">
        <is>
          <t>Medellín</t>
        </is>
      </c>
      <c r="E1979" t="inlineStr">
        <is>
          <t>Tecnología</t>
        </is>
      </c>
      <c r="F1979" t="inlineStr">
        <is>
          <t>Marketplace</t>
        </is>
      </c>
      <c r="G1979" t="inlineStr">
        <is>
          <t>2. Carrito</t>
        </is>
      </c>
      <c r="H1979" t="n">
        <v>5</v>
      </c>
      <c r="I1979" s="73" t="n">
        <v>597300</v>
      </c>
      <c r="J1979" s="73" t="n">
        <v>2986500</v>
      </c>
      <c r="K1979" s="73" t="n">
        <v>2235266</v>
      </c>
    </row>
    <row r="1980">
      <c r="A1980" t="n">
        <v>12084</v>
      </c>
      <c r="B1980" s="72" t="n">
        <v>45826.88194444445</v>
      </c>
      <c r="C1980" t="inlineStr">
        <is>
          <t>Bogotá D.C.</t>
        </is>
      </c>
      <c r="D1980" t="inlineStr">
        <is>
          <t>Bogotá</t>
        </is>
      </c>
      <c r="E1980" t="inlineStr">
        <is>
          <t>Juguetes</t>
        </is>
      </c>
      <c r="F1980" t="inlineStr">
        <is>
          <t>Web</t>
        </is>
      </c>
      <c r="G1980" t="inlineStr">
        <is>
          <t>3. Pago</t>
        </is>
      </c>
      <c r="H1980" t="n">
        <v>4</v>
      </c>
      <c r="I1980" s="73" t="n">
        <v>87900</v>
      </c>
      <c r="J1980" s="73" t="n">
        <v>351600</v>
      </c>
      <c r="K1980" s="73" t="n">
        <v>251815</v>
      </c>
    </row>
    <row r="1981">
      <c r="A1981" t="n">
        <v>11744</v>
      </c>
      <c r="B1981" s="72" t="n">
        <v>45826.89583333334</v>
      </c>
      <c r="C1981" t="inlineStr">
        <is>
          <t>Bogotá D.C.</t>
        </is>
      </c>
      <c r="D1981" t="inlineStr">
        <is>
          <t>Bogotá</t>
        </is>
      </c>
      <c r="E1981" t="inlineStr">
        <is>
          <t>Tecnología</t>
        </is>
      </c>
      <c r="F1981" t="inlineStr">
        <is>
          <t>Web</t>
        </is>
      </c>
      <c r="G1981" t="inlineStr">
        <is>
          <t>2. Carrito</t>
        </is>
      </c>
      <c r="H1981" t="n">
        <v>2</v>
      </c>
      <c r="I1981" s="73" t="n">
        <v>970900</v>
      </c>
      <c r="J1981" s="73" t="n">
        <v>1941800</v>
      </c>
      <c r="K1981" s="73" t="n">
        <v>1105025</v>
      </c>
    </row>
    <row r="1982">
      <c r="A1982" t="n">
        <v>10064</v>
      </c>
      <c r="B1982" s="72" t="n">
        <v>45826.91527777778</v>
      </c>
      <c r="C1982" t="inlineStr">
        <is>
          <t>Valle del Cauca</t>
        </is>
      </c>
      <c r="D1982" t="inlineStr">
        <is>
          <t>Cali</t>
        </is>
      </c>
      <c r="E1982" t="inlineStr">
        <is>
          <t>Deportes</t>
        </is>
      </c>
      <c r="F1982" t="inlineStr">
        <is>
          <t>Web</t>
        </is>
      </c>
      <c r="G1982" t="inlineStr">
        <is>
          <t>4. Compra</t>
        </is>
      </c>
      <c r="H1982" t="n">
        <v>4</v>
      </c>
      <c r="I1982" s="73" t="n">
        <v>198600</v>
      </c>
      <c r="J1982" s="73" t="n">
        <v>794400</v>
      </c>
      <c r="K1982" s="73" t="n">
        <v>508182</v>
      </c>
    </row>
    <row r="1983">
      <c r="A1983" t="n">
        <v>10168</v>
      </c>
      <c r="B1983" s="72" t="n">
        <v>45827.22708333333</v>
      </c>
      <c r="C1983" t="inlineStr">
        <is>
          <t>Huila</t>
        </is>
      </c>
      <c r="D1983" t="inlineStr">
        <is>
          <t>Neiva</t>
        </is>
      </c>
      <c r="E1983" t="inlineStr">
        <is>
          <t>Hogar</t>
        </is>
      </c>
      <c r="F1983" t="inlineStr">
        <is>
          <t>Tienda física</t>
        </is>
      </c>
      <c r="G1983" t="inlineStr">
        <is>
          <t>2. Carrito</t>
        </is>
      </c>
      <c r="H1983" t="n">
        <v>5</v>
      </c>
      <c r="I1983" s="73" t="n">
        <v>180100</v>
      </c>
      <c r="J1983" s="73" t="n">
        <v>900500</v>
      </c>
      <c r="K1983" s="73" t="n">
        <v>616603</v>
      </c>
    </row>
    <row r="1984">
      <c r="A1984" t="n">
        <v>11749</v>
      </c>
      <c r="B1984" s="72" t="n">
        <v>45827.42361111111</v>
      </c>
      <c r="C1984" t="inlineStr">
        <is>
          <t>Risaralda</t>
        </is>
      </c>
      <c r="D1984" t="inlineStr">
        <is>
          <t>Pereira</t>
        </is>
      </c>
      <c r="E1984" t="inlineStr">
        <is>
          <t>Tecnología</t>
        </is>
      </c>
      <c r="F1984" t="inlineStr">
        <is>
          <t>App</t>
        </is>
      </c>
      <c r="G1984" t="inlineStr">
        <is>
          <t>3. Pago</t>
        </is>
      </c>
      <c r="H1984" t="n">
        <v>3</v>
      </c>
      <c r="I1984" s="73" t="n">
        <v>848800</v>
      </c>
      <c r="J1984" s="73" t="n">
        <v>2546400</v>
      </c>
      <c r="K1984" s="73" t="n">
        <v>1598128</v>
      </c>
    </row>
    <row r="1985">
      <c r="A1985" t="n">
        <v>10766</v>
      </c>
      <c r="B1985" s="72" t="n">
        <v>45827.43611111111</v>
      </c>
      <c r="C1985" t="inlineStr">
        <is>
          <t>Antioquia</t>
        </is>
      </c>
      <c r="D1985" t="inlineStr">
        <is>
          <t>Medellín</t>
        </is>
      </c>
      <c r="E1985" t="inlineStr">
        <is>
          <t>Juguetes</t>
        </is>
      </c>
      <c r="F1985" t="inlineStr">
        <is>
          <t>App</t>
        </is>
      </c>
      <c r="G1985" t="inlineStr">
        <is>
          <t>1. Visita</t>
        </is>
      </c>
      <c r="H1985" t="n">
        <v>2</v>
      </c>
      <c r="I1985" s="73" t="n">
        <v>81300</v>
      </c>
      <c r="J1985" s="73" t="n">
        <v>162600</v>
      </c>
      <c r="K1985" s="73" t="n">
        <v>94494</v>
      </c>
    </row>
    <row r="1986">
      <c r="A1986" t="n">
        <v>11857</v>
      </c>
      <c r="B1986" s="72" t="n">
        <v>45827.65416666667</v>
      </c>
      <c r="C1986" t="inlineStr">
        <is>
          <t>Risaralda</t>
        </is>
      </c>
      <c r="D1986" t="inlineStr">
        <is>
          <t>Pereira</t>
        </is>
      </c>
      <c r="E1986" t="inlineStr">
        <is>
          <t>Moda</t>
        </is>
      </c>
      <c r="F1986" t="inlineStr">
        <is>
          <t>App</t>
        </is>
      </c>
      <c r="G1986" t="inlineStr">
        <is>
          <t>1. Visita</t>
        </is>
      </c>
      <c r="H1986" t="n">
        <v>1</v>
      </c>
      <c r="I1986" s="73" t="n">
        <v>155800</v>
      </c>
      <c r="J1986" s="73" t="n">
        <v>155800</v>
      </c>
      <c r="K1986" s="73" t="n">
        <v>95635</v>
      </c>
    </row>
    <row r="1987">
      <c r="A1987" t="n">
        <v>10867</v>
      </c>
      <c r="B1987" s="72" t="n">
        <v>45827.7125</v>
      </c>
      <c r="C1987" t="inlineStr">
        <is>
          <t>Antioquia</t>
        </is>
      </c>
      <c r="D1987" t="inlineStr">
        <is>
          <t>Medellín</t>
        </is>
      </c>
      <c r="E1987" t="inlineStr">
        <is>
          <t>Tecnología</t>
        </is>
      </c>
      <c r="F1987" t="inlineStr">
        <is>
          <t>Web</t>
        </is>
      </c>
      <c r="G1987" t="inlineStr">
        <is>
          <t>1. Visita</t>
        </is>
      </c>
      <c r="H1987" t="n">
        <v>4</v>
      </c>
      <c r="I1987" s="73" t="n">
        <v>639700</v>
      </c>
      <c r="J1987" s="73" t="n">
        <v>2558800</v>
      </c>
      <c r="K1987" s="73" t="n">
        <v>1423433</v>
      </c>
    </row>
    <row r="1988">
      <c r="A1988" t="n">
        <v>11401</v>
      </c>
      <c r="B1988" s="72" t="n">
        <v>45827.98263888889</v>
      </c>
      <c r="C1988" t="inlineStr">
        <is>
          <t>Valle del Cauca</t>
        </is>
      </c>
      <c r="D1988" t="inlineStr">
        <is>
          <t>Cali</t>
        </is>
      </c>
      <c r="E1988" t="inlineStr">
        <is>
          <t>Belleza</t>
        </is>
      </c>
      <c r="F1988" t="inlineStr">
        <is>
          <t>Tienda física</t>
        </is>
      </c>
      <c r="G1988" t="inlineStr">
        <is>
          <t>1. Visita</t>
        </is>
      </c>
      <c r="H1988" t="n">
        <v>5</v>
      </c>
      <c r="I1988" s="73" t="n">
        <v>58400</v>
      </c>
      <c r="J1988" s="73" t="n">
        <v>292000</v>
      </c>
      <c r="K1988" s="73" t="n">
        <v>172416</v>
      </c>
    </row>
    <row r="1989">
      <c r="A1989" t="n">
        <v>11508</v>
      </c>
      <c r="B1989" s="72" t="n">
        <v>45828.25</v>
      </c>
      <c r="C1989" t="inlineStr">
        <is>
          <t>Antioquia</t>
        </is>
      </c>
      <c r="D1989" t="inlineStr">
        <is>
          <t>Medellín</t>
        </is>
      </c>
      <c r="E1989" t="inlineStr">
        <is>
          <t>Belleza</t>
        </is>
      </c>
      <c r="F1989" t="inlineStr">
        <is>
          <t>App</t>
        </is>
      </c>
      <c r="G1989" t="inlineStr">
        <is>
          <t>4. Compra</t>
        </is>
      </c>
      <c r="H1989" t="n">
        <v>3</v>
      </c>
      <c r="I1989" s="73" t="n">
        <v>74900</v>
      </c>
      <c r="J1989" s="73" t="n">
        <v>258405</v>
      </c>
      <c r="K1989" s="73" t="n">
        <v>156209</v>
      </c>
    </row>
    <row r="1990">
      <c r="A1990" t="n">
        <v>10771</v>
      </c>
      <c r="B1990" s="72" t="n">
        <v>45828.70625</v>
      </c>
      <c r="C1990" t="inlineStr">
        <is>
          <t>Valle del Cauca</t>
        </is>
      </c>
      <c r="D1990" t="inlineStr">
        <is>
          <t>Cali</t>
        </is>
      </c>
      <c r="E1990" t="inlineStr">
        <is>
          <t>Hogar</t>
        </is>
      </c>
      <c r="F1990" t="inlineStr">
        <is>
          <t>App</t>
        </is>
      </c>
      <c r="G1990" t="inlineStr">
        <is>
          <t>4. Compra</t>
        </is>
      </c>
      <c r="H1990" t="n">
        <v>5</v>
      </c>
      <c r="I1990" s="73" t="n">
        <v>230400</v>
      </c>
      <c r="J1990" s="73" t="n">
        <v>1324800</v>
      </c>
      <c r="K1990" s="73" t="n">
        <v>877029</v>
      </c>
    </row>
    <row r="1991">
      <c r="A1991" t="n">
        <v>11713</v>
      </c>
      <c r="B1991" s="72" t="n">
        <v>45828.89097222222</v>
      </c>
      <c r="C1991" t="inlineStr">
        <is>
          <t>Valle del Cauca</t>
        </is>
      </c>
      <c r="D1991" t="inlineStr">
        <is>
          <t>Cali</t>
        </is>
      </c>
      <c r="E1991" t="inlineStr">
        <is>
          <t>Tecnología</t>
        </is>
      </c>
      <c r="F1991" t="inlineStr">
        <is>
          <t>Tienda física</t>
        </is>
      </c>
      <c r="G1991" t="inlineStr">
        <is>
          <t>1. Visita</t>
        </is>
      </c>
      <c r="H1991" t="n">
        <v>5</v>
      </c>
      <c r="I1991" s="73" t="n">
        <v>680000</v>
      </c>
      <c r="J1991" s="73" t="n">
        <v>3910000</v>
      </c>
      <c r="K1991" s="73" t="n">
        <v>2757731</v>
      </c>
    </row>
    <row r="1992">
      <c r="A1992" t="n">
        <v>11031</v>
      </c>
      <c r="B1992" s="72" t="n">
        <v>45828.95208333333</v>
      </c>
      <c r="C1992" t="inlineStr">
        <is>
          <t>Bogotá D.C.</t>
        </is>
      </c>
      <c r="D1992" t="inlineStr">
        <is>
          <t>Bogotá</t>
        </is>
      </c>
      <c r="E1992" t="inlineStr">
        <is>
          <t>Belleza</t>
        </is>
      </c>
      <c r="F1992" t="inlineStr">
        <is>
          <t>Web</t>
        </is>
      </c>
      <c r="G1992" t="inlineStr">
        <is>
          <t>2. Carrito</t>
        </is>
      </c>
      <c r="H1992" t="n">
        <v>4</v>
      </c>
      <c r="I1992" s="73" t="n">
        <v>81600</v>
      </c>
      <c r="J1992" s="73" t="n">
        <v>375360</v>
      </c>
      <c r="K1992" s="73" t="n">
        <v>256725</v>
      </c>
    </row>
    <row r="1993">
      <c r="A1993" t="n">
        <v>11109</v>
      </c>
      <c r="B1993" s="72" t="n">
        <v>45829.58402777778</v>
      </c>
      <c r="C1993" t="inlineStr">
        <is>
          <t>Antioquia</t>
        </is>
      </c>
      <c r="D1993" t="inlineStr">
        <is>
          <t>Medellín</t>
        </is>
      </c>
      <c r="E1993" t="inlineStr">
        <is>
          <t>Deportes</t>
        </is>
      </c>
      <c r="F1993" t="inlineStr">
        <is>
          <t>Web</t>
        </is>
      </c>
      <c r="G1993" t="inlineStr">
        <is>
          <t>3. Pago</t>
        </is>
      </c>
      <c r="H1993" t="n">
        <v>1</v>
      </c>
      <c r="I1993" s="73" t="n">
        <v>149700</v>
      </c>
      <c r="J1993" s="73" t="n">
        <v>172155</v>
      </c>
      <c r="K1993" s="73" t="n">
        <v>112957</v>
      </c>
    </row>
    <row r="1994">
      <c r="A1994" t="n">
        <v>12237</v>
      </c>
      <c r="B1994" s="72" t="n">
        <v>45829.67847222222</v>
      </c>
      <c r="C1994" t="inlineStr">
        <is>
          <t>Antioquia</t>
        </is>
      </c>
      <c r="D1994" t="inlineStr">
        <is>
          <t>Medellín</t>
        </is>
      </c>
      <c r="E1994" t="inlineStr">
        <is>
          <t>Hogar</t>
        </is>
      </c>
      <c r="F1994" t="inlineStr">
        <is>
          <t>Web</t>
        </is>
      </c>
      <c r="G1994" t="inlineStr">
        <is>
          <t>2. Carrito</t>
        </is>
      </c>
      <c r="H1994" t="n">
        <v>4</v>
      </c>
      <c r="I1994" s="73" t="n">
        <v>215600</v>
      </c>
      <c r="J1994" s="73" t="n">
        <v>991760</v>
      </c>
      <c r="K1994" s="73" t="n">
        <v>689303</v>
      </c>
    </row>
    <row r="1995">
      <c r="A1995" t="n">
        <v>10699</v>
      </c>
      <c r="B1995" s="72" t="n">
        <v>45829.69791666666</v>
      </c>
      <c r="C1995" t="inlineStr">
        <is>
          <t>Risaralda</t>
        </is>
      </c>
      <c r="D1995" t="inlineStr">
        <is>
          <t>Pereira</t>
        </is>
      </c>
      <c r="E1995" t="inlineStr">
        <is>
          <t>Tecnología</t>
        </is>
      </c>
      <c r="F1995" t="inlineStr">
        <is>
          <t>App</t>
        </is>
      </c>
      <c r="G1995" t="inlineStr">
        <is>
          <t>1. Visita</t>
        </is>
      </c>
      <c r="H1995" t="n">
        <v>2</v>
      </c>
      <c r="I1995" s="73" t="n">
        <v>890500</v>
      </c>
      <c r="J1995" s="73" t="n">
        <v>2048150</v>
      </c>
      <c r="K1995" s="73" t="n">
        <v>1234272</v>
      </c>
    </row>
    <row r="1996">
      <c r="A1996" t="n">
        <v>12345</v>
      </c>
      <c r="B1996" s="72" t="n">
        <v>45829.80416666667</v>
      </c>
      <c r="C1996" t="inlineStr">
        <is>
          <t>Antioquia</t>
        </is>
      </c>
      <c r="D1996" t="inlineStr">
        <is>
          <t>Medellín</t>
        </is>
      </c>
      <c r="E1996" t="inlineStr">
        <is>
          <t>Moda</t>
        </is>
      </c>
      <c r="F1996" t="inlineStr">
        <is>
          <t>Web</t>
        </is>
      </c>
      <c r="G1996" t="inlineStr">
        <is>
          <t>1. Visita</t>
        </is>
      </c>
      <c r="H1996" t="n">
        <v>3</v>
      </c>
      <c r="I1996" s="73" t="n">
        <v>90300</v>
      </c>
      <c r="J1996" s="73" t="n">
        <v>311535</v>
      </c>
      <c r="K1996" s="73" t="n">
        <v>197593</v>
      </c>
    </row>
    <row r="1997">
      <c r="A1997" t="n">
        <v>10464</v>
      </c>
      <c r="B1997" s="72" t="n">
        <v>45829.89097222222</v>
      </c>
      <c r="C1997" t="inlineStr">
        <is>
          <t>Meta</t>
        </is>
      </c>
      <c r="D1997" t="inlineStr">
        <is>
          <t>Villavicencio</t>
        </is>
      </c>
      <c r="E1997" t="inlineStr">
        <is>
          <t>Moda</t>
        </is>
      </c>
      <c r="F1997" t="inlineStr">
        <is>
          <t>Web</t>
        </is>
      </c>
      <c r="G1997" t="inlineStr">
        <is>
          <t>2. Carrito</t>
        </is>
      </c>
      <c r="H1997" t="n">
        <v>1</v>
      </c>
      <c r="I1997" s="73" t="n">
        <v>126900</v>
      </c>
      <c r="J1997" s="73" t="n">
        <v>145935</v>
      </c>
      <c r="K1997" s="73" t="n">
        <v>98536</v>
      </c>
    </row>
    <row r="1998">
      <c r="A1998" t="n">
        <v>11482</v>
      </c>
      <c r="B1998" s="72" t="n">
        <v>45830.02708333333</v>
      </c>
      <c r="C1998" t="inlineStr">
        <is>
          <t>Bogotá D.C.</t>
        </is>
      </c>
      <c r="D1998" t="inlineStr">
        <is>
          <t>Bogotá</t>
        </is>
      </c>
      <c r="E1998" t="inlineStr">
        <is>
          <t>Juguetes</t>
        </is>
      </c>
      <c r="F1998" t="inlineStr">
        <is>
          <t>Web</t>
        </is>
      </c>
      <c r="G1998" t="inlineStr">
        <is>
          <t>1. Visita</t>
        </is>
      </c>
      <c r="H1998" t="n">
        <v>4</v>
      </c>
      <c r="I1998" s="73" t="n">
        <v>105600</v>
      </c>
      <c r="J1998" s="73" t="n">
        <v>485760</v>
      </c>
      <c r="K1998" s="73" t="n">
        <v>280950</v>
      </c>
    </row>
    <row r="1999">
      <c r="A1999" t="n">
        <v>11216</v>
      </c>
      <c r="B1999" s="72" t="n">
        <v>45830.23680555556</v>
      </c>
      <c r="C1999" t="inlineStr">
        <is>
          <t>Valle del Cauca</t>
        </is>
      </c>
      <c r="D1999" t="inlineStr">
        <is>
          <t>Cali</t>
        </is>
      </c>
      <c r="E1999" t="inlineStr">
        <is>
          <t>Juguetes</t>
        </is>
      </c>
      <c r="F1999" t="inlineStr">
        <is>
          <t>App</t>
        </is>
      </c>
      <c r="G1999" t="inlineStr">
        <is>
          <t>1. Visita</t>
        </is>
      </c>
      <c r="H1999" t="n">
        <v>3</v>
      </c>
      <c r="I1999" s="73" t="n">
        <v>109200</v>
      </c>
      <c r="J1999" s="73" t="n">
        <v>376740</v>
      </c>
      <c r="K1999" s="73" t="n">
        <v>237635</v>
      </c>
    </row>
    <row r="2000">
      <c r="A2000" t="n">
        <v>11990</v>
      </c>
      <c r="B2000" s="72" t="n">
        <v>45830.55694444444</v>
      </c>
      <c r="C2000" t="inlineStr">
        <is>
          <t>Antioquia</t>
        </is>
      </c>
      <c r="D2000" t="inlineStr">
        <is>
          <t>Medellín</t>
        </is>
      </c>
      <c r="E2000" t="inlineStr">
        <is>
          <t>Tecnología</t>
        </is>
      </c>
      <c r="F2000" t="inlineStr">
        <is>
          <t>Web</t>
        </is>
      </c>
      <c r="G2000" t="inlineStr">
        <is>
          <t>3. Pago</t>
        </is>
      </c>
      <c r="H2000" t="n">
        <v>2</v>
      </c>
      <c r="I2000" s="73" t="n">
        <v>740000</v>
      </c>
      <c r="J2000" s="73" t="n">
        <v>1702000</v>
      </c>
      <c r="K2000" s="73" t="n">
        <v>1271840</v>
      </c>
    </row>
    <row r="2001">
      <c r="A2001" t="n">
        <v>11874</v>
      </c>
      <c r="B2001" s="72" t="n">
        <v>45830.67361111111</v>
      </c>
      <c r="C2001" t="inlineStr">
        <is>
          <t>Bogotá D.C.</t>
        </is>
      </c>
      <c r="D2001" t="inlineStr">
        <is>
          <t>Bogotá</t>
        </is>
      </c>
      <c r="E2001" t="inlineStr">
        <is>
          <t>Juguetes</t>
        </is>
      </c>
      <c r="F2001" t="inlineStr">
        <is>
          <t>Web</t>
        </is>
      </c>
      <c r="G2001" t="inlineStr">
        <is>
          <t>4. Compra</t>
        </is>
      </c>
      <c r="H2001" t="n">
        <v>5</v>
      </c>
      <c r="I2001" s="73" t="n">
        <v>109100</v>
      </c>
      <c r="J2001" s="73" t="n">
        <v>627325</v>
      </c>
      <c r="K2001" s="73" t="n">
        <v>452152</v>
      </c>
    </row>
    <row r="2002">
      <c r="A2002" t="n">
        <v>10686</v>
      </c>
      <c r="B2002" s="72" t="n">
        <v>45830.84513888889</v>
      </c>
      <c r="C2002" t="inlineStr">
        <is>
          <t>Antioquia</t>
        </is>
      </c>
      <c r="D2002" t="inlineStr">
        <is>
          <t>Medellín</t>
        </is>
      </c>
      <c r="E2002" t="inlineStr">
        <is>
          <t>Hogar</t>
        </is>
      </c>
      <c r="F2002" t="inlineStr">
        <is>
          <t>Tienda física</t>
        </is>
      </c>
      <c r="G2002" t="inlineStr">
        <is>
          <t>2. Carrito</t>
        </is>
      </c>
      <c r="H2002" t="n">
        <v>3</v>
      </c>
      <c r="I2002" s="73" t="n">
        <v>202000</v>
      </c>
      <c r="J2002" s="73" t="n">
        <v>696900</v>
      </c>
      <c r="K2002" s="73" t="n">
        <v>486866</v>
      </c>
    </row>
    <row r="2003">
      <c r="A2003" t="n">
        <v>10747</v>
      </c>
      <c r="B2003" s="72" t="n">
        <v>45830.94930555556</v>
      </c>
      <c r="C2003" t="inlineStr">
        <is>
          <t>Atlántico</t>
        </is>
      </c>
      <c r="D2003" t="inlineStr">
        <is>
          <t>Barranquilla</t>
        </is>
      </c>
      <c r="E2003" t="inlineStr">
        <is>
          <t>Deportes</t>
        </is>
      </c>
      <c r="F2003" t="inlineStr">
        <is>
          <t>App</t>
        </is>
      </c>
      <c r="G2003" t="inlineStr">
        <is>
          <t>4. Compra</t>
        </is>
      </c>
      <c r="H2003" t="n">
        <v>4</v>
      </c>
      <c r="I2003" s="73" t="n">
        <v>128400</v>
      </c>
      <c r="J2003" s="73" t="n">
        <v>590640</v>
      </c>
      <c r="K2003" s="73" t="n">
        <v>438429</v>
      </c>
    </row>
    <row r="2004">
      <c r="A2004" t="n">
        <v>11485</v>
      </c>
      <c r="B2004" s="72" t="n">
        <v>45831.29236111111</v>
      </c>
      <c r="C2004" t="inlineStr">
        <is>
          <t>Valle del Cauca</t>
        </is>
      </c>
      <c r="D2004" t="inlineStr">
        <is>
          <t>Cali</t>
        </is>
      </c>
      <c r="E2004" t="inlineStr">
        <is>
          <t>Deportes</t>
        </is>
      </c>
      <c r="F2004" t="inlineStr">
        <is>
          <t>App</t>
        </is>
      </c>
      <c r="G2004" t="inlineStr">
        <is>
          <t>1. Visita</t>
        </is>
      </c>
      <c r="H2004" t="n">
        <v>2</v>
      </c>
      <c r="I2004" s="73" t="n">
        <v>148400</v>
      </c>
      <c r="J2004" s="73" t="n">
        <v>296800</v>
      </c>
      <c r="K2004" s="73" t="n">
        <v>192083</v>
      </c>
    </row>
    <row r="2005">
      <c r="A2005" t="n">
        <v>11670</v>
      </c>
      <c r="B2005" s="72" t="n">
        <v>45831.56111111111</v>
      </c>
      <c r="C2005" t="inlineStr">
        <is>
          <t>Bogotá D.C.</t>
        </is>
      </c>
      <c r="D2005" t="inlineStr">
        <is>
          <t>Bogotá</t>
        </is>
      </c>
      <c r="E2005" t="inlineStr">
        <is>
          <t>Belleza</t>
        </is>
      </c>
      <c r="F2005" t="inlineStr">
        <is>
          <t>Web</t>
        </is>
      </c>
      <c r="G2005" t="inlineStr">
        <is>
          <t>1. Visita</t>
        </is>
      </c>
      <c r="H2005" t="n">
        <v>5</v>
      </c>
      <c r="I2005" s="73" t="n">
        <v>80100</v>
      </c>
      <c r="J2005" s="73" t="n">
        <v>400500</v>
      </c>
      <c r="K2005" s="73" t="n">
        <v>227074</v>
      </c>
    </row>
    <row r="2006">
      <c r="A2006" t="n">
        <v>11667</v>
      </c>
      <c r="B2006" s="72" t="n">
        <v>45831.60972222222</v>
      </c>
      <c r="C2006" t="inlineStr">
        <is>
          <t>Santander</t>
        </is>
      </c>
      <c r="D2006" t="inlineStr">
        <is>
          <t>Bucaramanga</t>
        </is>
      </c>
      <c r="E2006" t="inlineStr">
        <is>
          <t>Belleza</t>
        </is>
      </c>
      <c r="F2006" t="inlineStr">
        <is>
          <t>Web</t>
        </is>
      </c>
      <c r="G2006" t="inlineStr">
        <is>
          <t>2. Carrito</t>
        </is>
      </c>
      <c r="H2006" t="n">
        <v>5</v>
      </c>
      <c r="I2006" s="73" t="n">
        <v>82000</v>
      </c>
      <c r="J2006" s="73" t="n">
        <v>410000</v>
      </c>
      <c r="K2006" s="73" t="n">
        <v>258908</v>
      </c>
    </row>
    <row r="2007">
      <c r="A2007" t="n">
        <v>11136</v>
      </c>
      <c r="B2007" s="72" t="n">
        <v>45831.70208333333</v>
      </c>
      <c r="C2007" t="inlineStr">
        <is>
          <t>Bogotá D.C.</t>
        </is>
      </c>
      <c r="D2007" t="inlineStr">
        <is>
          <t>Bogotá</t>
        </is>
      </c>
      <c r="E2007" t="inlineStr">
        <is>
          <t>Hogar</t>
        </is>
      </c>
      <c r="F2007" t="inlineStr">
        <is>
          <t>Web</t>
        </is>
      </c>
      <c r="G2007" t="inlineStr">
        <is>
          <t>3. Pago</t>
        </is>
      </c>
      <c r="H2007" t="n">
        <v>2</v>
      </c>
      <c r="I2007" s="73" t="n">
        <v>225000</v>
      </c>
      <c r="J2007" s="73" t="n">
        <v>450000</v>
      </c>
      <c r="K2007" s="73" t="n">
        <v>331372</v>
      </c>
    </row>
    <row r="2008">
      <c r="A2008" t="n">
        <v>11843</v>
      </c>
      <c r="B2008" s="72" t="n">
        <v>45831.73472222222</v>
      </c>
      <c r="C2008" t="inlineStr">
        <is>
          <t>Atlántico</t>
        </is>
      </c>
      <c r="D2008" t="inlineStr">
        <is>
          <t>Barranquilla</t>
        </is>
      </c>
      <c r="E2008" t="inlineStr">
        <is>
          <t>Deportes</t>
        </is>
      </c>
      <c r="F2008" t="inlineStr">
        <is>
          <t>App</t>
        </is>
      </c>
      <c r="G2008" t="inlineStr">
        <is>
          <t>1. Visita</t>
        </is>
      </c>
      <c r="H2008" t="n">
        <v>4</v>
      </c>
      <c r="I2008" s="73" t="n">
        <v>143100</v>
      </c>
      <c r="J2008" s="73" t="n">
        <v>572400</v>
      </c>
      <c r="K2008" s="73" t="n">
        <v>406663</v>
      </c>
    </row>
    <row r="2009">
      <c r="A2009" t="n">
        <v>12013</v>
      </c>
      <c r="B2009" s="72" t="n">
        <v>45831.85416666666</v>
      </c>
      <c r="C2009" t="inlineStr">
        <is>
          <t>Valle del Cauca</t>
        </is>
      </c>
      <c r="D2009" t="inlineStr">
        <is>
          <t>Cali</t>
        </is>
      </c>
      <c r="E2009" t="inlineStr">
        <is>
          <t>Belleza</t>
        </is>
      </c>
      <c r="F2009" t="inlineStr">
        <is>
          <t>Web</t>
        </is>
      </c>
      <c r="G2009" t="inlineStr">
        <is>
          <t>1. Visita</t>
        </is>
      </c>
      <c r="H2009" t="n">
        <v>1</v>
      </c>
      <c r="I2009" s="73" t="n">
        <v>60900</v>
      </c>
      <c r="J2009" s="73" t="n">
        <v>60900</v>
      </c>
      <c r="K2009" s="73" t="n">
        <v>43107</v>
      </c>
    </row>
    <row r="2010">
      <c r="A2010" t="n">
        <v>11875</v>
      </c>
      <c r="B2010" s="72" t="n">
        <v>45831.87013888889</v>
      </c>
      <c r="C2010" t="inlineStr">
        <is>
          <t>Atlántico</t>
        </is>
      </c>
      <c r="D2010" t="inlineStr">
        <is>
          <t>Barranquilla</t>
        </is>
      </c>
      <c r="E2010" t="inlineStr">
        <is>
          <t>Belleza</t>
        </is>
      </c>
      <c r="F2010" t="inlineStr">
        <is>
          <t>App</t>
        </is>
      </c>
      <c r="G2010" t="inlineStr">
        <is>
          <t>1. Visita</t>
        </is>
      </c>
      <c r="H2010" t="n">
        <v>5</v>
      </c>
      <c r="I2010" s="73" t="n">
        <v>77800</v>
      </c>
      <c r="J2010" s="73" t="n">
        <v>389000</v>
      </c>
      <c r="K2010" s="73" t="n">
        <v>271642</v>
      </c>
    </row>
    <row r="2011">
      <c r="A2011" t="n">
        <v>11209</v>
      </c>
      <c r="B2011" s="72" t="n">
        <v>45831.90277777778</v>
      </c>
      <c r="C2011" t="inlineStr">
        <is>
          <t>Valle del Cauca</t>
        </is>
      </c>
      <c r="D2011" t="inlineStr">
        <is>
          <t>Cali</t>
        </is>
      </c>
      <c r="E2011" t="inlineStr">
        <is>
          <t>Tecnología</t>
        </is>
      </c>
      <c r="F2011" t="inlineStr">
        <is>
          <t>Tienda física</t>
        </is>
      </c>
      <c r="G2011" t="inlineStr">
        <is>
          <t>2. Carrito</t>
        </is>
      </c>
      <c r="H2011" t="n">
        <v>1</v>
      </c>
      <c r="I2011" s="73" t="n">
        <v>898400</v>
      </c>
      <c r="J2011" s="73" t="n">
        <v>898400</v>
      </c>
      <c r="K2011" s="73" t="n">
        <v>601993</v>
      </c>
    </row>
    <row r="2012">
      <c r="A2012" t="n">
        <v>11427</v>
      </c>
      <c r="B2012" s="72" t="n">
        <v>45831.91527777778</v>
      </c>
      <c r="C2012" t="inlineStr">
        <is>
          <t>Huila</t>
        </is>
      </c>
      <c r="D2012" t="inlineStr">
        <is>
          <t>Neiva</t>
        </is>
      </c>
      <c r="E2012" t="inlineStr">
        <is>
          <t>Belleza</t>
        </is>
      </c>
      <c r="F2012" t="inlineStr">
        <is>
          <t>Web</t>
        </is>
      </c>
      <c r="G2012" t="inlineStr">
        <is>
          <t>1. Visita</t>
        </is>
      </c>
      <c r="H2012" t="n">
        <v>1</v>
      </c>
      <c r="I2012" s="73" t="n">
        <v>82400</v>
      </c>
      <c r="J2012" s="73" t="n">
        <v>82400</v>
      </c>
      <c r="K2012" s="73" t="n">
        <v>47974</v>
      </c>
    </row>
    <row r="2013">
      <c r="A2013" t="n">
        <v>11478</v>
      </c>
      <c r="B2013" s="72" t="n">
        <v>45832.46527777778</v>
      </c>
      <c r="C2013" t="inlineStr">
        <is>
          <t>Antioquia</t>
        </is>
      </c>
      <c r="D2013" t="inlineStr">
        <is>
          <t>Medellín</t>
        </is>
      </c>
      <c r="E2013" t="inlineStr">
        <is>
          <t>Juguetes</t>
        </is>
      </c>
      <c r="F2013" t="inlineStr">
        <is>
          <t>Tienda física</t>
        </is>
      </c>
      <c r="G2013" t="inlineStr">
        <is>
          <t>1. Visita</t>
        </is>
      </c>
      <c r="H2013" t="n">
        <v>2</v>
      </c>
      <c r="I2013" s="73" t="n">
        <v>73900</v>
      </c>
      <c r="J2013" s="73" t="n">
        <v>147800</v>
      </c>
      <c r="K2013" s="73" t="n">
        <v>81314</v>
      </c>
    </row>
    <row r="2014">
      <c r="A2014" t="n">
        <v>12032</v>
      </c>
      <c r="B2014" s="72" t="n">
        <v>45832.48402777778</v>
      </c>
      <c r="C2014" t="inlineStr">
        <is>
          <t>Bogotá D.C.</t>
        </is>
      </c>
      <c r="D2014" t="inlineStr">
        <is>
          <t>Bogotá</t>
        </is>
      </c>
      <c r="E2014" t="inlineStr">
        <is>
          <t>Moda</t>
        </is>
      </c>
      <c r="F2014" t="inlineStr">
        <is>
          <t>Tienda física</t>
        </is>
      </c>
      <c r="G2014" t="inlineStr">
        <is>
          <t>1. Visita</t>
        </is>
      </c>
      <c r="H2014" t="n">
        <v>5</v>
      </c>
      <c r="I2014" s="73" t="n">
        <v>86500</v>
      </c>
      <c r="J2014" s="73" t="n">
        <v>432500</v>
      </c>
      <c r="K2014" s="73" t="n">
        <v>322300</v>
      </c>
    </row>
    <row r="2015">
      <c r="A2015" t="n">
        <v>10412</v>
      </c>
      <c r="B2015" s="72" t="n">
        <v>45832.56805555556</v>
      </c>
      <c r="C2015" t="inlineStr">
        <is>
          <t>Valle del Cauca</t>
        </is>
      </c>
      <c r="D2015" t="inlineStr">
        <is>
          <t>Cali</t>
        </is>
      </c>
      <c r="E2015" t="inlineStr">
        <is>
          <t>Hogar</t>
        </is>
      </c>
      <c r="F2015" t="inlineStr">
        <is>
          <t>App</t>
        </is>
      </c>
      <c r="G2015" t="inlineStr">
        <is>
          <t>1. Visita</t>
        </is>
      </c>
      <c r="H2015" t="n">
        <v>5</v>
      </c>
      <c r="I2015" s="73" t="n">
        <v>151100</v>
      </c>
      <c r="J2015" s="73" t="n">
        <v>755500</v>
      </c>
      <c r="K2015" s="73" t="n">
        <v>431363</v>
      </c>
    </row>
    <row r="2016">
      <c r="A2016" t="n">
        <v>11326</v>
      </c>
      <c r="B2016" s="72" t="n">
        <v>45832.90069444444</v>
      </c>
      <c r="C2016" t="inlineStr">
        <is>
          <t>Valle del Cauca</t>
        </is>
      </c>
      <c r="D2016" t="inlineStr">
        <is>
          <t>Cali</t>
        </is>
      </c>
      <c r="E2016" t="inlineStr">
        <is>
          <t>Moda</t>
        </is>
      </c>
      <c r="F2016" t="inlineStr">
        <is>
          <t>App</t>
        </is>
      </c>
      <c r="G2016" t="inlineStr">
        <is>
          <t>2. Carrito</t>
        </is>
      </c>
      <c r="H2016" t="n">
        <v>5</v>
      </c>
      <c r="I2016" s="73" t="n">
        <v>103800</v>
      </c>
      <c r="J2016" s="73" t="n">
        <v>519000</v>
      </c>
      <c r="K2016" s="73" t="n">
        <v>306572</v>
      </c>
    </row>
    <row r="2017">
      <c r="A2017" t="n">
        <v>11700</v>
      </c>
      <c r="B2017" s="72" t="n">
        <v>45833.63055555556</v>
      </c>
      <c r="C2017" t="inlineStr">
        <is>
          <t>Antioquia</t>
        </is>
      </c>
      <c r="D2017" t="inlineStr">
        <is>
          <t>Medellín</t>
        </is>
      </c>
      <c r="E2017" t="inlineStr">
        <is>
          <t>Belleza</t>
        </is>
      </c>
      <c r="F2017" t="inlineStr">
        <is>
          <t>Tienda física</t>
        </is>
      </c>
      <c r="G2017" t="inlineStr">
        <is>
          <t>2. Carrito</t>
        </is>
      </c>
      <c r="H2017" t="n">
        <v>3</v>
      </c>
      <c r="I2017" s="73" t="n">
        <v>72900</v>
      </c>
      <c r="J2017" s="73" t="n">
        <v>218700</v>
      </c>
      <c r="K2017" s="73" t="n">
        <v>152959</v>
      </c>
    </row>
    <row r="2018">
      <c r="A2018" t="n">
        <v>10363</v>
      </c>
      <c r="B2018" s="72" t="n">
        <v>45833.73402777778</v>
      </c>
      <c r="C2018" t="inlineStr">
        <is>
          <t>Bogotá D.C.</t>
        </is>
      </c>
      <c r="D2018" t="inlineStr">
        <is>
          <t>Bogotá</t>
        </is>
      </c>
      <c r="E2018" t="inlineStr">
        <is>
          <t>Tecnología</t>
        </is>
      </c>
      <c r="F2018" t="inlineStr">
        <is>
          <t>Web</t>
        </is>
      </c>
      <c r="G2018" t="inlineStr">
        <is>
          <t>1. Visita</t>
        </is>
      </c>
      <c r="H2018" t="n">
        <v>4</v>
      </c>
      <c r="I2018" s="73" t="n">
        <v>696100</v>
      </c>
      <c r="J2018" s="73" t="n">
        <v>2784400</v>
      </c>
      <c r="K2018" s="73" t="n">
        <v>1823700</v>
      </c>
    </row>
    <row r="2019">
      <c r="A2019" t="n">
        <v>12356</v>
      </c>
      <c r="B2019" s="72" t="n">
        <v>45833.90486111111</v>
      </c>
      <c r="C2019" t="inlineStr">
        <is>
          <t>Bolívar</t>
        </is>
      </c>
      <c r="D2019" t="inlineStr">
        <is>
          <t>Cartagena</t>
        </is>
      </c>
      <c r="E2019" t="inlineStr">
        <is>
          <t>Moda</t>
        </is>
      </c>
      <c r="F2019" t="inlineStr">
        <is>
          <t>Web</t>
        </is>
      </c>
      <c r="G2019" t="inlineStr">
        <is>
          <t>1. Visita</t>
        </is>
      </c>
      <c r="H2019" t="n">
        <v>3</v>
      </c>
      <c r="I2019" s="73" t="n">
        <v>122500</v>
      </c>
      <c r="J2019" s="73" t="n">
        <v>367500</v>
      </c>
      <c r="K2019" s="73" t="n">
        <v>257519</v>
      </c>
    </row>
    <row r="2020">
      <c r="A2020" t="n">
        <v>10845</v>
      </c>
      <c r="B2020" s="72" t="n">
        <v>45834.33611111111</v>
      </c>
      <c r="C2020" t="inlineStr">
        <is>
          <t>Bogotá D.C.</t>
        </is>
      </c>
      <c r="D2020" t="inlineStr">
        <is>
          <t>Bogotá</t>
        </is>
      </c>
      <c r="E2020" t="inlineStr">
        <is>
          <t>Belleza</t>
        </is>
      </c>
      <c r="F2020" t="inlineStr">
        <is>
          <t>Web</t>
        </is>
      </c>
      <c r="G2020" t="inlineStr">
        <is>
          <t>2. Carrito</t>
        </is>
      </c>
      <c r="H2020" t="n">
        <v>3</v>
      </c>
      <c r="I2020" s="73" t="n">
        <v>62200</v>
      </c>
      <c r="J2020" s="73" t="n">
        <v>186600</v>
      </c>
      <c r="K2020" s="73" t="n">
        <v>132398</v>
      </c>
    </row>
    <row r="2021">
      <c r="A2021" t="n">
        <v>10026</v>
      </c>
      <c r="B2021" s="72" t="n">
        <v>45834.34861111111</v>
      </c>
      <c r="C2021" t="inlineStr">
        <is>
          <t>Atlántico</t>
        </is>
      </c>
      <c r="D2021" t="inlineStr">
        <is>
          <t>Barranquilla</t>
        </is>
      </c>
      <c r="E2021" t="inlineStr">
        <is>
          <t>Tecnología</t>
        </is>
      </c>
      <c r="F2021" t="inlineStr">
        <is>
          <t>Tienda física</t>
        </is>
      </c>
      <c r="G2021" t="inlineStr">
        <is>
          <t>1. Visita</t>
        </is>
      </c>
      <c r="H2021" t="n">
        <v>3</v>
      </c>
      <c r="I2021" s="73" t="n">
        <v>813500</v>
      </c>
      <c r="J2021" s="73" t="n">
        <v>2440500</v>
      </c>
      <c r="K2021" s="73" t="n">
        <v>1643401</v>
      </c>
    </row>
    <row r="2022">
      <c r="A2022" t="n">
        <v>12318</v>
      </c>
      <c r="B2022" s="72" t="n">
        <v>45834.54861111111</v>
      </c>
      <c r="C2022" t="inlineStr">
        <is>
          <t>Valle del Cauca</t>
        </is>
      </c>
      <c r="D2022" t="inlineStr">
        <is>
          <t>Cali</t>
        </is>
      </c>
      <c r="E2022" t="inlineStr">
        <is>
          <t>Deportes</t>
        </is>
      </c>
      <c r="F2022" t="inlineStr">
        <is>
          <t>App</t>
        </is>
      </c>
      <c r="G2022" t="inlineStr">
        <is>
          <t>4. Compra</t>
        </is>
      </c>
      <c r="H2022" t="n">
        <v>4</v>
      </c>
      <c r="I2022" s="73" t="n">
        <v>146800</v>
      </c>
      <c r="J2022" s="73" t="n">
        <v>587200</v>
      </c>
      <c r="K2022" s="73" t="n">
        <v>390217</v>
      </c>
    </row>
    <row r="2023">
      <c r="A2023" t="n">
        <v>12087</v>
      </c>
      <c r="B2023" s="72" t="n">
        <v>45834.56666666667</v>
      </c>
      <c r="C2023" t="inlineStr">
        <is>
          <t>Meta</t>
        </is>
      </c>
      <c r="D2023" t="inlineStr">
        <is>
          <t>Villavicencio</t>
        </is>
      </c>
      <c r="E2023" t="inlineStr">
        <is>
          <t>Tecnología</t>
        </is>
      </c>
      <c r="F2023" t="inlineStr">
        <is>
          <t>Web</t>
        </is>
      </c>
      <c r="G2023" t="inlineStr">
        <is>
          <t>1. Visita</t>
        </is>
      </c>
      <c r="H2023" t="n">
        <v>2</v>
      </c>
      <c r="I2023" s="73" t="n">
        <v>637400</v>
      </c>
      <c r="J2023" s="73" t="n">
        <v>1274800</v>
      </c>
      <c r="K2023" s="73" t="n">
        <v>728497</v>
      </c>
    </row>
    <row r="2024">
      <c r="A2024" t="n">
        <v>10565</v>
      </c>
      <c r="B2024" s="72" t="n">
        <v>45835.41319444445</v>
      </c>
      <c r="C2024" t="inlineStr">
        <is>
          <t>Antioquia</t>
        </is>
      </c>
      <c r="D2024" t="inlineStr">
        <is>
          <t>Medellín</t>
        </is>
      </c>
      <c r="E2024" t="inlineStr">
        <is>
          <t>Deportes</t>
        </is>
      </c>
      <c r="F2024" t="inlineStr">
        <is>
          <t>App</t>
        </is>
      </c>
      <c r="G2024" t="inlineStr">
        <is>
          <t>1. Visita</t>
        </is>
      </c>
      <c r="H2024" t="n">
        <v>5</v>
      </c>
      <c r="I2024" s="73" t="n">
        <v>188500</v>
      </c>
      <c r="J2024" s="73" t="n">
        <v>1083875</v>
      </c>
      <c r="K2024" s="73" t="n">
        <v>659692</v>
      </c>
    </row>
    <row r="2025">
      <c r="A2025" t="n">
        <v>10433</v>
      </c>
      <c r="B2025" s="72" t="n">
        <v>45835.50347222222</v>
      </c>
      <c r="C2025" t="inlineStr">
        <is>
          <t>Bolívar</t>
        </is>
      </c>
      <c r="D2025" t="inlineStr">
        <is>
          <t>Cartagena</t>
        </is>
      </c>
      <c r="E2025" t="inlineStr">
        <is>
          <t>Moda</t>
        </is>
      </c>
      <c r="F2025" t="inlineStr">
        <is>
          <t>App</t>
        </is>
      </c>
      <c r="G2025" t="inlineStr">
        <is>
          <t>1. Visita</t>
        </is>
      </c>
      <c r="H2025" t="n">
        <v>4</v>
      </c>
      <c r="I2025" s="73" t="n">
        <v>110300</v>
      </c>
      <c r="J2025" s="73" t="n">
        <v>507380</v>
      </c>
      <c r="K2025" s="73" t="n">
        <v>346032</v>
      </c>
    </row>
    <row r="2026">
      <c r="A2026" t="n">
        <v>11334</v>
      </c>
      <c r="B2026" s="72" t="n">
        <v>45835.71388888889</v>
      </c>
      <c r="C2026" t="inlineStr">
        <is>
          <t>Santander</t>
        </is>
      </c>
      <c r="D2026" t="inlineStr">
        <is>
          <t>Bucaramanga</t>
        </is>
      </c>
      <c r="E2026" t="inlineStr">
        <is>
          <t>Juguetes</t>
        </is>
      </c>
      <c r="F2026" t="inlineStr">
        <is>
          <t>App</t>
        </is>
      </c>
      <c r="G2026" t="inlineStr">
        <is>
          <t>2. Carrito</t>
        </is>
      </c>
      <c r="H2026" t="n">
        <v>2</v>
      </c>
      <c r="I2026" s="73" t="n">
        <v>79600</v>
      </c>
      <c r="J2026" s="73" t="n">
        <v>183080</v>
      </c>
      <c r="K2026" s="73" t="n">
        <v>137003</v>
      </c>
    </row>
    <row r="2027">
      <c r="A2027" t="n">
        <v>10902</v>
      </c>
      <c r="B2027" s="72" t="n">
        <v>45835.80555555555</v>
      </c>
      <c r="C2027" t="inlineStr">
        <is>
          <t>Santander</t>
        </is>
      </c>
      <c r="D2027" t="inlineStr">
        <is>
          <t>Bucaramanga</t>
        </is>
      </c>
      <c r="E2027" t="inlineStr">
        <is>
          <t>Belleza</t>
        </is>
      </c>
      <c r="F2027" t="inlineStr">
        <is>
          <t>Web</t>
        </is>
      </c>
      <c r="G2027" t="inlineStr">
        <is>
          <t>4. Compra</t>
        </is>
      </c>
      <c r="H2027" t="n">
        <v>1</v>
      </c>
      <c r="I2027" s="73" t="n">
        <v>63600</v>
      </c>
      <c r="J2027" s="73" t="n">
        <v>73140</v>
      </c>
      <c r="K2027" s="73" t="n">
        <v>46570</v>
      </c>
    </row>
    <row r="2028">
      <c r="A2028" t="n">
        <v>10349</v>
      </c>
      <c r="B2028" s="72" t="n">
        <v>45835.92569444444</v>
      </c>
      <c r="C2028" t="inlineStr">
        <is>
          <t>Bogotá D.C.</t>
        </is>
      </c>
      <c r="D2028" t="inlineStr">
        <is>
          <t>Bogotá</t>
        </is>
      </c>
      <c r="E2028" t="inlineStr">
        <is>
          <t>Hogar</t>
        </is>
      </c>
      <c r="F2028" t="inlineStr">
        <is>
          <t>Web</t>
        </is>
      </c>
      <c r="G2028" t="inlineStr">
        <is>
          <t>2. Carrito</t>
        </is>
      </c>
      <c r="H2028" t="n">
        <v>4</v>
      </c>
      <c r="I2028" s="73" t="n">
        <v>214600</v>
      </c>
      <c r="J2028" s="73" t="n">
        <v>987160</v>
      </c>
      <c r="K2028" s="73" t="n">
        <v>542997</v>
      </c>
    </row>
    <row r="2029">
      <c r="A2029" t="n">
        <v>11115</v>
      </c>
      <c r="B2029" s="72" t="n">
        <v>45836.59305555555</v>
      </c>
      <c r="C2029" t="inlineStr">
        <is>
          <t>Valle del Cauca</t>
        </is>
      </c>
      <c r="D2029" t="inlineStr">
        <is>
          <t>Cali</t>
        </is>
      </c>
      <c r="E2029" t="inlineStr">
        <is>
          <t>Belleza</t>
        </is>
      </c>
      <c r="F2029" t="inlineStr">
        <is>
          <t>App</t>
        </is>
      </c>
      <c r="G2029" t="inlineStr">
        <is>
          <t>2. Carrito</t>
        </is>
      </c>
      <c r="H2029" t="n">
        <v>1</v>
      </c>
      <c r="I2029" s="73" t="n">
        <v>64500</v>
      </c>
      <c r="J2029" s="73" t="n">
        <v>74175</v>
      </c>
      <c r="K2029" s="73" t="n">
        <v>50058</v>
      </c>
    </row>
    <row r="2030">
      <c r="A2030" t="n">
        <v>10584</v>
      </c>
      <c r="B2030" s="72" t="n">
        <v>45836.82152777778</v>
      </c>
      <c r="C2030" t="inlineStr">
        <is>
          <t>Atlántico</t>
        </is>
      </c>
      <c r="D2030" t="inlineStr">
        <is>
          <t>Barranquilla</t>
        </is>
      </c>
      <c r="E2030" t="inlineStr">
        <is>
          <t>Tecnología</t>
        </is>
      </c>
      <c r="F2030" t="inlineStr">
        <is>
          <t>App</t>
        </is>
      </c>
      <c r="G2030" t="inlineStr">
        <is>
          <t>1. Visita</t>
        </is>
      </c>
      <c r="H2030" t="n">
        <v>3</v>
      </c>
      <c r="I2030" s="73" t="n">
        <v>739700</v>
      </c>
      <c r="J2030" s="73" t="n">
        <v>2551965</v>
      </c>
      <c r="K2030" s="73" t="n">
        <v>1727994</v>
      </c>
    </row>
    <row r="2031">
      <c r="A2031" t="n">
        <v>11410</v>
      </c>
      <c r="B2031" s="72" t="n">
        <v>45837.64722222222</v>
      </c>
      <c r="C2031" t="inlineStr">
        <is>
          <t>Bogotá D.C.</t>
        </is>
      </c>
      <c r="D2031" t="inlineStr">
        <is>
          <t>Bogotá</t>
        </is>
      </c>
      <c r="E2031" t="inlineStr">
        <is>
          <t>Juguetes</t>
        </is>
      </c>
      <c r="F2031" t="inlineStr">
        <is>
          <t>App</t>
        </is>
      </c>
      <c r="G2031" t="inlineStr">
        <is>
          <t>1. Visita</t>
        </is>
      </c>
      <c r="H2031" t="n">
        <v>5</v>
      </c>
      <c r="I2031" s="73" t="n">
        <v>110400</v>
      </c>
      <c r="J2031" s="73" t="n">
        <v>634800</v>
      </c>
      <c r="K2031" s="73" t="n">
        <v>403358</v>
      </c>
    </row>
    <row r="2032">
      <c r="A2032" t="n">
        <v>11518</v>
      </c>
      <c r="B2032" s="72" t="n">
        <v>45837.75972222222</v>
      </c>
      <c r="C2032" t="inlineStr">
        <is>
          <t>Bolívar</t>
        </is>
      </c>
      <c r="D2032" t="inlineStr">
        <is>
          <t>Cartagena</t>
        </is>
      </c>
      <c r="E2032" t="inlineStr">
        <is>
          <t>Moda</t>
        </is>
      </c>
      <c r="F2032" t="inlineStr">
        <is>
          <t>Web</t>
        </is>
      </c>
      <c r="G2032" t="inlineStr">
        <is>
          <t>3. Pago</t>
        </is>
      </c>
      <c r="H2032" t="n">
        <v>2</v>
      </c>
      <c r="I2032" s="73" t="n">
        <v>147300</v>
      </c>
      <c r="J2032" s="73" t="n">
        <v>338790</v>
      </c>
      <c r="K2032" s="73" t="n">
        <v>234236</v>
      </c>
    </row>
    <row r="2033">
      <c r="A2033" t="n">
        <v>10736</v>
      </c>
      <c r="B2033" s="72" t="n">
        <v>45837.86736111111</v>
      </c>
      <c r="C2033" t="inlineStr">
        <is>
          <t>Bogotá D.C.</t>
        </is>
      </c>
      <c r="D2033" t="inlineStr">
        <is>
          <t>Bogotá</t>
        </is>
      </c>
      <c r="E2033" t="inlineStr">
        <is>
          <t>Tecnología</t>
        </is>
      </c>
      <c r="F2033" t="inlineStr">
        <is>
          <t>Web</t>
        </is>
      </c>
      <c r="G2033" t="inlineStr">
        <is>
          <t>3. Pago</t>
        </is>
      </c>
      <c r="H2033" t="n">
        <v>3</v>
      </c>
      <c r="I2033" s="73" t="n">
        <v>988300</v>
      </c>
      <c r="J2033" s="73" t="n">
        <v>3409635</v>
      </c>
      <c r="K2033" s="73" t="n">
        <v>1896783</v>
      </c>
    </row>
    <row r="2034">
      <c r="A2034" t="n">
        <v>12096</v>
      </c>
      <c r="B2034" s="72" t="n">
        <v>45837.98125</v>
      </c>
      <c r="C2034" t="inlineStr">
        <is>
          <t>Bogotá D.C.</t>
        </is>
      </c>
      <c r="D2034" t="inlineStr">
        <is>
          <t>Bogotá</t>
        </is>
      </c>
      <c r="E2034" t="inlineStr">
        <is>
          <t>Belleza</t>
        </is>
      </c>
      <c r="F2034" t="inlineStr">
        <is>
          <t>Marketplace</t>
        </is>
      </c>
      <c r="G2034" t="inlineStr">
        <is>
          <t>2. Carrito</t>
        </is>
      </c>
      <c r="H2034" t="n">
        <v>3</v>
      </c>
      <c r="I2034" s="73" t="n">
        <v>71000</v>
      </c>
      <c r="J2034" s="73" t="n">
        <v>244950</v>
      </c>
      <c r="K2034" s="73" t="n">
        <v>146612</v>
      </c>
    </row>
    <row r="2035">
      <c r="A2035" t="n">
        <v>11107</v>
      </c>
      <c r="B2035" s="72" t="n">
        <v>45838.31736111111</v>
      </c>
      <c r="C2035" t="inlineStr">
        <is>
          <t>Antioquia</t>
        </is>
      </c>
      <c r="D2035" t="inlineStr">
        <is>
          <t>Medellín</t>
        </is>
      </c>
      <c r="E2035" t="inlineStr">
        <is>
          <t>Belleza</t>
        </is>
      </c>
      <c r="F2035" t="inlineStr">
        <is>
          <t>Web</t>
        </is>
      </c>
      <c r="G2035" t="inlineStr">
        <is>
          <t>2. Carrito</t>
        </is>
      </c>
      <c r="H2035" t="n">
        <v>4</v>
      </c>
      <c r="I2035" s="73" t="n">
        <v>80000</v>
      </c>
      <c r="J2035" s="73" t="n">
        <v>320000</v>
      </c>
      <c r="K2035" s="73" t="n">
        <v>232912</v>
      </c>
    </row>
    <row r="2036">
      <c r="A2036" t="n">
        <v>11734</v>
      </c>
      <c r="B2036" s="72" t="n">
        <v>45838.51805555556</v>
      </c>
      <c r="C2036" t="inlineStr">
        <is>
          <t>Valle del Cauca</t>
        </is>
      </c>
      <c r="D2036" t="inlineStr">
        <is>
          <t>Cali</t>
        </is>
      </c>
      <c r="E2036" t="inlineStr">
        <is>
          <t>Juguetes</t>
        </is>
      </c>
      <c r="F2036" t="inlineStr">
        <is>
          <t>App</t>
        </is>
      </c>
      <c r="G2036" t="inlineStr">
        <is>
          <t>1. Visita</t>
        </is>
      </c>
      <c r="H2036" t="n">
        <v>2</v>
      </c>
      <c r="I2036" s="73" t="n">
        <v>110600</v>
      </c>
      <c r="J2036" s="73" t="n">
        <v>221200</v>
      </c>
      <c r="K2036" s="73" t="n">
        <v>140758</v>
      </c>
    </row>
    <row r="2037">
      <c r="A2037" t="n">
        <v>11863</v>
      </c>
      <c r="B2037" s="72" t="n">
        <v>45838.63263888889</v>
      </c>
      <c r="C2037" t="inlineStr">
        <is>
          <t>Bogotá D.C.</t>
        </is>
      </c>
      <c r="D2037" t="inlineStr">
        <is>
          <t>Bogotá</t>
        </is>
      </c>
      <c r="E2037" t="inlineStr">
        <is>
          <t>Deportes</t>
        </is>
      </c>
      <c r="F2037" t="inlineStr">
        <is>
          <t>App</t>
        </is>
      </c>
      <c r="G2037" t="inlineStr">
        <is>
          <t>1. Visita</t>
        </is>
      </c>
      <c r="H2037" t="n">
        <v>1</v>
      </c>
      <c r="I2037" s="73" t="n">
        <v>163800</v>
      </c>
      <c r="J2037" s="73" t="n">
        <v>163800</v>
      </c>
      <c r="K2037" s="73" t="n">
        <v>99986</v>
      </c>
    </row>
    <row r="2038">
      <c r="A2038" t="n">
        <v>11415</v>
      </c>
      <c r="B2038" s="72" t="n">
        <v>45838.84930555556</v>
      </c>
      <c r="C2038" t="inlineStr">
        <is>
          <t>Bogotá D.C.</t>
        </is>
      </c>
      <c r="D2038" t="inlineStr">
        <is>
          <t>Bogotá</t>
        </is>
      </c>
      <c r="E2038" t="inlineStr">
        <is>
          <t>Deportes</t>
        </is>
      </c>
      <c r="F2038" t="inlineStr">
        <is>
          <t>Web</t>
        </is>
      </c>
      <c r="G2038" t="inlineStr">
        <is>
          <t>1. Visita</t>
        </is>
      </c>
      <c r="H2038" t="n">
        <v>2</v>
      </c>
      <c r="I2038" s="73" t="n">
        <v>171500</v>
      </c>
      <c r="J2038" s="73" t="n">
        <v>343000</v>
      </c>
      <c r="K2038" s="73" t="n">
        <v>195130</v>
      </c>
    </row>
    <row r="2039">
      <c r="A2039" t="n">
        <v>11840</v>
      </c>
      <c r="B2039" s="72" t="n">
        <v>45840.34513888889</v>
      </c>
      <c r="C2039" t="inlineStr">
        <is>
          <t>Antioquia</t>
        </is>
      </c>
      <c r="D2039" t="inlineStr">
        <is>
          <t>Medellín</t>
        </is>
      </c>
      <c r="E2039" t="inlineStr">
        <is>
          <t>Juguetes</t>
        </is>
      </c>
      <c r="F2039" t="inlineStr">
        <is>
          <t>Web</t>
        </is>
      </c>
      <c r="G2039" t="inlineStr">
        <is>
          <t>3. Pago</t>
        </is>
      </c>
      <c r="H2039" t="n">
        <v>5</v>
      </c>
      <c r="I2039" s="73" t="n">
        <v>84300</v>
      </c>
      <c r="J2039" s="73" t="n">
        <v>421500</v>
      </c>
      <c r="K2039" s="73" t="n">
        <v>273554</v>
      </c>
    </row>
    <row r="2040">
      <c r="A2040" t="n">
        <v>10879</v>
      </c>
      <c r="B2040" s="72" t="n">
        <v>45840.40763888889</v>
      </c>
      <c r="C2040" t="inlineStr">
        <is>
          <t>Risaralda</t>
        </is>
      </c>
      <c r="D2040" t="inlineStr">
        <is>
          <t>Pereira</t>
        </is>
      </c>
      <c r="E2040" t="inlineStr">
        <is>
          <t>Deportes</t>
        </is>
      </c>
      <c r="F2040" t="inlineStr">
        <is>
          <t>Web</t>
        </is>
      </c>
      <c r="G2040" t="inlineStr">
        <is>
          <t>2. Carrito</t>
        </is>
      </c>
      <c r="H2040" t="n">
        <v>1</v>
      </c>
      <c r="I2040" s="73" t="n">
        <v>164100</v>
      </c>
      <c r="J2040" s="73" t="n">
        <v>164100</v>
      </c>
      <c r="K2040" s="73" t="n">
        <v>96076</v>
      </c>
    </row>
    <row r="2041">
      <c r="A2041" t="n">
        <v>12225</v>
      </c>
      <c r="B2041" s="72" t="n">
        <v>45840.47986111111</v>
      </c>
      <c r="C2041" t="inlineStr">
        <is>
          <t>Nariño</t>
        </is>
      </c>
      <c r="D2041" t="inlineStr">
        <is>
          <t>Pasto</t>
        </is>
      </c>
      <c r="E2041" t="inlineStr">
        <is>
          <t>Deportes</t>
        </is>
      </c>
      <c r="F2041" t="inlineStr">
        <is>
          <t>App</t>
        </is>
      </c>
      <c r="G2041" t="inlineStr">
        <is>
          <t>4. Compra</t>
        </is>
      </c>
      <c r="H2041" t="n">
        <v>3</v>
      </c>
      <c r="I2041" s="73" t="n">
        <v>184500</v>
      </c>
      <c r="J2041" s="73" t="n">
        <v>553500</v>
      </c>
      <c r="K2041" s="73" t="n">
        <v>399679</v>
      </c>
    </row>
    <row r="2042">
      <c r="A2042" t="n">
        <v>11026</v>
      </c>
      <c r="B2042" s="72" t="n">
        <v>45840.53263888889</v>
      </c>
      <c r="C2042" t="inlineStr">
        <is>
          <t>Huila</t>
        </is>
      </c>
      <c r="D2042" t="inlineStr">
        <is>
          <t>Neiva</t>
        </is>
      </c>
      <c r="E2042" t="inlineStr">
        <is>
          <t>Juguetes</t>
        </is>
      </c>
      <c r="F2042" t="inlineStr">
        <is>
          <t>Tienda física</t>
        </is>
      </c>
      <c r="G2042" t="inlineStr">
        <is>
          <t>4. Compra</t>
        </is>
      </c>
      <c r="H2042" t="n">
        <v>2</v>
      </c>
      <c r="I2042" s="73" t="n">
        <v>70500</v>
      </c>
      <c r="J2042" s="73" t="n">
        <v>141000</v>
      </c>
      <c r="K2042" s="73" t="n">
        <v>89649</v>
      </c>
    </row>
    <row r="2043">
      <c r="A2043" t="n">
        <v>10037</v>
      </c>
      <c r="B2043" s="72" t="n">
        <v>45840.54236111111</v>
      </c>
      <c r="C2043" t="inlineStr">
        <is>
          <t>Valle del Cauca</t>
        </is>
      </c>
      <c r="D2043" t="inlineStr">
        <is>
          <t>Cali</t>
        </is>
      </c>
      <c r="E2043" t="inlineStr">
        <is>
          <t>Hogar</t>
        </is>
      </c>
      <c r="F2043" t="inlineStr">
        <is>
          <t>Marketplace</t>
        </is>
      </c>
      <c r="G2043" t="inlineStr">
        <is>
          <t>4. Compra</t>
        </is>
      </c>
      <c r="H2043" t="n">
        <v>3</v>
      </c>
      <c r="I2043" s="73" t="n">
        <v>260400</v>
      </c>
      <c r="J2043" s="73" t="n">
        <v>781200</v>
      </c>
      <c r="K2043" s="73" t="n">
        <v>554604</v>
      </c>
    </row>
    <row r="2044">
      <c r="A2044" t="n">
        <v>10496</v>
      </c>
      <c r="B2044" s="72" t="n">
        <v>45840.61388888889</v>
      </c>
      <c r="C2044" t="inlineStr">
        <is>
          <t>Antioquia</t>
        </is>
      </c>
      <c r="D2044" t="inlineStr">
        <is>
          <t>Medellín</t>
        </is>
      </c>
      <c r="E2044" t="inlineStr">
        <is>
          <t>Moda</t>
        </is>
      </c>
      <c r="F2044" t="inlineStr">
        <is>
          <t>App</t>
        </is>
      </c>
      <c r="G2044" t="inlineStr">
        <is>
          <t>4. Compra</t>
        </is>
      </c>
      <c r="H2044" t="n">
        <v>4</v>
      </c>
      <c r="I2044" s="73" t="n">
        <v>127400</v>
      </c>
      <c r="J2044" s="73" t="n">
        <v>509600</v>
      </c>
      <c r="K2044" s="73" t="n">
        <v>316242</v>
      </c>
    </row>
    <row r="2045">
      <c r="A2045" t="n">
        <v>12041</v>
      </c>
      <c r="B2045" s="72" t="n">
        <v>45840.66041666667</v>
      </c>
      <c r="C2045" t="inlineStr">
        <is>
          <t>Santander</t>
        </is>
      </c>
      <c r="D2045" t="inlineStr">
        <is>
          <t>Bucaramanga</t>
        </is>
      </c>
      <c r="E2045" t="inlineStr">
        <is>
          <t>Hogar</t>
        </is>
      </c>
      <c r="F2045" t="inlineStr">
        <is>
          <t>Web</t>
        </is>
      </c>
      <c r="G2045" t="inlineStr">
        <is>
          <t>1. Visita</t>
        </is>
      </c>
      <c r="H2045" t="n">
        <v>3</v>
      </c>
      <c r="I2045" s="73" t="n">
        <v>266100</v>
      </c>
      <c r="J2045" s="73" t="n">
        <v>798300</v>
      </c>
      <c r="K2045" s="73" t="n">
        <v>492937</v>
      </c>
    </row>
    <row r="2046">
      <c r="A2046" t="n">
        <v>11750</v>
      </c>
      <c r="B2046" s="72" t="n">
        <v>45840.66319444445</v>
      </c>
      <c r="C2046" t="inlineStr">
        <is>
          <t>Valle del Cauca</t>
        </is>
      </c>
      <c r="D2046" t="inlineStr">
        <is>
          <t>Cali</t>
        </is>
      </c>
      <c r="E2046" t="inlineStr">
        <is>
          <t>Hogar</t>
        </is>
      </c>
      <c r="F2046" t="inlineStr">
        <is>
          <t>App</t>
        </is>
      </c>
      <c r="G2046" t="inlineStr">
        <is>
          <t>1. Visita</t>
        </is>
      </c>
      <c r="H2046" t="n">
        <v>3</v>
      </c>
      <c r="I2046" s="73" t="n">
        <v>196900</v>
      </c>
      <c r="J2046" s="73" t="n">
        <v>590700</v>
      </c>
      <c r="K2046" s="73" t="n">
        <v>335152</v>
      </c>
    </row>
    <row r="2047">
      <c r="A2047" t="n">
        <v>11106</v>
      </c>
      <c r="B2047" s="72" t="n">
        <v>45840.99027777778</v>
      </c>
      <c r="C2047" t="inlineStr">
        <is>
          <t>Antioquia</t>
        </is>
      </c>
      <c r="D2047" t="inlineStr">
        <is>
          <t>Medellín</t>
        </is>
      </c>
      <c r="E2047" t="inlineStr">
        <is>
          <t>Juguetes</t>
        </is>
      </c>
      <c r="F2047" t="inlineStr">
        <is>
          <t>App</t>
        </is>
      </c>
      <c r="G2047" t="inlineStr">
        <is>
          <t>4. Compra</t>
        </is>
      </c>
      <c r="H2047" t="n">
        <v>2</v>
      </c>
      <c r="I2047" s="73" t="n">
        <v>116400</v>
      </c>
      <c r="J2047" s="73" t="n">
        <v>232800</v>
      </c>
      <c r="K2047" s="73" t="n">
        <v>156773</v>
      </c>
    </row>
    <row r="2048">
      <c r="A2048" t="n">
        <v>10803</v>
      </c>
      <c r="B2048" s="72" t="n">
        <v>45841.49305555555</v>
      </c>
      <c r="C2048" t="inlineStr">
        <is>
          <t>Bogotá D.C.</t>
        </is>
      </c>
      <c r="D2048" t="inlineStr">
        <is>
          <t>Bogotá</t>
        </is>
      </c>
      <c r="E2048" t="inlineStr">
        <is>
          <t>Hogar</t>
        </is>
      </c>
      <c r="F2048" t="inlineStr">
        <is>
          <t>Web</t>
        </is>
      </c>
      <c r="G2048" t="inlineStr">
        <is>
          <t>2. Carrito</t>
        </is>
      </c>
      <c r="H2048" t="n">
        <v>5</v>
      </c>
      <c r="I2048" s="73" t="n">
        <v>232100</v>
      </c>
      <c r="J2048" s="73" t="n">
        <v>1160500</v>
      </c>
      <c r="K2048" s="73" t="n">
        <v>741313</v>
      </c>
    </row>
    <row r="2049">
      <c r="A2049" t="n">
        <v>11331</v>
      </c>
      <c r="B2049" s="72" t="n">
        <v>45841.56458333333</v>
      </c>
      <c r="C2049" t="inlineStr">
        <is>
          <t>Bogotá D.C.</t>
        </is>
      </c>
      <c r="D2049" t="inlineStr">
        <is>
          <t>Bogotá</t>
        </is>
      </c>
      <c r="E2049" t="inlineStr">
        <is>
          <t>Juguetes</t>
        </is>
      </c>
      <c r="F2049" t="inlineStr">
        <is>
          <t>Tienda física</t>
        </is>
      </c>
      <c r="G2049" t="inlineStr">
        <is>
          <t>1. Visita</t>
        </is>
      </c>
      <c r="H2049" t="n">
        <v>4</v>
      </c>
      <c r="I2049" s="73" t="n">
        <v>91100</v>
      </c>
      <c r="J2049" s="73" t="n">
        <v>364400</v>
      </c>
      <c r="K2049" s="73" t="n">
        <v>222059</v>
      </c>
    </row>
    <row r="2050">
      <c r="A2050" t="n">
        <v>11349</v>
      </c>
      <c r="B2050" s="72" t="n">
        <v>45841.575</v>
      </c>
      <c r="C2050" t="inlineStr">
        <is>
          <t>Risaralda</t>
        </is>
      </c>
      <c r="D2050" t="inlineStr">
        <is>
          <t>Pereira</t>
        </is>
      </c>
      <c r="E2050" t="inlineStr">
        <is>
          <t>Deportes</t>
        </is>
      </c>
      <c r="F2050" t="inlineStr">
        <is>
          <t>Web</t>
        </is>
      </c>
      <c r="G2050" t="inlineStr">
        <is>
          <t>1. Visita</t>
        </is>
      </c>
      <c r="H2050" t="n">
        <v>2</v>
      </c>
      <c r="I2050" s="73" t="n">
        <v>150400</v>
      </c>
      <c r="J2050" s="73" t="n">
        <v>300800</v>
      </c>
      <c r="K2050" s="73" t="n">
        <v>197138</v>
      </c>
    </row>
    <row r="2051">
      <c r="A2051" t="n">
        <v>11014</v>
      </c>
      <c r="B2051" s="72" t="n">
        <v>45842.58958333333</v>
      </c>
      <c r="C2051" t="inlineStr">
        <is>
          <t>Antioquia</t>
        </is>
      </c>
      <c r="D2051" t="inlineStr">
        <is>
          <t>Medellín</t>
        </is>
      </c>
      <c r="E2051" t="inlineStr">
        <is>
          <t>Deportes</t>
        </is>
      </c>
      <c r="F2051" t="inlineStr">
        <is>
          <t>App</t>
        </is>
      </c>
      <c r="G2051" t="inlineStr">
        <is>
          <t>1. Visita</t>
        </is>
      </c>
      <c r="H2051" t="n">
        <v>1</v>
      </c>
      <c r="I2051" s="73" t="n">
        <v>191400</v>
      </c>
      <c r="J2051" s="73" t="n">
        <v>220110</v>
      </c>
      <c r="K2051" s="73" t="n">
        <v>134031</v>
      </c>
    </row>
    <row r="2052">
      <c r="A2052" t="n">
        <v>10097</v>
      </c>
      <c r="B2052" s="72" t="n">
        <v>45842.73194444444</v>
      </c>
      <c r="C2052" t="inlineStr">
        <is>
          <t>Antioquia</t>
        </is>
      </c>
      <c r="D2052" t="inlineStr">
        <is>
          <t>Medellín</t>
        </is>
      </c>
      <c r="E2052" t="inlineStr">
        <is>
          <t>Moda</t>
        </is>
      </c>
      <c r="F2052" t="inlineStr">
        <is>
          <t>App</t>
        </is>
      </c>
      <c r="G2052" t="inlineStr">
        <is>
          <t>2. Carrito</t>
        </is>
      </c>
      <c r="H2052" t="n">
        <v>5</v>
      </c>
      <c r="I2052" s="73" t="n">
        <v>104000</v>
      </c>
      <c r="J2052" s="73" t="n">
        <v>598000</v>
      </c>
      <c r="K2052" s="73" t="n">
        <v>437745</v>
      </c>
    </row>
    <row r="2053">
      <c r="A2053" t="n">
        <v>11470</v>
      </c>
      <c r="B2053" s="72" t="n">
        <v>45842.825</v>
      </c>
      <c r="C2053" t="inlineStr">
        <is>
          <t>Bogotá D.C.</t>
        </is>
      </c>
      <c r="D2053" t="inlineStr">
        <is>
          <t>Bogotá</t>
        </is>
      </c>
      <c r="E2053" t="inlineStr">
        <is>
          <t>Tecnología</t>
        </is>
      </c>
      <c r="F2053" t="inlineStr">
        <is>
          <t>Tienda física</t>
        </is>
      </c>
      <c r="G2053" t="inlineStr">
        <is>
          <t>3. Pago</t>
        </is>
      </c>
      <c r="H2053" t="n">
        <v>1</v>
      </c>
      <c r="I2053" s="73" t="n">
        <v>1096500</v>
      </c>
      <c r="J2053" s="73" t="n">
        <v>1260975</v>
      </c>
      <c r="K2053" s="73" t="n">
        <v>881516</v>
      </c>
    </row>
    <row r="2054">
      <c r="A2054" t="n">
        <v>10073</v>
      </c>
      <c r="B2054" s="72" t="n">
        <v>45842.94722222222</v>
      </c>
      <c r="C2054" t="inlineStr">
        <is>
          <t>Bolívar</t>
        </is>
      </c>
      <c r="D2054" t="inlineStr">
        <is>
          <t>Cartagena</t>
        </is>
      </c>
      <c r="E2054" t="inlineStr">
        <is>
          <t>Tecnología</t>
        </is>
      </c>
      <c r="F2054" t="inlineStr">
        <is>
          <t>Tienda física</t>
        </is>
      </c>
      <c r="G2054" t="inlineStr">
        <is>
          <t>2. Carrito</t>
        </is>
      </c>
      <c r="H2054" t="n">
        <v>5</v>
      </c>
      <c r="I2054" s="73" t="n">
        <v>919500</v>
      </c>
      <c r="J2054" s="73" t="n">
        <v>5287125</v>
      </c>
      <c r="K2054" s="73" t="n">
        <v>2994028</v>
      </c>
    </row>
    <row r="2055">
      <c r="A2055" t="n">
        <v>11395</v>
      </c>
      <c r="B2055" s="72" t="n">
        <v>45843.46597222222</v>
      </c>
      <c r="C2055" t="inlineStr">
        <is>
          <t>Atlántico</t>
        </is>
      </c>
      <c r="D2055" t="inlineStr">
        <is>
          <t>Barranquilla</t>
        </is>
      </c>
      <c r="E2055" t="inlineStr">
        <is>
          <t>Belleza</t>
        </is>
      </c>
      <c r="F2055" t="inlineStr">
        <is>
          <t>App</t>
        </is>
      </c>
      <c r="G2055" t="inlineStr">
        <is>
          <t>3. Pago</t>
        </is>
      </c>
      <c r="H2055" t="n">
        <v>2</v>
      </c>
      <c r="I2055" s="73" t="n">
        <v>64700</v>
      </c>
      <c r="J2055" s="73" t="n">
        <v>148810</v>
      </c>
      <c r="K2055" s="73" t="n">
        <v>97143</v>
      </c>
    </row>
    <row r="2056">
      <c r="A2056" t="n">
        <v>10154</v>
      </c>
      <c r="B2056" s="72" t="n">
        <v>45843.57638888889</v>
      </c>
      <c r="C2056" t="inlineStr">
        <is>
          <t>Bolívar</t>
        </is>
      </c>
      <c r="D2056" t="inlineStr">
        <is>
          <t>Cartagena</t>
        </is>
      </c>
      <c r="E2056" t="inlineStr">
        <is>
          <t>Tecnología</t>
        </is>
      </c>
      <c r="F2056" t="inlineStr">
        <is>
          <t>Tienda física</t>
        </is>
      </c>
      <c r="G2056" t="inlineStr">
        <is>
          <t>1. Visita</t>
        </is>
      </c>
      <c r="H2056" t="n">
        <v>3</v>
      </c>
      <c r="I2056" s="73" t="n">
        <v>823500</v>
      </c>
      <c r="J2056" s="73" t="n">
        <v>2841075</v>
      </c>
      <c r="K2056" s="73" t="n">
        <v>1996403</v>
      </c>
    </row>
    <row r="2057">
      <c r="A2057" t="n">
        <v>10038</v>
      </c>
      <c r="B2057" s="72" t="n">
        <v>45843.68611111111</v>
      </c>
      <c r="C2057" t="inlineStr">
        <is>
          <t>Bogotá D.C.</t>
        </is>
      </c>
      <c r="D2057" t="inlineStr">
        <is>
          <t>Bogotá</t>
        </is>
      </c>
      <c r="E2057" t="inlineStr">
        <is>
          <t>Deportes</t>
        </is>
      </c>
      <c r="F2057" t="inlineStr">
        <is>
          <t>Tienda física</t>
        </is>
      </c>
      <c r="G2057" t="inlineStr">
        <is>
          <t>1. Visita</t>
        </is>
      </c>
      <c r="H2057" t="n">
        <v>2</v>
      </c>
      <c r="I2057" s="73" t="n">
        <v>116000</v>
      </c>
      <c r="J2057" s="73" t="n">
        <v>266800</v>
      </c>
      <c r="K2057" s="73" t="n">
        <v>148306</v>
      </c>
    </row>
    <row r="2058">
      <c r="A2058" t="n">
        <v>11080</v>
      </c>
      <c r="B2058" s="72" t="n">
        <v>45843.71944444445</v>
      </c>
      <c r="C2058" t="inlineStr">
        <is>
          <t>Valle del Cauca</t>
        </is>
      </c>
      <c r="D2058" t="inlineStr">
        <is>
          <t>Cali</t>
        </is>
      </c>
      <c r="E2058" t="inlineStr">
        <is>
          <t>Hogar</t>
        </is>
      </c>
      <c r="F2058" t="inlineStr">
        <is>
          <t>Tienda física</t>
        </is>
      </c>
      <c r="G2058" t="inlineStr">
        <is>
          <t>2. Carrito</t>
        </is>
      </c>
      <c r="H2058" t="n">
        <v>3</v>
      </c>
      <c r="I2058" s="73" t="n">
        <v>239000</v>
      </c>
      <c r="J2058" s="73" t="n">
        <v>824550</v>
      </c>
      <c r="K2058" s="73" t="n">
        <v>475507</v>
      </c>
    </row>
    <row r="2059">
      <c r="A2059" t="n">
        <v>12027</v>
      </c>
      <c r="B2059" s="72" t="n">
        <v>45843.79097222222</v>
      </c>
      <c r="C2059" t="inlineStr">
        <is>
          <t>Bogotá D.C.</t>
        </is>
      </c>
      <c r="D2059" t="inlineStr">
        <is>
          <t>Bogotá</t>
        </is>
      </c>
      <c r="E2059" t="inlineStr">
        <is>
          <t>Tecnología</t>
        </is>
      </c>
      <c r="F2059" t="inlineStr">
        <is>
          <t>Web</t>
        </is>
      </c>
      <c r="G2059" t="inlineStr">
        <is>
          <t>1. Visita</t>
        </is>
      </c>
      <c r="H2059" t="n">
        <v>1</v>
      </c>
      <c r="I2059" s="73" t="n">
        <v>1070400</v>
      </c>
      <c r="J2059" s="73" t="n">
        <v>1230960</v>
      </c>
      <c r="K2059" s="73" t="n">
        <v>823541</v>
      </c>
    </row>
    <row r="2060">
      <c r="A2060" t="n">
        <v>10339</v>
      </c>
      <c r="B2060" s="72" t="n">
        <v>45843.82222222222</v>
      </c>
      <c r="C2060" t="inlineStr">
        <is>
          <t>Valle del Cauca</t>
        </is>
      </c>
      <c r="D2060" t="inlineStr">
        <is>
          <t>Cali</t>
        </is>
      </c>
      <c r="E2060" t="inlineStr">
        <is>
          <t>Tecnología</t>
        </is>
      </c>
      <c r="F2060" t="inlineStr">
        <is>
          <t>Tienda física</t>
        </is>
      </c>
      <c r="G2060" t="inlineStr">
        <is>
          <t>1. Visita</t>
        </is>
      </c>
      <c r="H2060" t="n">
        <v>1</v>
      </c>
      <c r="I2060" s="73" t="n">
        <v>1074600</v>
      </c>
      <c r="J2060" s="73" t="n">
        <v>1235790</v>
      </c>
      <c r="K2060" s="73" t="n">
        <v>681847</v>
      </c>
    </row>
    <row r="2061">
      <c r="A2061" t="n">
        <v>12042</v>
      </c>
      <c r="B2061" s="72" t="n">
        <v>45843.85416666666</v>
      </c>
      <c r="C2061" t="inlineStr">
        <is>
          <t>Risaralda</t>
        </is>
      </c>
      <c r="D2061" t="inlineStr">
        <is>
          <t>Pereira</t>
        </is>
      </c>
      <c r="E2061" t="inlineStr">
        <is>
          <t>Belleza</t>
        </is>
      </c>
      <c r="F2061" t="inlineStr">
        <is>
          <t>App</t>
        </is>
      </c>
      <c r="G2061" t="inlineStr">
        <is>
          <t>1. Visita</t>
        </is>
      </c>
      <c r="H2061" t="n">
        <v>3</v>
      </c>
      <c r="I2061" s="73" t="n">
        <v>67300</v>
      </c>
      <c r="J2061" s="73" t="n">
        <v>232185</v>
      </c>
      <c r="K2061" s="73" t="n">
        <v>159907</v>
      </c>
    </row>
    <row r="2062">
      <c r="A2062" t="n">
        <v>12338</v>
      </c>
      <c r="B2062" s="72" t="n">
        <v>45843.92638888889</v>
      </c>
      <c r="C2062" t="inlineStr">
        <is>
          <t>Antioquia</t>
        </is>
      </c>
      <c r="D2062" t="inlineStr">
        <is>
          <t>Medellín</t>
        </is>
      </c>
      <c r="E2062" t="inlineStr">
        <is>
          <t>Juguetes</t>
        </is>
      </c>
      <c r="F2062" t="inlineStr">
        <is>
          <t>Web</t>
        </is>
      </c>
      <c r="G2062" t="inlineStr">
        <is>
          <t>1. Visita</t>
        </is>
      </c>
      <c r="H2062" t="n">
        <v>2</v>
      </c>
      <c r="I2062" s="73" t="n">
        <v>84300</v>
      </c>
      <c r="J2062" s="73" t="n">
        <v>193890</v>
      </c>
      <c r="K2062" s="73" t="n">
        <v>131947</v>
      </c>
    </row>
    <row r="2063">
      <c r="A2063" t="n">
        <v>10177</v>
      </c>
      <c r="B2063" s="72" t="n">
        <v>45844.40486111111</v>
      </c>
      <c r="C2063" t="inlineStr">
        <is>
          <t>Atlántico</t>
        </is>
      </c>
      <c r="D2063" t="inlineStr">
        <is>
          <t>Barranquilla</t>
        </is>
      </c>
      <c r="E2063" t="inlineStr">
        <is>
          <t>Belleza</t>
        </is>
      </c>
      <c r="F2063" t="inlineStr">
        <is>
          <t>App</t>
        </is>
      </c>
      <c r="G2063" t="inlineStr">
        <is>
          <t>1. Visita</t>
        </is>
      </c>
      <c r="H2063" t="n">
        <v>2</v>
      </c>
      <c r="I2063" s="73" t="n">
        <v>58600</v>
      </c>
      <c r="J2063" s="73" t="n">
        <v>134780</v>
      </c>
      <c r="K2063" s="73" t="n">
        <v>86173</v>
      </c>
    </row>
    <row r="2064">
      <c r="A2064" t="n">
        <v>10143</v>
      </c>
      <c r="B2064" s="72" t="n">
        <v>45844.41111111111</v>
      </c>
      <c r="C2064" t="inlineStr">
        <is>
          <t>Santander</t>
        </is>
      </c>
      <c r="D2064" t="inlineStr">
        <is>
          <t>Bucaramanga</t>
        </is>
      </c>
      <c r="E2064" t="inlineStr">
        <is>
          <t>Deportes</t>
        </is>
      </c>
      <c r="F2064" t="inlineStr">
        <is>
          <t>App</t>
        </is>
      </c>
      <c r="G2064" t="inlineStr">
        <is>
          <t>1. Visita</t>
        </is>
      </c>
      <c r="H2064" t="n">
        <v>4</v>
      </c>
      <c r="I2064" s="73" t="n">
        <v>199100</v>
      </c>
      <c r="J2064" s="73" t="n">
        <v>915860</v>
      </c>
      <c r="K2064" s="73" t="n">
        <v>590507</v>
      </c>
    </row>
    <row r="2065">
      <c r="A2065" t="n">
        <v>12102</v>
      </c>
      <c r="B2065" s="72" t="n">
        <v>45844.68125</v>
      </c>
      <c r="C2065" t="inlineStr">
        <is>
          <t>Antioquia</t>
        </is>
      </c>
      <c r="D2065" t="inlineStr">
        <is>
          <t>Medellín</t>
        </is>
      </c>
      <c r="E2065" t="inlineStr">
        <is>
          <t>Juguetes</t>
        </is>
      </c>
      <c r="F2065" t="inlineStr">
        <is>
          <t>Tienda física</t>
        </is>
      </c>
      <c r="G2065" t="inlineStr">
        <is>
          <t>4. Compra</t>
        </is>
      </c>
      <c r="H2065" t="n">
        <v>4</v>
      </c>
      <c r="I2065" s="73" t="n">
        <v>109500</v>
      </c>
      <c r="J2065" s="73" t="n">
        <v>503700</v>
      </c>
      <c r="K2065" s="73" t="n">
        <v>324752</v>
      </c>
    </row>
    <row r="2066">
      <c r="A2066" t="n">
        <v>11047</v>
      </c>
      <c r="B2066" s="72" t="n">
        <v>45844.86875</v>
      </c>
      <c r="C2066" t="inlineStr">
        <is>
          <t>Bogotá D.C.</t>
        </is>
      </c>
      <c r="D2066" t="inlineStr">
        <is>
          <t>Bogotá</t>
        </is>
      </c>
      <c r="E2066" t="inlineStr">
        <is>
          <t>Moda</t>
        </is>
      </c>
      <c r="F2066" t="inlineStr">
        <is>
          <t>App</t>
        </is>
      </c>
      <c r="G2066" t="inlineStr">
        <is>
          <t>2. Carrito</t>
        </is>
      </c>
      <c r="H2066" t="n">
        <v>4</v>
      </c>
      <c r="I2066" s="73" t="n">
        <v>129300</v>
      </c>
      <c r="J2066" s="73" t="n">
        <v>594780</v>
      </c>
      <c r="K2066" s="73" t="n">
        <v>346040</v>
      </c>
    </row>
    <row r="2067">
      <c r="A2067" t="n">
        <v>11201</v>
      </c>
      <c r="B2067" s="72" t="n">
        <v>45844.87013888889</v>
      </c>
      <c r="C2067" t="inlineStr">
        <is>
          <t>Bogotá D.C.</t>
        </is>
      </c>
      <c r="D2067" t="inlineStr">
        <is>
          <t>Bogotá</t>
        </is>
      </c>
      <c r="E2067" t="inlineStr">
        <is>
          <t>Belleza</t>
        </is>
      </c>
      <c r="F2067" t="inlineStr">
        <is>
          <t>Web</t>
        </is>
      </c>
      <c r="G2067" t="inlineStr">
        <is>
          <t>2. Carrito</t>
        </is>
      </c>
      <c r="H2067" t="n">
        <v>3</v>
      </c>
      <c r="I2067" s="73" t="n">
        <v>62000</v>
      </c>
      <c r="J2067" s="73" t="n">
        <v>213900</v>
      </c>
      <c r="K2067" s="73" t="n">
        <v>153470</v>
      </c>
    </row>
    <row r="2068">
      <c r="A2068" t="n">
        <v>12148</v>
      </c>
      <c r="B2068" s="72" t="n">
        <v>45845.50347222222</v>
      </c>
      <c r="C2068" t="inlineStr">
        <is>
          <t>Antioquia</t>
        </is>
      </c>
      <c r="D2068" t="inlineStr">
        <is>
          <t>Medellín</t>
        </is>
      </c>
      <c r="E2068" t="inlineStr">
        <is>
          <t>Hogar</t>
        </is>
      </c>
      <c r="F2068" t="inlineStr">
        <is>
          <t>Tienda física</t>
        </is>
      </c>
      <c r="G2068" t="inlineStr">
        <is>
          <t>2. Carrito</t>
        </is>
      </c>
      <c r="H2068" t="n">
        <v>4</v>
      </c>
      <c r="I2068" s="73" t="n">
        <v>171200</v>
      </c>
      <c r="J2068" s="73" t="n">
        <v>684800</v>
      </c>
      <c r="K2068" s="73" t="n">
        <v>456922</v>
      </c>
    </row>
    <row r="2069">
      <c r="A2069" t="n">
        <v>11977</v>
      </c>
      <c r="B2069" s="72" t="n">
        <v>45845.51388888889</v>
      </c>
      <c r="C2069" t="inlineStr">
        <is>
          <t>Nariño</t>
        </is>
      </c>
      <c r="D2069" t="inlineStr">
        <is>
          <t>Pasto</t>
        </is>
      </c>
      <c r="E2069" t="inlineStr">
        <is>
          <t>Deportes</t>
        </is>
      </c>
      <c r="F2069" t="inlineStr">
        <is>
          <t>Web</t>
        </is>
      </c>
      <c r="G2069" t="inlineStr">
        <is>
          <t>1. Visita</t>
        </is>
      </c>
      <c r="H2069" t="n">
        <v>4</v>
      </c>
      <c r="I2069" s="73" t="n">
        <v>165000</v>
      </c>
      <c r="J2069" s="73" t="n">
        <v>660000</v>
      </c>
      <c r="K2069" s="73" t="n">
        <v>473547</v>
      </c>
    </row>
    <row r="2070">
      <c r="A2070" t="n">
        <v>11741</v>
      </c>
      <c r="B2070" s="72" t="n">
        <v>45845.725</v>
      </c>
      <c r="C2070" t="inlineStr">
        <is>
          <t>Huila</t>
        </is>
      </c>
      <c r="D2070" t="inlineStr">
        <is>
          <t>Neiva</t>
        </is>
      </c>
      <c r="E2070" t="inlineStr">
        <is>
          <t>Belleza</t>
        </is>
      </c>
      <c r="F2070" t="inlineStr">
        <is>
          <t>Web</t>
        </is>
      </c>
      <c r="G2070" t="inlineStr">
        <is>
          <t>4. Compra</t>
        </is>
      </c>
      <c r="H2070" t="n">
        <v>2</v>
      </c>
      <c r="I2070" s="73" t="n">
        <v>53900</v>
      </c>
      <c r="J2070" s="73" t="n">
        <v>107800</v>
      </c>
      <c r="K2070" s="73" t="n">
        <v>76482</v>
      </c>
    </row>
    <row r="2071">
      <c r="A2071" t="n">
        <v>11662</v>
      </c>
      <c r="B2071" s="72" t="n">
        <v>45845.88402777778</v>
      </c>
      <c r="C2071" t="inlineStr">
        <is>
          <t>Huila</t>
        </is>
      </c>
      <c r="D2071" t="inlineStr">
        <is>
          <t>Neiva</t>
        </is>
      </c>
      <c r="E2071" t="inlineStr">
        <is>
          <t>Deportes</t>
        </is>
      </c>
      <c r="F2071" t="inlineStr">
        <is>
          <t>App</t>
        </is>
      </c>
      <c r="G2071" t="inlineStr">
        <is>
          <t>3. Pago</t>
        </is>
      </c>
      <c r="H2071" t="n">
        <v>4</v>
      </c>
      <c r="I2071" s="73" t="n">
        <v>165200</v>
      </c>
      <c r="J2071" s="73" t="n">
        <v>660800</v>
      </c>
      <c r="K2071" s="73" t="n">
        <v>481143</v>
      </c>
    </row>
    <row r="2072">
      <c r="A2072" t="n">
        <v>12121</v>
      </c>
      <c r="B2072" s="72" t="n">
        <v>45845.93819444445</v>
      </c>
      <c r="C2072" t="inlineStr">
        <is>
          <t>Bogotá D.C.</t>
        </is>
      </c>
      <c r="D2072" t="inlineStr">
        <is>
          <t>Bogotá</t>
        </is>
      </c>
      <c r="E2072" t="inlineStr">
        <is>
          <t>Juguetes</t>
        </is>
      </c>
      <c r="F2072" t="inlineStr">
        <is>
          <t>App</t>
        </is>
      </c>
      <c r="G2072" t="inlineStr">
        <is>
          <t>2. Carrito</t>
        </is>
      </c>
      <c r="H2072" t="n">
        <v>2</v>
      </c>
      <c r="I2072" s="73" t="n">
        <v>114200</v>
      </c>
      <c r="J2072" s="73" t="n">
        <v>228400</v>
      </c>
      <c r="K2072" s="73" t="n">
        <v>131676</v>
      </c>
    </row>
    <row r="2073">
      <c r="A2073" t="n">
        <v>10470</v>
      </c>
      <c r="B2073" s="72" t="n">
        <v>45846.76597222222</v>
      </c>
      <c r="C2073" t="inlineStr">
        <is>
          <t>Bogotá D.C.</t>
        </is>
      </c>
      <c r="D2073" t="inlineStr">
        <is>
          <t>Bogotá</t>
        </is>
      </c>
      <c r="E2073" t="inlineStr">
        <is>
          <t>Moda</t>
        </is>
      </c>
      <c r="F2073" t="inlineStr">
        <is>
          <t>Tienda física</t>
        </is>
      </c>
      <c r="G2073" t="inlineStr">
        <is>
          <t>2. Carrito</t>
        </is>
      </c>
      <c r="H2073" t="n">
        <v>5</v>
      </c>
      <c r="I2073" s="73" t="n">
        <v>111900</v>
      </c>
      <c r="J2073" s="73" t="n">
        <v>559500</v>
      </c>
      <c r="K2073" s="73" t="n">
        <v>358254</v>
      </c>
    </row>
    <row r="2074">
      <c r="A2074" t="n">
        <v>12290</v>
      </c>
      <c r="B2074" s="72" t="n">
        <v>45846.81805555556</v>
      </c>
      <c r="C2074" t="inlineStr">
        <is>
          <t>Valle del Cauca</t>
        </is>
      </c>
      <c r="D2074" t="inlineStr">
        <is>
          <t>Cali</t>
        </is>
      </c>
      <c r="E2074" t="inlineStr">
        <is>
          <t>Moda</t>
        </is>
      </c>
      <c r="F2074" t="inlineStr">
        <is>
          <t>Web</t>
        </is>
      </c>
      <c r="G2074" t="inlineStr">
        <is>
          <t>3. Pago</t>
        </is>
      </c>
      <c r="H2074" t="n">
        <v>2</v>
      </c>
      <c r="I2074" s="73" t="n">
        <v>123100</v>
      </c>
      <c r="J2074" s="73" t="n">
        <v>246200</v>
      </c>
      <c r="K2074" s="73" t="n">
        <v>179536</v>
      </c>
    </row>
    <row r="2075">
      <c r="A2075" t="n">
        <v>11166</v>
      </c>
      <c r="B2075" s="72" t="n">
        <v>45847.50763888889</v>
      </c>
      <c r="C2075" t="inlineStr">
        <is>
          <t>Nariño</t>
        </is>
      </c>
      <c r="D2075" t="inlineStr">
        <is>
          <t>Pasto</t>
        </is>
      </c>
      <c r="E2075" t="inlineStr">
        <is>
          <t>Juguetes</t>
        </is>
      </c>
      <c r="F2075" t="inlineStr">
        <is>
          <t>Web</t>
        </is>
      </c>
      <c r="G2075" t="inlineStr">
        <is>
          <t>4. Compra</t>
        </is>
      </c>
      <c r="H2075" t="n">
        <v>1</v>
      </c>
      <c r="I2075" s="73" t="n">
        <v>92200</v>
      </c>
      <c r="J2075" s="73" t="n">
        <v>92200</v>
      </c>
      <c r="K2075" s="73" t="n">
        <v>52739</v>
      </c>
    </row>
    <row r="2076">
      <c r="A2076" t="n">
        <v>11962</v>
      </c>
      <c r="B2076" s="72" t="n">
        <v>45847.64652777778</v>
      </c>
      <c r="C2076" t="inlineStr">
        <is>
          <t>Atlántico</t>
        </is>
      </c>
      <c r="D2076" t="inlineStr">
        <is>
          <t>Barranquilla</t>
        </is>
      </c>
      <c r="E2076" t="inlineStr">
        <is>
          <t>Hogar</t>
        </is>
      </c>
      <c r="F2076" t="inlineStr">
        <is>
          <t>App</t>
        </is>
      </c>
      <c r="G2076" t="inlineStr">
        <is>
          <t>3. Pago</t>
        </is>
      </c>
      <c r="H2076" t="n">
        <v>2</v>
      </c>
      <c r="I2076" s="73" t="n">
        <v>186800</v>
      </c>
      <c r="J2076" s="73" t="n">
        <v>373600</v>
      </c>
      <c r="K2076" s="73" t="n">
        <v>209840</v>
      </c>
    </row>
    <row r="2077">
      <c r="A2077" t="n">
        <v>10155</v>
      </c>
      <c r="B2077" s="72" t="n">
        <v>45847.80972222222</v>
      </c>
      <c r="C2077" t="inlineStr">
        <is>
          <t>Atlántico</t>
        </is>
      </c>
      <c r="D2077" t="inlineStr">
        <is>
          <t>Barranquilla</t>
        </is>
      </c>
      <c r="E2077" t="inlineStr">
        <is>
          <t>Belleza</t>
        </is>
      </c>
      <c r="F2077" t="inlineStr">
        <is>
          <t>Web</t>
        </is>
      </c>
      <c r="G2077" t="inlineStr">
        <is>
          <t>4. Compra</t>
        </is>
      </c>
      <c r="H2077" t="n">
        <v>5</v>
      </c>
      <c r="I2077" s="73" t="n">
        <v>66200</v>
      </c>
      <c r="J2077" s="73" t="n">
        <v>331000</v>
      </c>
      <c r="K2077" s="73" t="n">
        <v>216232</v>
      </c>
    </row>
    <row r="2078">
      <c r="A2078" t="n">
        <v>11773</v>
      </c>
      <c r="B2078" s="72" t="n">
        <v>45847.83055555556</v>
      </c>
      <c r="C2078" t="inlineStr">
        <is>
          <t>Risaralda</t>
        </is>
      </c>
      <c r="D2078" t="inlineStr">
        <is>
          <t>Pereira</t>
        </is>
      </c>
      <c r="E2078" t="inlineStr">
        <is>
          <t>Deportes</t>
        </is>
      </c>
      <c r="F2078" t="inlineStr">
        <is>
          <t>Tienda física</t>
        </is>
      </c>
      <c r="G2078" t="inlineStr">
        <is>
          <t>1. Visita</t>
        </is>
      </c>
      <c r="H2078" t="n">
        <v>1</v>
      </c>
      <c r="I2078" s="73" t="n">
        <v>116300</v>
      </c>
      <c r="J2078" s="73" t="n">
        <v>116300</v>
      </c>
      <c r="K2078" s="73" t="n">
        <v>78424</v>
      </c>
    </row>
    <row r="2079">
      <c r="A2079" t="n">
        <v>11871</v>
      </c>
      <c r="B2079" s="72" t="n">
        <v>45847.84097222222</v>
      </c>
      <c r="C2079" t="inlineStr">
        <is>
          <t>Risaralda</t>
        </is>
      </c>
      <c r="D2079" t="inlineStr">
        <is>
          <t>Pereira</t>
        </is>
      </c>
      <c r="E2079" t="inlineStr">
        <is>
          <t>Moda</t>
        </is>
      </c>
      <c r="F2079" t="inlineStr">
        <is>
          <t>App</t>
        </is>
      </c>
      <c r="G2079" t="inlineStr">
        <is>
          <t>1. Visita</t>
        </is>
      </c>
      <c r="H2079" t="n">
        <v>4</v>
      </c>
      <c r="I2079" s="73" t="n">
        <v>104500</v>
      </c>
      <c r="J2079" s="73" t="n">
        <v>418000</v>
      </c>
      <c r="K2079" s="73" t="n">
        <v>257671</v>
      </c>
    </row>
    <row r="2080">
      <c r="A2080" t="n">
        <v>11751</v>
      </c>
      <c r="B2080" s="72" t="n">
        <v>45847.85069444445</v>
      </c>
      <c r="C2080" t="inlineStr">
        <is>
          <t>Atlántico</t>
        </is>
      </c>
      <c r="D2080" t="inlineStr">
        <is>
          <t>Barranquilla</t>
        </is>
      </c>
      <c r="E2080" t="inlineStr">
        <is>
          <t>Tecnología</t>
        </is>
      </c>
      <c r="F2080" t="inlineStr">
        <is>
          <t>Web</t>
        </is>
      </c>
      <c r="G2080" t="inlineStr">
        <is>
          <t>1. Visita</t>
        </is>
      </c>
      <c r="H2080" t="n">
        <v>2</v>
      </c>
      <c r="I2080" s="73" t="n">
        <v>665300</v>
      </c>
      <c r="J2080" s="73" t="n">
        <v>1330600</v>
      </c>
      <c r="K2080" s="73" t="n">
        <v>757904</v>
      </c>
    </row>
    <row r="2081">
      <c r="A2081" t="n">
        <v>10126</v>
      </c>
      <c r="B2081" s="72" t="n">
        <v>45848.20138888889</v>
      </c>
      <c r="C2081" t="inlineStr">
        <is>
          <t>Antioquia</t>
        </is>
      </c>
      <c r="D2081" t="inlineStr">
        <is>
          <t>Medellín</t>
        </is>
      </c>
      <c r="E2081" t="inlineStr">
        <is>
          <t>Juguetes</t>
        </is>
      </c>
      <c r="F2081" t="inlineStr">
        <is>
          <t>Tienda física</t>
        </is>
      </c>
      <c r="G2081" t="inlineStr">
        <is>
          <t>1. Visita</t>
        </is>
      </c>
      <c r="H2081" t="n">
        <v>3</v>
      </c>
      <c r="I2081" s="73" t="n">
        <v>91500</v>
      </c>
      <c r="J2081" s="73" t="n">
        <v>274500</v>
      </c>
      <c r="K2081" s="73" t="n">
        <v>176375</v>
      </c>
    </row>
    <row r="2082">
      <c r="A2082" t="n">
        <v>10369</v>
      </c>
      <c r="B2082" s="72" t="n">
        <v>45848.30625</v>
      </c>
      <c r="C2082" t="inlineStr">
        <is>
          <t>Santander</t>
        </is>
      </c>
      <c r="D2082" t="inlineStr">
        <is>
          <t>Bucaramanga</t>
        </is>
      </c>
      <c r="E2082" t="inlineStr">
        <is>
          <t>Hogar</t>
        </is>
      </c>
      <c r="F2082" t="inlineStr">
        <is>
          <t>Marketplace</t>
        </is>
      </c>
      <c r="G2082" t="inlineStr">
        <is>
          <t>2. Carrito</t>
        </is>
      </c>
      <c r="H2082" t="n">
        <v>4</v>
      </c>
      <c r="I2082" s="73" t="n">
        <v>196900</v>
      </c>
      <c r="J2082" s="73" t="n">
        <v>787600</v>
      </c>
      <c r="K2082" s="73" t="n">
        <v>523009</v>
      </c>
    </row>
    <row r="2083">
      <c r="A2083" t="n">
        <v>10984</v>
      </c>
      <c r="B2083" s="72" t="n">
        <v>45848.625</v>
      </c>
      <c r="C2083" t="inlineStr">
        <is>
          <t>Bogotá D.C.</t>
        </is>
      </c>
      <c r="D2083" t="inlineStr">
        <is>
          <t>Bogotá</t>
        </is>
      </c>
      <c r="E2083" t="inlineStr">
        <is>
          <t>Hogar</t>
        </is>
      </c>
      <c r="F2083" t="inlineStr">
        <is>
          <t>Tienda física</t>
        </is>
      </c>
      <c r="G2083" t="inlineStr">
        <is>
          <t>1. Visita</t>
        </is>
      </c>
      <c r="H2083" t="n">
        <v>2</v>
      </c>
      <c r="I2083" s="73" t="n">
        <v>268300</v>
      </c>
      <c r="J2083" s="73" t="n">
        <v>536600</v>
      </c>
      <c r="K2083" s="73" t="n">
        <v>305275</v>
      </c>
    </row>
    <row r="2084">
      <c r="A2084" t="n">
        <v>10696</v>
      </c>
      <c r="B2084" s="72" t="n">
        <v>45848.73055555556</v>
      </c>
      <c r="C2084" t="inlineStr">
        <is>
          <t>Meta</t>
        </is>
      </c>
      <c r="D2084" t="inlineStr">
        <is>
          <t>Villavicencio</t>
        </is>
      </c>
      <c r="E2084" t="inlineStr">
        <is>
          <t>Belleza</t>
        </is>
      </c>
      <c r="F2084" t="inlineStr">
        <is>
          <t>Marketplace</t>
        </is>
      </c>
      <c r="G2084" t="inlineStr">
        <is>
          <t>3. Pago</t>
        </is>
      </c>
      <c r="H2084" t="n">
        <v>1</v>
      </c>
      <c r="I2084" s="73" t="n">
        <v>85000</v>
      </c>
      <c r="J2084" s="73" t="n">
        <v>85000</v>
      </c>
      <c r="K2084" s="73" t="n">
        <v>56117</v>
      </c>
    </row>
    <row r="2085">
      <c r="A2085" t="n">
        <v>11262</v>
      </c>
      <c r="B2085" s="72" t="n">
        <v>45849.52083333334</v>
      </c>
      <c r="C2085" t="inlineStr">
        <is>
          <t>Antioquia</t>
        </is>
      </c>
      <c r="D2085" t="inlineStr">
        <is>
          <t>Medellín</t>
        </is>
      </c>
      <c r="E2085" t="inlineStr">
        <is>
          <t>Tecnología</t>
        </is>
      </c>
      <c r="F2085" t="inlineStr">
        <is>
          <t>Tienda física</t>
        </is>
      </c>
      <c r="G2085" t="inlineStr">
        <is>
          <t>2. Carrito</t>
        </is>
      </c>
      <c r="H2085" t="n">
        <v>4</v>
      </c>
      <c r="I2085" s="73" t="n">
        <v>942200</v>
      </c>
      <c r="J2085" s="73" t="n">
        <v>4334120</v>
      </c>
      <c r="K2085" s="73" t="n">
        <v>3198643</v>
      </c>
    </row>
    <row r="2086">
      <c r="A2086" t="n">
        <v>11352</v>
      </c>
      <c r="B2086" s="72" t="n">
        <v>45849.91805555556</v>
      </c>
      <c r="C2086" t="inlineStr">
        <is>
          <t>Bolívar</t>
        </is>
      </c>
      <c r="D2086" t="inlineStr">
        <is>
          <t>Cartagena</t>
        </is>
      </c>
      <c r="E2086" t="inlineStr">
        <is>
          <t>Tecnología</t>
        </is>
      </c>
      <c r="F2086" t="inlineStr">
        <is>
          <t>Web</t>
        </is>
      </c>
      <c r="G2086" t="inlineStr">
        <is>
          <t>1. Visita</t>
        </is>
      </c>
      <c r="H2086" t="n">
        <v>2</v>
      </c>
      <c r="I2086" s="73" t="n">
        <v>624000</v>
      </c>
      <c r="J2086" s="73" t="n">
        <v>1435200</v>
      </c>
      <c r="K2086" s="73" t="n">
        <v>909532</v>
      </c>
    </row>
    <row r="2087">
      <c r="A2087" t="n">
        <v>11192</v>
      </c>
      <c r="B2087" s="72" t="n">
        <v>45850.62013888889</v>
      </c>
      <c r="C2087" t="inlineStr">
        <is>
          <t>Valle del Cauca</t>
        </is>
      </c>
      <c r="D2087" t="inlineStr">
        <is>
          <t>Cali</t>
        </is>
      </c>
      <c r="E2087" t="inlineStr">
        <is>
          <t>Tecnología</t>
        </is>
      </c>
      <c r="F2087" t="inlineStr">
        <is>
          <t>Web</t>
        </is>
      </c>
      <c r="G2087" t="inlineStr">
        <is>
          <t>3. Pago</t>
        </is>
      </c>
      <c r="H2087" t="n">
        <v>4</v>
      </c>
      <c r="I2087" s="73" t="n">
        <v>666300</v>
      </c>
      <c r="J2087" s="73" t="n">
        <v>3064980</v>
      </c>
      <c r="K2087" s="73" t="n">
        <v>1927734</v>
      </c>
    </row>
    <row r="2088">
      <c r="A2088" t="n">
        <v>11723</v>
      </c>
      <c r="B2088" s="72" t="n">
        <v>45850.82708333333</v>
      </c>
      <c r="C2088" t="inlineStr">
        <is>
          <t>Santander</t>
        </is>
      </c>
      <c r="D2088" t="inlineStr">
        <is>
          <t>Bucaramanga</t>
        </is>
      </c>
      <c r="E2088" t="inlineStr">
        <is>
          <t>Moda</t>
        </is>
      </c>
      <c r="F2088" t="inlineStr">
        <is>
          <t>Web</t>
        </is>
      </c>
      <c r="G2088" t="inlineStr">
        <is>
          <t>4. Compra</t>
        </is>
      </c>
      <c r="H2088" t="n">
        <v>5</v>
      </c>
      <c r="I2088" s="73" t="n">
        <v>111600</v>
      </c>
      <c r="J2088" s="73" t="n">
        <v>641700</v>
      </c>
      <c r="K2088" s="73" t="n">
        <v>417623</v>
      </c>
    </row>
    <row r="2089">
      <c r="A2089" t="n">
        <v>12350</v>
      </c>
      <c r="B2089" s="72" t="n">
        <v>45850.87986111111</v>
      </c>
      <c r="C2089" t="inlineStr">
        <is>
          <t>Antioquia</t>
        </is>
      </c>
      <c r="D2089" t="inlineStr">
        <is>
          <t>Medellín</t>
        </is>
      </c>
      <c r="E2089" t="inlineStr">
        <is>
          <t>Belleza</t>
        </is>
      </c>
      <c r="F2089" t="inlineStr">
        <is>
          <t>Tienda física</t>
        </is>
      </c>
      <c r="G2089" t="inlineStr">
        <is>
          <t>1. Visita</t>
        </is>
      </c>
      <c r="H2089" t="n">
        <v>2</v>
      </c>
      <c r="I2089" s="73" t="n">
        <v>70600</v>
      </c>
      <c r="J2089" s="73" t="n">
        <v>162380</v>
      </c>
      <c r="K2089" s="73" t="n">
        <v>109495</v>
      </c>
    </row>
    <row r="2090">
      <c r="A2090" t="n">
        <v>11309</v>
      </c>
      <c r="B2090" s="72" t="n">
        <v>45851.33680555555</v>
      </c>
      <c r="C2090" t="inlineStr">
        <is>
          <t>Bogotá D.C.</t>
        </is>
      </c>
      <c r="D2090" t="inlineStr">
        <is>
          <t>Bogotá</t>
        </is>
      </c>
      <c r="E2090" t="inlineStr">
        <is>
          <t>Hogar</t>
        </is>
      </c>
      <c r="F2090" t="inlineStr">
        <is>
          <t>Web</t>
        </is>
      </c>
      <c r="G2090" t="inlineStr">
        <is>
          <t>1. Visita</t>
        </is>
      </c>
      <c r="H2090" t="n">
        <v>5</v>
      </c>
      <c r="I2090" s="73" t="n">
        <v>191600</v>
      </c>
      <c r="J2090" s="73" t="n">
        <v>1101700</v>
      </c>
      <c r="K2090" s="73" t="n">
        <v>734295</v>
      </c>
    </row>
    <row r="2091">
      <c r="A2091" t="n">
        <v>11371</v>
      </c>
      <c r="B2091" s="72" t="n">
        <v>45851.51736111111</v>
      </c>
      <c r="C2091" t="inlineStr">
        <is>
          <t>Bogotá D.C.</t>
        </is>
      </c>
      <c r="D2091" t="inlineStr">
        <is>
          <t>Bogotá</t>
        </is>
      </c>
      <c r="E2091" t="inlineStr">
        <is>
          <t>Moda</t>
        </is>
      </c>
      <c r="F2091" t="inlineStr">
        <is>
          <t>App</t>
        </is>
      </c>
      <c r="G2091" t="inlineStr">
        <is>
          <t>1. Visita</t>
        </is>
      </c>
      <c r="H2091" t="n">
        <v>4</v>
      </c>
      <c r="I2091" s="73" t="n">
        <v>114800</v>
      </c>
      <c r="J2091" s="73" t="n">
        <v>528080</v>
      </c>
      <c r="K2091" s="73" t="n">
        <v>310557</v>
      </c>
    </row>
    <row r="2092">
      <c r="A2092" t="n">
        <v>10447</v>
      </c>
      <c r="B2092" s="72" t="n">
        <v>45851.63333333333</v>
      </c>
      <c r="C2092" t="inlineStr">
        <is>
          <t>Atlántico</t>
        </is>
      </c>
      <c r="D2092" t="inlineStr">
        <is>
          <t>Barranquilla</t>
        </is>
      </c>
      <c r="E2092" t="inlineStr">
        <is>
          <t>Hogar</t>
        </is>
      </c>
      <c r="F2092" t="inlineStr">
        <is>
          <t>Web</t>
        </is>
      </c>
      <c r="G2092" t="inlineStr">
        <is>
          <t>2. Carrito</t>
        </is>
      </c>
      <c r="H2092" t="n">
        <v>4</v>
      </c>
      <c r="I2092" s="73" t="n">
        <v>207500</v>
      </c>
      <c r="J2092" s="73" t="n">
        <v>954500</v>
      </c>
      <c r="K2092" s="73" t="n">
        <v>549726</v>
      </c>
    </row>
    <row r="2093">
      <c r="A2093" t="n">
        <v>11581</v>
      </c>
      <c r="B2093" s="72" t="n">
        <v>45851.73541666667</v>
      </c>
      <c r="C2093" t="inlineStr">
        <is>
          <t>Atlántico</t>
        </is>
      </c>
      <c r="D2093" t="inlineStr">
        <is>
          <t>Barranquilla</t>
        </is>
      </c>
      <c r="E2093" t="inlineStr">
        <is>
          <t>Juguetes</t>
        </is>
      </c>
      <c r="F2093" t="inlineStr">
        <is>
          <t>App</t>
        </is>
      </c>
      <c r="G2093" t="inlineStr">
        <is>
          <t>1. Visita</t>
        </is>
      </c>
      <c r="H2093" t="n">
        <v>3</v>
      </c>
      <c r="I2093" s="73" t="n">
        <v>67300</v>
      </c>
      <c r="J2093" s="73" t="n">
        <v>232185</v>
      </c>
      <c r="K2093" s="73" t="n">
        <v>135939</v>
      </c>
    </row>
    <row r="2094">
      <c r="A2094" t="n">
        <v>11709</v>
      </c>
      <c r="B2094" s="72" t="n">
        <v>45852.03958333333</v>
      </c>
      <c r="C2094" t="inlineStr">
        <is>
          <t>Santander</t>
        </is>
      </c>
      <c r="D2094" t="inlineStr">
        <is>
          <t>Bucaramanga</t>
        </is>
      </c>
      <c r="E2094" t="inlineStr">
        <is>
          <t>Tecnología</t>
        </is>
      </c>
      <c r="F2094" t="inlineStr">
        <is>
          <t>Web</t>
        </is>
      </c>
      <c r="G2094" t="inlineStr">
        <is>
          <t>1. Visita</t>
        </is>
      </c>
      <c r="H2094" t="n">
        <v>1</v>
      </c>
      <c r="I2094" s="73" t="n">
        <v>803400</v>
      </c>
      <c r="J2094" s="73" t="n">
        <v>803400</v>
      </c>
      <c r="K2094" s="73" t="n">
        <v>584629</v>
      </c>
    </row>
    <row r="2095">
      <c r="A2095" t="n">
        <v>11688</v>
      </c>
      <c r="B2095" s="72" t="n">
        <v>45852.47777777778</v>
      </c>
      <c r="C2095" t="inlineStr">
        <is>
          <t>Bolívar</t>
        </is>
      </c>
      <c r="D2095" t="inlineStr">
        <is>
          <t>Cartagena</t>
        </is>
      </c>
      <c r="E2095" t="inlineStr">
        <is>
          <t>Juguetes</t>
        </is>
      </c>
      <c r="F2095" t="inlineStr">
        <is>
          <t>App</t>
        </is>
      </c>
      <c r="G2095" t="inlineStr">
        <is>
          <t>4. Compra</t>
        </is>
      </c>
      <c r="H2095" t="n">
        <v>3</v>
      </c>
      <c r="I2095" s="73" t="n">
        <v>80500</v>
      </c>
      <c r="J2095" s="73" t="n">
        <v>241500</v>
      </c>
      <c r="K2095" s="73" t="n">
        <v>170387</v>
      </c>
    </row>
    <row r="2096">
      <c r="A2096" t="n">
        <v>10852</v>
      </c>
      <c r="B2096" s="72" t="n">
        <v>45852.51041666666</v>
      </c>
      <c r="C2096" t="inlineStr">
        <is>
          <t>Valle del Cauca</t>
        </is>
      </c>
      <c r="D2096" t="inlineStr">
        <is>
          <t>Cali</t>
        </is>
      </c>
      <c r="E2096" t="inlineStr">
        <is>
          <t>Tecnología</t>
        </is>
      </c>
      <c r="F2096" t="inlineStr">
        <is>
          <t>App</t>
        </is>
      </c>
      <c r="G2096" t="inlineStr">
        <is>
          <t>4. Compra</t>
        </is>
      </c>
      <c r="H2096" t="n">
        <v>3</v>
      </c>
      <c r="I2096" s="73" t="n">
        <v>970700</v>
      </c>
      <c r="J2096" s="73" t="n">
        <v>2912100</v>
      </c>
      <c r="K2096" s="73" t="n">
        <v>2020951</v>
      </c>
    </row>
    <row r="2097">
      <c r="A2097" t="n">
        <v>11281</v>
      </c>
      <c r="B2097" s="72" t="n">
        <v>45852.71875</v>
      </c>
      <c r="C2097" t="inlineStr">
        <is>
          <t>Valle del Cauca</t>
        </is>
      </c>
      <c r="D2097" t="inlineStr">
        <is>
          <t>Cali</t>
        </is>
      </c>
      <c r="E2097" t="inlineStr">
        <is>
          <t>Belleza</t>
        </is>
      </c>
      <c r="F2097" t="inlineStr">
        <is>
          <t>Tienda física</t>
        </is>
      </c>
      <c r="G2097" t="inlineStr">
        <is>
          <t>1. Visita</t>
        </is>
      </c>
      <c r="H2097" t="n">
        <v>3</v>
      </c>
      <c r="I2097" s="73" t="n">
        <v>88900</v>
      </c>
      <c r="J2097" s="73" t="n">
        <v>266700</v>
      </c>
      <c r="K2097" s="73" t="n">
        <v>186228</v>
      </c>
    </row>
    <row r="2098">
      <c r="A2098" t="n">
        <v>10442</v>
      </c>
      <c r="B2098" s="72" t="n">
        <v>45852.78611111111</v>
      </c>
      <c r="C2098" t="inlineStr">
        <is>
          <t>Meta</t>
        </is>
      </c>
      <c r="D2098" t="inlineStr">
        <is>
          <t>Villavicencio</t>
        </is>
      </c>
      <c r="E2098" t="inlineStr">
        <is>
          <t>Juguetes</t>
        </is>
      </c>
      <c r="F2098" t="inlineStr">
        <is>
          <t>App</t>
        </is>
      </c>
      <c r="G2098" t="inlineStr">
        <is>
          <t>1. Visita</t>
        </is>
      </c>
      <c r="H2098" t="n">
        <v>2</v>
      </c>
      <c r="I2098" s="73" t="n">
        <v>103300</v>
      </c>
      <c r="J2098" s="73" t="n">
        <v>206600</v>
      </c>
      <c r="K2098" s="73" t="n">
        <v>143410</v>
      </c>
    </row>
    <row r="2099">
      <c r="A2099" t="n">
        <v>11704</v>
      </c>
      <c r="B2099" s="72" t="n">
        <v>45852.84861111111</v>
      </c>
      <c r="C2099" t="inlineStr">
        <is>
          <t>Bogotá D.C.</t>
        </is>
      </c>
      <c r="D2099" t="inlineStr">
        <is>
          <t>Bogotá</t>
        </is>
      </c>
      <c r="E2099" t="inlineStr">
        <is>
          <t>Tecnología</t>
        </is>
      </c>
      <c r="F2099" t="inlineStr">
        <is>
          <t>Tienda física</t>
        </is>
      </c>
      <c r="G2099" t="inlineStr">
        <is>
          <t>1. Visita</t>
        </is>
      </c>
      <c r="H2099" t="n">
        <v>3</v>
      </c>
      <c r="I2099" s="73" t="n">
        <v>1060100</v>
      </c>
      <c r="J2099" s="73" t="n">
        <v>3180300</v>
      </c>
      <c r="K2099" s="73" t="n">
        <v>2176028</v>
      </c>
    </row>
    <row r="2100">
      <c r="A2100" t="n">
        <v>10360</v>
      </c>
      <c r="B2100" s="72" t="n">
        <v>45852.87013888889</v>
      </c>
      <c r="C2100" t="inlineStr">
        <is>
          <t>Bogotá D.C.</t>
        </is>
      </c>
      <c r="D2100" t="inlineStr">
        <is>
          <t>Bogotá</t>
        </is>
      </c>
      <c r="E2100" t="inlineStr">
        <is>
          <t>Tecnología</t>
        </is>
      </c>
      <c r="F2100" t="inlineStr">
        <is>
          <t>Marketplace</t>
        </is>
      </c>
      <c r="G2100" t="inlineStr">
        <is>
          <t>1. Visita</t>
        </is>
      </c>
      <c r="H2100" t="n">
        <v>1</v>
      </c>
      <c r="I2100" s="73" t="n">
        <v>1046400</v>
      </c>
      <c r="J2100" s="73" t="n">
        <v>1046400</v>
      </c>
      <c r="K2100" s="73" t="n">
        <v>576319</v>
      </c>
    </row>
    <row r="2101">
      <c r="A2101" t="n">
        <v>11608</v>
      </c>
      <c r="B2101" s="72" t="n">
        <v>45853.66041666667</v>
      </c>
      <c r="C2101" t="inlineStr">
        <is>
          <t>Meta</t>
        </is>
      </c>
      <c r="D2101" t="inlineStr">
        <is>
          <t>Villavicencio</t>
        </is>
      </c>
      <c r="E2101" t="inlineStr">
        <is>
          <t>Hogar</t>
        </is>
      </c>
      <c r="F2101" t="inlineStr">
        <is>
          <t>Web</t>
        </is>
      </c>
      <c r="G2101" t="inlineStr">
        <is>
          <t>1. Visita</t>
        </is>
      </c>
      <c r="H2101" t="n">
        <v>3</v>
      </c>
      <c r="I2101" s="73" t="n">
        <v>250800</v>
      </c>
      <c r="J2101" s="73" t="n">
        <v>752400</v>
      </c>
      <c r="K2101" s="73" t="n">
        <v>462917</v>
      </c>
    </row>
    <row r="2102">
      <c r="A2102" t="n">
        <v>11656</v>
      </c>
      <c r="B2102" s="72" t="n">
        <v>45853.90208333333</v>
      </c>
      <c r="C2102" t="inlineStr">
        <is>
          <t>Nariño</t>
        </is>
      </c>
      <c r="D2102" t="inlineStr">
        <is>
          <t>Pasto</t>
        </is>
      </c>
      <c r="E2102" t="inlineStr">
        <is>
          <t>Tecnología</t>
        </is>
      </c>
      <c r="F2102" t="inlineStr">
        <is>
          <t>Tienda física</t>
        </is>
      </c>
      <c r="G2102" t="inlineStr">
        <is>
          <t>3. Pago</t>
        </is>
      </c>
      <c r="H2102" t="n">
        <v>2</v>
      </c>
      <c r="I2102" s="73" t="n">
        <v>947800</v>
      </c>
      <c r="J2102" s="73" t="n">
        <v>1895600</v>
      </c>
      <c r="K2102" s="73" t="n">
        <v>1247236</v>
      </c>
    </row>
    <row r="2103">
      <c r="A2103" t="n">
        <v>11270</v>
      </c>
      <c r="B2103" s="72" t="n">
        <v>45854.02986111111</v>
      </c>
      <c r="C2103" t="inlineStr">
        <is>
          <t>Valle del Cauca</t>
        </is>
      </c>
      <c r="D2103" t="inlineStr">
        <is>
          <t>Cali</t>
        </is>
      </c>
      <c r="E2103" t="inlineStr">
        <is>
          <t>Deportes</t>
        </is>
      </c>
      <c r="F2103" t="inlineStr">
        <is>
          <t>Web</t>
        </is>
      </c>
      <c r="G2103" t="inlineStr">
        <is>
          <t>2. Carrito</t>
        </is>
      </c>
      <c r="H2103" t="n">
        <v>1</v>
      </c>
      <c r="I2103" s="73" t="n">
        <v>154800</v>
      </c>
      <c r="J2103" s="73" t="n">
        <v>154800</v>
      </c>
      <c r="K2103" s="73" t="n">
        <v>90284</v>
      </c>
    </row>
    <row r="2104">
      <c r="A2104" t="n">
        <v>12053</v>
      </c>
      <c r="B2104" s="72" t="n">
        <v>45854.59930555556</v>
      </c>
      <c r="C2104" t="inlineStr">
        <is>
          <t>Atlántico</t>
        </is>
      </c>
      <c r="D2104" t="inlineStr">
        <is>
          <t>Barranquilla</t>
        </is>
      </c>
      <c r="E2104" t="inlineStr">
        <is>
          <t>Hogar</t>
        </is>
      </c>
      <c r="F2104" t="inlineStr">
        <is>
          <t>App</t>
        </is>
      </c>
      <c r="G2104" t="inlineStr">
        <is>
          <t>4. Compra</t>
        </is>
      </c>
      <c r="H2104" t="n">
        <v>1</v>
      </c>
      <c r="I2104" s="73" t="n">
        <v>238300</v>
      </c>
      <c r="J2104" s="73" t="n">
        <v>238300</v>
      </c>
      <c r="K2104" s="73" t="n">
        <v>144162</v>
      </c>
    </row>
    <row r="2105">
      <c r="A2105" t="n">
        <v>12124</v>
      </c>
      <c r="B2105" s="72" t="n">
        <v>45854.61736111111</v>
      </c>
      <c r="C2105" t="inlineStr">
        <is>
          <t>Antioquia</t>
        </is>
      </c>
      <c r="D2105" t="inlineStr">
        <is>
          <t>Medellín</t>
        </is>
      </c>
      <c r="E2105" t="inlineStr">
        <is>
          <t>Juguetes</t>
        </is>
      </c>
      <c r="F2105" t="inlineStr">
        <is>
          <t>Tienda física</t>
        </is>
      </c>
      <c r="G2105" t="inlineStr">
        <is>
          <t>1. Visita</t>
        </is>
      </c>
      <c r="H2105" t="n">
        <v>1</v>
      </c>
      <c r="I2105" s="73" t="n">
        <v>68300</v>
      </c>
      <c r="J2105" s="73" t="n">
        <v>68300</v>
      </c>
      <c r="K2105" s="73" t="n">
        <v>46205</v>
      </c>
    </row>
    <row r="2106">
      <c r="A2106" t="n">
        <v>10297</v>
      </c>
      <c r="B2106" s="72" t="n">
        <v>45854.65625</v>
      </c>
      <c r="C2106" t="inlineStr">
        <is>
          <t>Bogotá D.C.</t>
        </is>
      </c>
      <c r="D2106" t="inlineStr">
        <is>
          <t>Bogotá</t>
        </is>
      </c>
      <c r="E2106" t="inlineStr">
        <is>
          <t>Moda</t>
        </is>
      </c>
      <c r="F2106" t="inlineStr">
        <is>
          <t>App</t>
        </is>
      </c>
      <c r="G2106" t="inlineStr">
        <is>
          <t>3. Pago</t>
        </is>
      </c>
      <c r="H2106" t="n">
        <v>5</v>
      </c>
      <c r="I2106" s="73" t="n">
        <v>125500</v>
      </c>
      <c r="J2106" s="73" t="n">
        <v>627500</v>
      </c>
      <c r="K2106" s="73" t="n">
        <v>429318</v>
      </c>
    </row>
    <row r="2107">
      <c r="A2107" t="n">
        <v>11052</v>
      </c>
      <c r="B2107" s="72" t="n">
        <v>45854.67430555556</v>
      </c>
      <c r="C2107" t="inlineStr">
        <is>
          <t>Antioquia</t>
        </is>
      </c>
      <c r="D2107" t="inlineStr">
        <is>
          <t>Medellín</t>
        </is>
      </c>
      <c r="E2107" t="inlineStr">
        <is>
          <t>Belleza</t>
        </is>
      </c>
      <c r="F2107" t="inlineStr">
        <is>
          <t>Web</t>
        </is>
      </c>
      <c r="G2107" t="inlineStr">
        <is>
          <t>2. Carrito</t>
        </is>
      </c>
      <c r="H2107" t="n">
        <v>1</v>
      </c>
      <c r="I2107" s="73" t="n">
        <v>79400</v>
      </c>
      <c r="J2107" s="73" t="n">
        <v>79400</v>
      </c>
      <c r="K2107" s="73" t="n">
        <v>53654</v>
      </c>
    </row>
    <row r="2108">
      <c r="A2108" t="n">
        <v>12038</v>
      </c>
      <c r="B2108" s="72" t="n">
        <v>45854.81388888889</v>
      </c>
      <c r="C2108" t="inlineStr">
        <is>
          <t>Valle del Cauca</t>
        </is>
      </c>
      <c r="D2108" t="inlineStr">
        <is>
          <t>Cali</t>
        </is>
      </c>
      <c r="E2108" t="inlineStr">
        <is>
          <t>Tecnología</t>
        </is>
      </c>
      <c r="F2108" t="inlineStr">
        <is>
          <t>Marketplace</t>
        </is>
      </c>
      <c r="G2108" t="inlineStr">
        <is>
          <t>4. Compra</t>
        </is>
      </c>
      <c r="H2108" t="n">
        <v>3</v>
      </c>
      <c r="I2108" s="73" t="n">
        <v>713500</v>
      </c>
      <c r="J2108" s="73" t="n">
        <v>2140500</v>
      </c>
      <c r="K2108" s="73" t="n">
        <v>1374018</v>
      </c>
    </row>
    <row r="2109">
      <c r="A2109" t="n">
        <v>10422</v>
      </c>
      <c r="B2109" s="72" t="n">
        <v>45854.82777777778</v>
      </c>
      <c r="C2109" t="inlineStr">
        <is>
          <t>Antioquia</t>
        </is>
      </c>
      <c r="D2109" t="inlineStr">
        <is>
          <t>Medellín</t>
        </is>
      </c>
      <c r="E2109" t="inlineStr">
        <is>
          <t>Tecnología</t>
        </is>
      </c>
      <c r="F2109" t="inlineStr">
        <is>
          <t>App</t>
        </is>
      </c>
      <c r="G2109" t="inlineStr">
        <is>
          <t>1. Visita</t>
        </is>
      </c>
      <c r="H2109" t="n">
        <v>4</v>
      </c>
      <c r="I2109" s="73" t="n">
        <v>745000</v>
      </c>
      <c r="J2109" s="73" t="n">
        <v>2980000</v>
      </c>
      <c r="K2109" s="73" t="n">
        <v>1902532</v>
      </c>
    </row>
    <row r="2110">
      <c r="A2110" t="n">
        <v>10966</v>
      </c>
      <c r="B2110" s="72" t="n">
        <v>45854.96041666667</v>
      </c>
      <c r="C2110" t="inlineStr">
        <is>
          <t>Santander</t>
        </is>
      </c>
      <c r="D2110" t="inlineStr">
        <is>
          <t>Bucaramanga</t>
        </is>
      </c>
      <c r="E2110" t="inlineStr">
        <is>
          <t>Hogar</t>
        </is>
      </c>
      <c r="F2110" t="inlineStr">
        <is>
          <t>Tienda física</t>
        </is>
      </c>
      <c r="G2110" t="inlineStr">
        <is>
          <t>1. Visita</t>
        </is>
      </c>
      <c r="H2110" t="n">
        <v>2</v>
      </c>
      <c r="I2110" s="73" t="n">
        <v>270000</v>
      </c>
      <c r="J2110" s="73" t="n">
        <v>540000</v>
      </c>
      <c r="K2110" s="73" t="n">
        <v>396663</v>
      </c>
    </row>
    <row r="2111">
      <c r="A2111" t="n">
        <v>11783</v>
      </c>
      <c r="B2111" s="72" t="n">
        <v>45855.8</v>
      </c>
      <c r="C2111" t="inlineStr">
        <is>
          <t>Meta</t>
        </is>
      </c>
      <c r="D2111" t="inlineStr">
        <is>
          <t>Villavicencio</t>
        </is>
      </c>
      <c r="E2111" t="inlineStr">
        <is>
          <t>Juguetes</t>
        </is>
      </c>
      <c r="F2111" t="inlineStr">
        <is>
          <t>Tienda física</t>
        </is>
      </c>
      <c r="G2111" t="inlineStr">
        <is>
          <t>4. Compra</t>
        </is>
      </c>
      <c r="H2111" t="n">
        <v>1</v>
      </c>
      <c r="I2111" s="73" t="n">
        <v>92600</v>
      </c>
      <c r="J2111" s="73" t="n">
        <v>92600</v>
      </c>
      <c r="K2111" s="73" t="n">
        <v>65631</v>
      </c>
    </row>
    <row r="2112">
      <c r="A2112" t="n">
        <v>11811</v>
      </c>
      <c r="B2112" s="72" t="n">
        <v>45855.87777777778</v>
      </c>
      <c r="C2112" t="inlineStr">
        <is>
          <t>Santander</t>
        </is>
      </c>
      <c r="D2112" t="inlineStr">
        <is>
          <t>Bucaramanga</t>
        </is>
      </c>
      <c r="E2112" t="inlineStr">
        <is>
          <t>Deportes</t>
        </is>
      </c>
      <c r="F2112" t="inlineStr">
        <is>
          <t>Marketplace</t>
        </is>
      </c>
      <c r="G2112" t="inlineStr">
        <is>
          <t>1. Visita</t>
        </is>
      </c>
      <c r="H2112" t="n">
        <v>2</v>
      </c>
      <c r="I2112" s="73" t="n">
        <v>121500</v>
      </c>
      <c r="J2112" s="73" t="n">
        <v>243000</v>
      </c>
      <c r="K2112" s="73" t="n">
        <v>158541</v>
      </c>
    </row>
    <row r="2113">
      <c r="A2113" t="n">
        <v>10290</v>
      </c>
      <c r="B2113" s="72" t="n">
        <v>45855.94097222222</v>
      </c>
      <c r="C2113" t="inlineStr">
        <is>
          <t>Valle del Cauca</t>
        </is>
      </c>
      <c r="D2113" t="inlineStr">
        <is>
          <t>Cali</t>
        </is>
      </c>
      <c r="E2113" t="inlineStr">
        <is>
          <t>Deportes</t>
        </is>
      </c>
      <c r="F2113" t="inlineStr">
        <is>
          <t>App</t>
        </is>
      </c>
      <c r="G2113" t="inlineStr">
        <is>
          <t>3. Pago</t>
        </is>
      </c>
      <c r="H2113" t="n">
        <v>1</v>
      </c>
      <c r="I2113" s="73" t="n">
        <v>123200</v>
      </c>
      <c r="J2113" s="73" t="n">
        <v>123200</v>
      </c>
      <c r="K2113" s="73" t="n">
        <v>87627</v>
      </c>
    </row>
    <row r="2114">
      <c r="A2114" t="n">
        <v>11092</v>
      </c>
      <c r="B2114" s="72" t="n">
        <v>45856.47569444445</v>
      </c>
      <c r="C2114" t="inlineStr">
        <is>
          <t>Bogotá D.C.</t>
        </is>
      </c>
      <c r="D2114" t="inlineStr">
        <is>
          <t>Bogotá</t>
        </is>
      </c>
      <c r="E2114" t="inlineStr">
        <is>
          <t>Moda</t>
        </is>
      </c>
      <c r="F2114" t="inlineStr">
        <is>
          <t>Marketplace</t>
        </is>
      </c>
      <c r="G2114" t="inlineStr">
        <is>
          <t>2. Carrito</t>
        </is>
      </c>
      <c r="H2114" t="n">
        <v>4</v>
      </c>
      <c r="I2114" s="73" t="n">
        <v>138800</v>
      </c>
      <c r="J2114" s="73" t="n">
        <v>638480</v>
      </c>
      <c r="K2114" s="73" t="n">
        <v>466283</v>
      </c>
    </row>
    <row r="2115">
      <c r="A2115" t="n">
        <v>12385</v>
      </c>
      <c r="B2115" s="72" t="n">
        <v>45856.47569444445</v>
      </c>
      <c r="C2115" t="inlineStr">
        <is>
          <t>Bolívar</t>
        </is>
      </c>
      <c r="D2115" t="inlineStr">
        <is>
          <t>Cartagena</t>
        </is>
      </c>
      <c r="E2115" t="inlineStr">
        <is>
          <t>Deportes</t>
        </is>
      </c>
      <c r="F2115" t="inlineStr">
        <is>
          <t>Web</t>
        </is>
      </c>
      <c r="G2115" t="inlineStr">
        <is>
          <t>2. Carrito</t>
        </is>
      </c>
      <c r="H2115" t="n">
        <v>4</v>
      </c>
      <c r="I2115" s="73" t="n">
        <v>117400</v>
      </c>
      <c r="J2115" s="73" t="n">
        <v>540040</v>
      </c>
      <c r="K2115" s="73" t="n">
        <v>298695</v>
      </c>
    </row>
    <row r="2116">
      <c r="A2116" t="n">
        <v>12358</v>
      </c>
      <c r="B2116" s="72" t="n">
        <v>45856.53958333333</v>
      </c>
      <c r="C2116" t="inlineStr">
        <is>
          <t>Santander</t>
        </is>
      </c>
      <c r="D2116" t="inlineStr">
        <is>
          <t>Bucaramanga</t>
        </is>
      </c>
      <c r="E2116" t="inlineStr">
        <is>
          <t>Tecnología</t>
        </is>
      </c>
      <c r="F2116" t="inlineStr">
        <is>
          <t>App</t>
        </is>
      </c>
      <c r="G2116" t="inlineStr">
        <is>
          <t>3. Pago</t>
        </is>
      </c>
      <c r="H2116" t="n">
        <v>3</v>
      </c>
      <c r="I2116" s="73" t="n">
        <v>677000</v>
      </c>
      <c r="J2116" s="73" t="n">
        <v>2335650</v>
      </c>
      <c r="K2116" s="73" t="n">
        <v>1550146</v>
      </c>
    </row>
    <row r="2117">
      <c r="A2117" t="n">
        <v>12379</v>
      </c>
      <c r="B2117" s="72" t="n">
        <v>45856.89444444444</v>
      </c>
      <c r="C2117" t="inlineStr">
        <is>
          <t>Santander</t>
        </is>
      </c>
      <c r="D2117" t="inlineStr">
        <is>
          <t>Bucaramanga</t>
        </is>
      </c>
      <c r="E2117" t="inlineStr">
        <is>
          <t>Deportes</t>
        </is>
      </c>
      <c r="F2117" t="inlineStr">
        <is>
          <t>Marketplace</t>
        </is>
      </c>
      <c r="G2117" t="inlineStr">
        <is>
          <t>1. Visita</t>
        </is>
      </c>
      <c r="H2117" t="n">
        <v>5</v>
      </c>
      <c r="I2117" s="73" t="n">
        <v>207900</v>
      </c>
      <c r="J2117" s="73" t="n">
        <v>1195425</v>
      </c>
      <c r="K2117" s="73" t="n">
        <v>708408</v>
      </c>
    </row>
    <row r="2118">
      <c r="A2118" t="n">
        <v>12286</v>
      </c>
      <c r="B2118" s="72" t="n">
        <v>45856.95069444444</v>
      </c>
      <c r="C2118" t="inlineStr">
        <is>
          <t>Bogotá D.C.</t>
        </is>
      </c>
      <c r="D2118" t="inlineStr">
        <is>
          <t>Bogotá</t>
        </is>
      </c>
      <c r="E2118" t="inlineStr">
        <is>
          <t>Deportes</t>
        </is>
      </c>
      <c r="F2118" t="inlineStr">
        <is>
          <t>Tienda física</t>
        </is>
      </c>
      <c r="G2118" t="inlineStr">
        <is>
          <t>2. Carrito</t>
        </is>
      </c>
      <c r="H2118" t="n">
        <v>3</v>
      </c>
      <c r="I2118" s="73" t="n">
        <v>204400</v>
      </c>
      <c r="J2118" s="73" t="n">
        <v>705180</v>
      </c>
      <c r="K2118" s="73" t="n">
        <v>391401</v>
      </c>
    </row>
    <row r="2119">
      <c r="A2119" t="n">
        <v>11385</v>
      </c>
      <c r="B2119" s="72" t="n">
        <v>45857.43333333333</v>
      </c>
      <c r="C2119" t="inlineStr">
        <is>
          <t>Bogotá D.C.</t>
        </is>
      </c>
      <c r="D2119" t="inlineStr">
        <is>
          <t>Bogotá</t>
        </is>
      </c>
      <c r="E2119" t="inlineStr">
        <is>
          <t>Hogar</t>
        </is>
      </c>
      <c r="F2119" t="inlineStr">
        <is>
          <t>Web</t>
        </is>
      </c>
      <c r="G2119" t="inlineStr">
        <is>
          <t>2. Carrito</t>
        </is>
      </c>
      <c r="H2119" t="n">
        <v>1</v>
      </c>
      <c r="I2119" s="73" t="n">
        <v>185300</v>
      </c>
      <c r="J2119" s="73" t="n">
        <v>213095</v>
      </c>
      <c r="K2119" s="73" t="n">
        <v>157244</v>
      </c>
    </row>
    <row r="2120">
      <c r="A2120" t="n">
        <v>10096</v>
      </c>
      <c r="B2120" s="72" t="n">
        <v>45857.63680555556</v>
      </c>
      <c r="C2120" t="inlineStr">
        <is>
          <t>Antioquia</t>
        </is>
      </c>
      <c r="D2120" t="inlineStr">
        <is>
          <t>Medellín</t>
        </is>
      </c>
      <c r="E2120" t="inlineStr">
        <is>
          <t>Juguetes</t>
        </is>
      </c>
      <c r="F2120" t="inlineStr">
        <is>
          <t>Tienda física</t>
        </is>
      </c>
      <c r="G2120" t="inlineStr">
        <is>
          <t>1. Visita</t>
        </is>
      </c>
      <c r="H2120" t="n">
        <v>3</v>
      </c>
      <c r="I2120" s="73" t="n">
        <v>94500</v>
      </c>
      <c r="J2120" s="73" t="n">
        <v>326025</v>
      </c>
      <c r="K2120" s="73" t="n">
        <v>231472</v>
      </c>
    </row>
    <row r="2121">
      <c r="A2121" t="n">
        <v>10309</v>
      </c>
      <c r="B2121" s="72" t="n">
        <v>45857.71666666667</v>
      </c>
      <c r="C2121" t="inlineStr">
        <is>
          <t>Antioquia</t>
        </is>
      </c>
      <c r="D2121" t="inlineStr">
        <is>
          <t>Medellín</t>
        </is>
      </c>
      <c r="E2121" t="inlineStr">
        <is>
          <t>Belleza</t>
        </is>
      </c>
      <c r="F2121" t="inlineStr">
        <is>
          <t>App</t>
        </is>
      </c>
      <c r="G2121" t="inlineStr">
        <is>
          <t>4. Compra</t>
        </is>
      </c>
      <c r="H2121" t="n">
        <v>2</v>
      </c>
      <c r="I2121" s="73" t="n">
        <v>50900</v>
      </c>
      <c r="J2121" s="73" t="n">
        <v>117070</v>
      </c>
      <c r="K2121" s="73" t="n">
        <v>78463</v>
      </c>
    </row>
    <row r="2122">
      <c r="A2122" t="n">
        <v>10942</v>
      </c>
      <c r="B2122" s="72" t="n">
        <v>45857.75763888889</v>
      </c>
      <c r="C2122" t="inlineStr">
        <is>
          <t>Santander</t>
        </is>
      </c>
      <c r="D2122" t="inlineStr">
        <is>
          <t>Bucaramanga</t>
        </is>
      </c>
      <c r="E2122" t="inlineStr">
        <is>
          <t>Hogar</t>
        </is>
      </c>
      <c r="F2122" t="inlineStr">
        <is>
          <t>Tienda física</t>
        </is>
      </c>
      <c r="G2122" t="inlineStr">
        <is>
          <t>1. Visita</t>
        </is>
      </c>
      <c r="H2122" t="n">
        <v>4</v>
      </c>
      <c r="I2122" s="73" t="n">
        <v>205500</v>
      </c>
      <c r="J2122" s="73" t="n">
        <v>945300</v>
      </c>
      <c r="K2122" s="73" t="n">
        <v>525393</v>
      </c>
    </row>
    <row r="2123">
      <c r="A2123" t="n">
        <v>10988</v>
      </c>
      <c r="B2123" s="72" t="n">
        <v>45857.76805555556</v>
      </c>
      <c r="C2123" t="inlineStr">
        <is>
          <t>Bogotá D.C.</t>
        </is>
      </c>
      <c r="D2123" t="inlineStr">
        <is>
          <t>Bogotá</t>
        </is>
      </c>
      <c r="E2123" t="inlineStr">
        <is>
          <t>Juguetes</t>
        </is>
      </c>
      <c r="F2123" t="inlineStr">
        <is>
          <t>Web</t>
        </is>
      </c>
      <c r="G2123" t="inlineStr">
        <is>
          <t>1. Visita</t>
        </is>
      </c>
      <c r="H2123" t="n">
        <v>5</v>
      </c>
      <c r="I2123" s="73" t="n">
        <v>97100</v>
      </c>
      <c r="J2123" s="73" t="n">
        <v>558325</v>
      </c>
      <c r="K2123" s="73" t="n">
        <v>393610</v>
      </c>
    </row>
    <row r="2124">
      <c r="A2124" t="n">
        <v>10090</v>
      </c>
      <c r="B2124" s="72" t="n">
        <v>45857.82291666666</v>
      </c>
      <c r="C2124" t="inlineStr">
        <is>
          <t>Bogotá D.C.</t>
        </is>
      </c>
      <c r="D2124" t="inlineStr">
        <is>
          <t>Bogotá</t>
        </is>
      </c>
      <c r="E2124" t="inlineStr">
        <is>
          <t>Juguetes</t>
        </is>
      </c>
      <c r="F2124" t="inlineStr">
        <is>
          <t>Web</t>
        </is>
      </c>
      <c r="G2124" t="inlineStr">
        <is>
          <t>3. Pago</t>
        </is>
      </c>
      <c r="H2124" t="n">
        <v>3</v>
      </c>
      <c r="I2124" s="73" t="n">
        <v>110700</v>
      </c>
      <c r="J2124" s="73" t="n">
        <v>381915</v>
      </c>
      <c r="K2124" s="73" t="n">
        <v>251197</v>
      </c>
    </row>
    <row r="2125">
      <c r="A2125" t="n">
        <v>11204</v>
      </c>
      <c r="B2125" s="72" t="n">
        <v>45857.84930555556</v>
      </c>
      <c r="C2125" t="inlineStr">
        <is>
          <t>Bogotá D.C.</t>
        </is>
      </c>
      <c r="D2125" t="inlineStr">
        <is>
          <t>Bogotá</t>
        </is>
      </c>
      <c r="E2125" t="inlineStr">
        <is>
          <t>Moda</t>
        </is>
      </c>
      <c r="F2125" t="inlineStr">
        <is>
          <t>Tienda física</t>
        </is>
      </c>
      <c r="G2125" t="inlineStr">
        <is>
          <t>1. Visita</t>
        </is>
      </c>
      <c r="H2125" t="n">
        <v>2</v>
      </c>
      <c r="I2125" s="73" t="n">
        <v>84500</v>
      </c>
      <c r="J2125" s="73" t="n">
        <v>194350</v>
      </c>
      <c r="K2125" s="73" t="n">
        <v>113429</v>
      </c>
    </row>
    <row r="2126">
      <c r="A2126" t="n">
        <v>10013</v>
      </c>
      <c r="B2126" s="72" t="n">
        <v>45857.90694444445</v>
      </c>
      <c r="C2126" t="inlineStr">
        <is>
          <t>Antioquia</t>
        </is>
      </c>
      <c r="D2126" t="inlineStr">
        <is>
          <t>Medellín</t>
        </is>
      </c>
      <c r="E2126" t="inlineStr">
        <is>
          <t>Deportes</t>
        </is>
      </c>
      <c r="F2126" t="inlineStr">
        <is>
          <t>App</t>
        </is>
      </c>
      <c r="G2126" t="inlineStr">
        <is>
          <t>3. Pago</t>
        </is>
      </c>
      <c r="H2126" t="n">
        <v>4</v>
      </c>
      <c r="I2126" s="73" t="n">
        <v>125800</v>
      </c>
      <c r="J2126" s="73" t="n">
        <v>578680</v>
      </c>
      <c r="K2126" s="73" t="n">
        <v>421823</v>
      </c>
    </row>
    <row r="2127">
      <c r="A2127" t="n">
        <v>10595</v>
      </c>
      <c r="B2127" s="72" t="n">
        <v>45858.3</v>
      </c>
      <c r="C2127" t="inlineStr">
        <is>
          <t>Bogotá D.C.</t>
        </is>
      </c>
      <c r="D2127" t="inlineStr">
        <is>
          <t>Bogotá</t>
        </is>
      </c>
      <c r="E2127" t="inlineStr">
        <is>
          <t>Juguetes</t>
        </is>
      </c>
      <c r="F2127" t="inlineStr">
        <is>
          <t>App</t>
        </is>
      </c>
      <c r="G2127" t="inlineStr">
        <is>
          <t>3. Pago</t>
        </is>
      </c>
      <c r="H2127" t="n">
        <v>4</v>
      </c>
      <c r="I2127" s="73" t="n">
        <v>103700</v>
      </c>
      <c r="J2127" s="73" t="n">
        <v>477020</v>
      </c>
      <c r="K2127" s="73" t="n">
        <v>336338</v>
      </c>
    </row>
    <row r="2128">
      <c r="A2128" t="n">
        <v>10892</v>
      </c>
      <c r="B2128" s="72" t="n">
        <v>45858.39375</v>
      </c>
      <c r="C2128" t="inlineStr">
        <is>
          <t>Antioquia</t>
        </is>
      </c>
      <c r="D2128" t="inlineStr">
        <is>
          <t>Medellín</t>
        </is>
      </c>
      <c r="E2128" t="inlineStr">
        <is>
          <t>Tecnología</t>
        </is>
      </c>
      <c r="F2128" t="inlineStr">
        <is>
          <t>App</t>
        </is>
      </c>
      <c r="G2128" t="inlineStr">
        <is>
          <t>2. Carrito</t>
        </is>
      </c>
      <c r="H2128" t="n">
        <v>3</v>
      </c>
      <c r="I2128" s="73" t="n">
        <v>832300</v>
      </c>
      <c r="J2128" s="73" t="n">
        <v>2871435</v>
      </c>
      <c r="K2128" s="73" t="n">
        <v>1924812</v>
      </c>
    </row>
    <row r="2129">
      <c r="A2129" t="n">
        <v>12294</v>
      </c>
      <c r="B2129" s="72" t="n">
        <v>45858.71805555555</v>
      </c>
      <c r="C2129" t="inlineStr">
        <is>
          <t>Risaralda</t>
        </is>
      </c>
      <c r="D2129" t="inlineStr">
        <is>
          <t>Pereira</t>
        </is>
      </c>
      <c r="E2129" t="inlineStr">
        <is>
          <t>Hogar</t>
        </is>
      </c>
      <c r="F2129" t="inlineStr">
        <is>
          <t>Tienda física</t>
        </is>
      </c>
      <c r="G2129" t="inlineStr">
        <is>
          <t>1. Visita</t>
        </is>
      </c>
      <c r="H2129" t="n">
        <v>2</v>
      </c>
      <c r="I2129" s="73" t="n">
        <v>209800</v>
      </c>
      <c r="J2129" s="73" t="n">
        <v>482540</v>
      </c>
      <c r="K2129" s="73" t="n">
        <v>358619</v>
      </c>
    </row>
    <row r="2130">
      <c r="A2130" t="n">
        <v>10622</v>
      </c>
      <c r="B2130" s="72" t="n">
        <v>45858.81180555555</v>
      </c>
      <c r="C2130" t="inlineStr">
        <is>
          <t>Atlántico</t>
        </is>
      </c>
      <c r="D2130" t="inlineStr">
        <is>
          <t>Barranquilla</t>
        </is>
      </c>
      <c r="E2130" t="inlineStr">
        <is>
          <t>Deportes</t>
        </is>
      </c>
      <c r="F2130" t="inlineStr">
        <is>
          <t>Tienda física</t>
        </is>
      </c>
      <c r="G2130" t="inlineStr">
        <is>
          <t>4. Compra</t>
        </is>
      </c>
      <c r="H2130" t="n">
        <v>3</v>
      </c>
      <c r="I2130" s="73" t="n">
        <v>119100</v>
      </c>
      <c r="J2130" s="73" t="n">
        <v>410895</v>
      </c>
      <c r="K2130" s="73" t="n">
        <v>290987</v>
      </c>
    </row>
    <row r="2131">
      <c r="A2131" t="n">
        <v>10936</v>
      </c>
      <c r="B2131" s="72" t="n">
        <v>45858.85138888889</v>
      </c>
      <c r="C2131" t="inlineStr">
        <is>
          <t>Meta</t>
        </is>
      </c>
      <c r="D2131" t="inlineStr">
        <is>
          <t>Villavicencio</t>
        </is>
      </c>
      <c r="E2131" t="inlineStr">
        <is>
          <t>Tecnología</t>
        </is>
      </c>
      <c r="F2131" t="inlineStr">
        <is>
          <t>App</t>
        </is>
      </c>
      <c r="G2131" t="inlineStr">
        <is>
          <t>1. Visita</t>
        </is>
      </c>
      <c r="H2131" t="n">
        <v>3</v>
      </c>
      <c r="I2131" s="73" t="n">
        <v>717100</v>
      </c>
      <c r="J2131" s="73" t="n">
        <v>2473995</v>
      </c>
      <c r="K2131" s="73" t="n">
        <v>1772753</v>
      </c>
    </row>
    <row r="2132">
      <c r="A2132" t="n">
        <v>10056</v>
      </c>
      <c r="B2132" s="72" t="n">
        <v>45859.53958333333</v>
      </c>
      <c r="C2132" t="inlineStr">
        <is>
          <t>Risaralda</t>
        </is>
      </c>
      <c r="D2132" t="inlineStr">
        <is>
          <t>Pereira</t>
        </is>
      </c>
      <c r="E2132" t="inlineStr">
        <is>
          <t>Tecnología</t>
        </is>
      </c>
      <c r="F2132" t="inlineStr">
        <is>
          <t>Web</t>
        </is>
      </c>
      <c r="G2132" t="inlineStr">
        <is>
          <t>4. Compra</t>
        </is>
      </c>
      <c r="H2132" t="n">
        <v>3</v>
      </c>
      <c r="I2132" s="73" t="n">
        <v>1095100</v>
      </c>
      <c r="J2132" s="73" t="n">
        <v>3285300</v>
      </c>
      <c r="K2132" s="73" t="n">
        <v>2314474</v>
      </c>
    </row>
    <row r="2133">
      <c r="A2133" t="n">
        <v>10784</v>
      </c>
      <c r="B2133" s="72" t="n">
        <v>45859.71319444444</v>
      </c>
      <c r="C2133" t="inlineStr">
        <is>
          <t>Bogotá D.C.</t>
        </is>
      </c>
      <c r="D2133" t="inlineStr">
        <is>
          <t>Bogotá</t>
        </is>
      </c>
      <c r="E2133" t="inlineStr">
        <is>
          <t>Deportes</t>
        </is>
      </c>
      <c r="F2133" t="inlineStr">
        <is>
          <t>Web</t>
        </is>
      </c>
      <c r="G2133" t="inlineStr">
        <is>
          <t>1. Visita</t>
        </is>
      </c>
      <c r="H2133" t="n">
        <v>1</v>
      </c>
      <c r="I2133" s="73" t="n">
        <v>116500</v>
      </c>
      <c r="J2133" s="73" t="n">
        <v>116500</v>
      </c>
      <c r="K2133" s="73" t="n">
        <v>83664</v>
      </c>
    </row>
    <row r="2134">
      <c r="A2134" t="n">
        <v>10732</v>
      </c>
      <c r="B2134" s="72" t="n">
        <v>45859.77569444444</v>
      </c>
      <c r="C2134" t="inlineStr">
        <is>
          <t>Huila</t>
        </is>
      </c>
      <c r="D2134" t="inlineStr">
        <is>
          <t>Neiva</t>
        </is>
      </c>
      <c r="E2134" t="inlineStr">
        <is>
          <t>Tecnología</t>
        </is>
      </c>
      <c r="F2134" t="inlineStr">
        <is>
          <t>Tienda física</t>
        </is>
      </c>
      <c r="G2134" t="inlineStr">
        <is>
          <t>3. Pago</t>
        </is>
      </c>
      <c r="H2134" t="n">
        <v>1</v>
      </c>
      <c r="I2134" s="73" t="n">
        <v>731700</v>
      </c>
      <c r="J2134" s="73" t="n">
        <v>731700</v>
      </c>
      <c r="K2134" s="73" t="n">
        <v>438956</v>
      </c>
    </row>
    <row r="2135">
      <c r="A2135" t="n">
        <v>11185</v>
      </c>
      <c r="B2135" s="72" t="n">
        <v>45859.80833333333</v>
      </c>
      <c r="C2135" t="inlineStr">
        <is>
          <t>Risaralda</t>
        </is>
      </c>
      <c r="D2135" t="inlineStr">
        <is>
          <t>Pereira</t>
        </is>
      </c>
      <c r="E2135" t="inlineStr">
        <is>
          <t>Moda</t>
        </is>
      </c>
      <c r="F2135" t="inlineStr">
        <is>
          <t>Web</t>
        </is>
      </c>
      <c r="G2135" t="inlineStr">
        <is>
          <t>2. Carrito</t>
        </is>
      </c>
      <c r="H2135" t="n">
        <v>1</v>
      </c>
      <c r="I2135" s="73" t="n">
        <v>104900</v>
      </c>
      <c r="J2135" s="73" t="n">
        <v>104900</v>
      </c>
      <c r="K2135" s="73" t="n">
        <v>61091</v>
      </c>
    </row>
    <row r="2136">
      <c r="A2136" t="n">
        <v>10979</v>
      </c>
      <c r="B2136" s="72" t="n">
        <v>45860.57777777778</v>
      </c>
      <c r="C2136" t="inlineStr">
        <is>
          <t>Nariño</t>
        </is>
      </c>
      <c r="D2136" t="inlineStr">
        <is>
          <t>Pasto</t>
        </is>
      </c>
      <c r="E2136" t="inlineStr">
        <is>
          <t>Hogar</t>
        </is>
      </c>
      <c r="F2136" t="inlineStr">
        <is>
          <t>Web</t>
        </is>
      </c>
      <c r="G2136" t="inlineStr">
        <is>
          <t>2. Carrito</t>
        </is>
      </c>
      <c r="H2136" t="n">
        <v>4</v>
      </c>
      <c r="I2136" s="73" t="n">
        <v>225800</v>
      </c>
      <c r="J2136" s="73" t="n">
        <v>903200</v>
      </c>
      <c r="K2136" s="73" t="n">
        <v>598212</v>
      </c>
    </row>
    <row r="2137">
      <c r="A2137" t="n">
        <v>11600</v>
      </c>
      <c r="B2137" s="72" t="n">
        <v>45860.71041666667</v>
      </c>
      <c r="C2137" t="inlineStr">
        <is>
          <t>Valle del Cauca</t>
        </is>
      </c>
      <c r="D2137" t="inlineStr">
        <is>
          <t>Cali</t>
        </is>
      </c>
      <c r="E2137" t="inlineStr">
        <is>
          <t>Hogar</t>
        </is>
      </c>
      <c r="F2137" t="inlineStr">
        <is>
          <t>Marketplace</t>
        </is>
      </c>
      <c r="G2137" t="inlineStr">
        <is>
          <t>1. Visita</t>
        </is>
      </c>
      <c r="H2137" t="n">
        <v>4</v>
      </c>
      <c r="I2137" s="73" t="n">
        <v>244300</v>
      </c>
      <c r="J2137" s="73" t="n">
        <v>977200</v>
      </c>
      <c r="K2137" s="73" t="n">
        <v>563280</v>
      </c>
    </row>
    <row r="2138">
      <c r="A2138" t="n">
        <v>11121</v>
      </c>
      <c r="B2138" s="72" t="n">
        <v>45860.82013888889</v>
      </c>
      <c r="C2138" t="inlineStr">
        <is>
          <t>Meta</t>
        </is>
      </c>
      <c r="D2138" t="inlineStr">
        <is>
          <t>Villavicencio</t>
        </is>
      </c>
      <c r="E2138" t="inlineStr">
        <is>
          <t>Hogar</t>
        </is>
      </c>
      <c r="F2138" t="inlineStr">
        <is>
          <t>Web</t>
        </is>
      </c>
      <c r="G2138" t="inlineStr">
        <is>
          <t>1. Visita</t>
        </is>
      </c>
      <c r="H2138" t="n">
        <v>2</v>
      </c>
      <c r="I2138" s="73" t="n">
        <v>225300</v>
      </c>
      <c r="J2138" s="73" t="n">
        <v>450600</v>
      </c>
      <c r="K2138" s="73" t="n">
        <v>319720</v>
      </c>
    </row>
    <row r="2139">
      <c r="A2139" t="n">
        <v>10684</v>
      </c>
      <c r="B2139" s="72" t="n">
        <v>45861.27222222222</v>
      </c>
      <c r="C2139" t="inlineStr">
        <is>
          <t>Valle del Cauca</t>
        </is>
      </c>
      <c r="D2139" t="inlineStr">
        <is>
          <t>Cali</t>
        </is>
      </c>
      <c r="E2139" t="inlineStr">
        <is>
          <t>Deportes</t>
        </is>
      </c>
      <c r="F2139" t="inlineStr">
        <is>
          <t>Tienda física</t>
        </is>
      </c>
      <c r="G2139" t="inlineStr">
        <is>
          <t>3. Pago</t>
        </is>
      </c>
      <c r="H2139" t="n">
        <v>3</v>
      </c>
      <c r="I2139" s="73" t="n">
        <v>114100</v>
      </c>
      <c r="J2139" s="73" t="n">
        <v>342300</v>
      </c>
      <c r="K2139" s="73" t="n">
        <v>196147</v>
      </c>
    </row>
    <row r="2140">
      <c r="A2140" t="n">
        <v>11794</v>
      </c>
      <c r="B2140" s="72" t="n">
        <v>45861.34236111111</v>
      </c>
      <c r="C2140" t="inlineStr">
        <is>
          <t>Valle del Cauca</t>
        </is>
      </c>
      <c r="D2140" t="inlineStr">
        <is>
          <t>Cali</t>
        </is>
      </c>
      <c r="E2140" t="inlineStr">
        <is>
          <t>Deportes</t>
        </is>
      </c>
      <c r="F2140" t="inlineStr">
        <is>
          <t>Marketplace</t>
        </is>
      </c>
      <c r="G2140" t="inlineStr">
        <is>
          <t>3. Pago</t>
        </is>
      </c>
      <c r="H2140" t="n">
        <v>1</v>
      </c>
      <c r="I2140" s="73" t="n">
        <v>125000</v>
      </c>
      <c r="J2140" s="73" t="n">
        <v>125000</v>
      </c>
      <c r="K2140" s="73" t="n">
        <v>76882</v>
      </c>
    </row>
    <row r="2141">
      <c r="A2141" t="n">
        <v>10295</v>
      </c>
      <c r="B2141" s="72" t="n">
        <v>45861.41458333333</v>
      </c>
      <c r="C2141" t="inlineStr">
        <is>
          <t>Bogotá D.C.</t>
        </is>
      </c>
      <c r="D2141" t="inlineStr">
        <is>
          <t>Bogotá</t>
        </is>
      </c>
      <c r="E2141" t="inlineStr">
        <is>
          <t>Moda</t>
        </is>
      </c>
      <c r="F2141" t="inlineStr">
        <is>
          <t>Marketplace</t>
        </is>
      </c>
      <c r="G2141" t="inlineStr">
        <is>
          <t>2. Carrito</t>
        </is>
      </c>
      <c r="H2141" t="n">
        <v>1</v>
      </c>
      <c r="I2141" s="73" t="n">
        <v>136100</v>
      </c>
      <c r="J2141" s="73" t="n">
        <v>136100</v>
      </c>
      <c r="K2141" s="73" t="n">
        <v>82957</v>
      </c>
    </row>
    <row r="2142">
      <c r="A2142" t="n">
        <v>10501</v>
      </c>
      <c r="B2142" s="72" t="n">
        <v>45861.47013888889</v>
      </c>
      <c r="C2142" t="inlineStr">
        <is>
          <t>Santander</t>
        </is>
      </c>
      <c r="D2142" t="inlineStr">
        <is>
          <t>Bucaramanga</t>
        </is>
      </c>
      <c r="E2142" t="inlineStr">
        <is>
          <t>Deportes</t>
        </is>
      </c>
      <c r="F2142" t="inlineStr">
        <is>
          <t>App</t>
        </is>
      </c>
      <c r="G2142" t="inlineStr">
        <is>
          <t>1. Visita</t>
        </is>
      </c>
      <c r="H2142" t="n">
        <v>5</v>
      </c>
      <c r="I2142" s="73" t="n">
        <v>112800</v>
      </c>
      <c r="J2142" s="73" t="n">
        <v>564000</v>
      </c>
      <c r="K2142" s="73" t="n">
        <v>314179</v>
      </c>
    </row>
    <row r="2143">
      <c r="A2143" t="n">
        <v>11514</v>
      </c>
      <c r="B2143" s="72" t="n">
        <v>45861.65416666667</v>
      </c>
      <c r="C2143" t="inlineStr">
        <is>
          <t>Valle del Cauca</t>
        </is>
      </c>
      <c r="D2143" t="inlineStr">
        <is>
          <t>Cali</t>
        </is>
      </c>
      <c r="E2143" t="inlineStr">
        <is>
          <t>Juguetes</t>
        </is>
      </c>
      <c r="F2143" t="inlineStr">
        <is>
          <t>Web</t>
        </is>
      </c>
      <c r="G2143" t="inlineStr">
        <is>
          <t>4. Compra</t>
        </is>
      </c>
      <c r="H2143" t="n">
        <v>5</v>
      </c>
      <c r="I2143" s="73" t="n">
        <v>103400</v>
      </c>
      <c r="J2143" s="73" t="n">
        <v>517000</v>
      </c>
      <c r="K2143" s="73" t="n">
        <v>368565</v>
      </c>
    </row>
    <row r="2144">
      <c r="A2144" t="n">
        <v>10526</v>
      </c>
      <c r="B2144" s="72" t="n">
        <v>45861.77986111111</v>
      </c>
      <c r="C2144" t="inlineStr">
        <is>
          <t>Antioquia</t>
        </is>
      </c>
      <c r="D2144" t="inlineStr">
        <is>
          <t>Medellín</t>
        </is>
      </c>
      <c r="E2144" t="inlineStr">
        <is>
          <t>Belleza</t>
        </is>
      </c>
      <c r="F2144" t="inlineStr">
        <is>
          <t>Tienda física</t>
        </is>
      </c>
      <c r="G2144" t="inlineStr">
        <is>
          <t>3. Pago</t>
        </is>
      </c>
      <c r="H2144" t="n">
        <v>5</v>
      </c>
      <c r="I2144" s="73" t="n">
        <v>74000</v>
      </c>
      <c r="J2144" s="73" t="n">
        <v>370000</v>
      </c>
      <c r="K2144" s="73" t="n">
        <v>269238</v>
      </c>
    </row>
    <row r="2145">
      <c r="A2145" t="n">
        <v>12222</v>
      </c>
      <c r="B2145" s="72" t="n">
        <v>45862.56319444445</v>
      </c>
      <c r="C2145" t="inlineStr">
        <is>
          <t>Meta</t>
        </is>
      </c>
      <c r="D2145" t="inlineStr">
        <is>
          <t>Villavicencio</t>
        </is>
      </c>
      <c r="E2145" t="inlineStr">
        <is>
          <t>Tecnología</t>
        </is>
      </c>
      <c r="F2145" t="inlineStr">
        <is>
          <t>Web</t>
        </is>
      </c>
      <c r="G2145" t="inlineStr">
        <is>
          <t>4. Compra</t>
        </is>
      </c>
      <c r="H2145" t="n">
        <v>4</v>
      </c>
      <c r="I2145" s="73" t="n">
        <v>616800</v>
      </c>
      <c r="J2145" s="73" t="n">
        <v>2467200</v>
      </c>
      <c r="K2145" s="73" t="n">
        <v>1803592</v>
      </c>
    </row>
    <row r="2146">
      <c r="A2146" t="n">
        <v>10286</v>
      </c>
      <c r="B2146" s="72" t="n">
        <v>45862.56388888889</v>
      </c>
      <c r="C2146" t="inlineStr">
        <is>
          <t>Bolívar</t>
        </is>
      </c>
      <c r="D2146" t="inlineStr">
        <is>
          <t>Cartagena</t>
        </is>
      </c>
      <c r="E2146" t="inlineStr">
        <is>
          <t>Moda</t>
        </is>
      </c>
      <c r="F2146" t="inlineStr">
        <is>
          <t>Tienda física</t>
        </is>
      </c>
      <c r="G2146" t="inlineStr">
        <is>
          <t>1. Visita</t>
        </is>
      </c>
      <c r="H2146" t="n">
        <v>3</v>
      </c>
      <c r="I2146" s="73" t="n">
        <v>105700</v>
      </c>
      <c r="J2146" s="73" t="n">
        <v>317100</v>
      </c>
      <c r="K2146" s="73" t="n">
        <v>223667</v>
      </c>
    </row>
    <row r="2147">
      <c r="A2147" t="n">
        <v>11812</v>
      </c>
      <c r="B2147" s="72" t="n">
        <v>45862.57847222222</v>
      </c>
      <c r="C2147" t="inlineStr">
        <is>
          <t>Antioquia</t>
        </is>
      </c>
      <c r="D2147" t="inlineStr">
        <is>
          <t>Medellín</t>
        </is>
      </c>
      <c r="E2147" t="inlineStr">
        <is>
          <t>Belleza</t>
        </is>
      </c>
      <c r="F2147" t="inlineStr">
        <is>
          <t>App</t>
        </is>
      </c>
      <c r="G2147" t="inlineStr">
        <is>
          <t>2. Carrito</t>
        </is>
      </c>
      <c r="H2147" t="n">
        <v>1</v>
      </c>
      <c r="I2147" s="73" t="n">
        <v>51700</v>
      </c>
      <c r="J2147" s="73" t="n">
        <v>51700</v>
      </c>
      <c r="K2147" s="73" t="n">
        <v>31542</v>
      </c>
    </row>
    <row r="2148">
      <c r="A2148" t="n">
        <v>10735</v>
      </c>
      <c r="B2148" s="72" t="n">
        <v>45862.90555555555</v>
      </c>
      <c r="C2148" t="inlineStr">
        <is>
          <t>Antioquia</t>
        </is>
      </c>
      <c r="D2148" t="inlineStr">
        <is>
          <t>Medellín</t>
        </is>
      </c>
      <c r="E2148" t="inlineStr">
        <is>
          <t>Belleza</t>
        </is>
      </c>
      <c r="F2148" t="inlineStr">
        <is>
          <t>Web</t>
        </is>
      </c>
      <c r="G2148" t="inlineStr">
        <is>
          <t>2. Carrito</t>
        </is>
      </c>
      <c r="H2148" t="n">
        <v>3</v>
      </c>
      <c r="I2148" s="73" t="n">
        <v>50000</v>
      </c>
      <c r="J2148" s="73" t="n">
        <v>150000</v>
      </c>
      <c r="K2148" s="73" t="n">
        <v>103105</v>
      </c>
    </row>
    <row r="2149">
      <c r="A2149" t="n">
        <v>11484</v>
      </c>
      <c r="B2149" s="72" t="n">
        <v>45862.90555555555</v>
      </c>
      <c r="C2149" t="inlineStr">
        <is>
          <t>Bolívar</t>
        </is>
      </c>
      <c r="D2149" t="inlineStr">
        <is>
          <t>Cartagena</t>
        </is>
      </c>
      <c r="E2149" t="inlineStr">
        <is>
          <t>Tecnología</t>
        </is>
      </c>
      <c r="F2149" t="inlineStr">
        <is>
          <t>App</t>
        </is>
      </c>
      <c r="G2149" t="inlineStr">
        <is>
          <t>1. Visita</t>
        </is>
      </c>
      <c r="H2149" t="n">
        <v>4</v>
      </c>
      <c r="I2149" s="73" t="n">
        <v>803400</v>
      </c>
      <c r="J2149" s="73" t="n">
        <v>3213600</v>
      </c>
      <c r="K2149" s="73" t="n">
        <v>2242799</v>
      </c>
    </row>
    <row r="2150">
      <c r="A2150" t="n">
        <v>10202</v>
      </c>
      <c r="B2150" s="72" t="n">
        <v>45863.32569444444</v>
      </c>
      <c r="C2150" t="inlineStr">
        <is>
          <t>Bogotá D.C.</t>
        </is>
      </c>
      <c r="D2150" t="inlineStr">
        <is>
          <t>Bogotá</t>
        </is>
      </c>
      <c r="E2150" t="inlineStr">
        <is>
          <t>Belleza</t>
        </is>
      </c>
      <c r="F2150" t="inlineStr">
        <is>
          <t>App</t>
        </is>
      </c>
      <c r="G2150" t="inlineStr">
        <is>
          <t>2. Carrito</t>
        </is>
      </c>
      <c r="H2150" t="n">
        <v>3</v>
      </c>
      <c r="I2150" s="73" t="n">
        <v>65700</v>
      </c>
      <c r="J2150" s="73" t="n">
        <v>226665</v>
      </c>
      <c r="K2150" s="73" t="n">
        <v>133916</v>
      </c>
    </row>
    <row r="2151">
      <c r="A2151" t="n">
        <v>11120</v>
      </c>
      <c r="B2151" s="72" t="n">
        <v>45863.37916666667</v>
      </c>
      <c r="C2151" t="inlineStr">
        <is>
          <t>Antioquia</t>
        </is>
      </c>
      <c r="D2151" t="inlineStr">
        <is>
          <t>Medellín</t>
        </is>
      </c>
      <c r="E2151" t="inlineStr">
        <is>
          <t>Moda</t>
        </is>
      </c>
      <c r="F2151" t="inlineStr">
        <is>
          <t>Web</t>
        </is>
      </c>
      <c r="G2151" t="inlineStr">
        <is>
          <t>3. Pago</t>
        </is>
      </c>
      <c r="H2151" t="n">
        <v>1</v>
      </c>
      <c r="I2151" s="73" t="n">
        <v>95200</v>
      </c>
      <c r="J2151" s="73" t="n">
        <v>109480</v>
      </c>
      <c r="K2151" s="73" t="n">
        <v>63626</v>
      </c>
    </row>
    <row r="2152">
      <c r="A2152" t="n">
        <v>10578</v>
      </c>
      <c r="B2152" s="72" t="n">
        <v>45863.47222222222</v>
      </c>
      <c r="C2152" t="inlineStr">
        <is>
          <t>Huila</t>
        </is>
      </c>
      <c r="D2152" t="inlineStr">
        <is>
          <t>Neiva</t>
        </is>
      </c>
      <c r="E2152" t="inlineStr">
        <is>
          <t>Hogar</t>
        </is>
      </c>
      <c r="F2152" t="inlineStr">
        <is>
          <t>Web</t>
        </is>
      </c>
      <c r="G2152" t="inlineStr">
        <is>
          <t>1. Visita</t>
        </is>
      </c>
      <c r="H2152" t="n">
        <v>4</v>
      </c>
      <c r="I2152" s="73" t="n">
        <v>166800</v>
      </c>
      <c r="J2152" s="73" t="n">
        <v>767280</v>
      </c>
      <c r="K2152" s="73" t="n">
        <v>434652</v>
      </c>
    </row>
    <row r="2153">
      <c r="A2153" t="n">
        <v>11261</v>
      </c>
      <c r="B2153" s="72" t="n">
        <v>45863.59861111111</v>
      </c>
      <c r="C2153" t="inlineStr">
        <is>
          <t>Antioquia</t>
        </is>
      </c>
      <c r="D2153" t="inlineStr">
        <is>
          <t>Medellín</t>
        </is>
      </c>
      <c r="E2153" t="inlineStr">
        <is>
          <t>Belleza</t>
        </is>
      </c>
      <c r="F2153" t="inlineStr">
        <is>
          <t>Tienda física</t>
        </is>
      </c>
      <c r="G2153" t="inlineStr">
        <is>
          <t>3. Pago</t>
        </is>
      </c>
      <c r="H2153" t="n">
        <v>2</v>
      </c>
      <c r="I2153" s="73" t="n">
        <v>86900</v>
      </c>
      <c r="J2153" s="73" t="n">
        <v>199870</v>
      </c>
      <c r="K2153" s="73" t="n">
        <v>144174</v>
      </c>
    </row>
    <row r="2154">
      <c r="A2154" t="n">
        <v>10152</v>
      </c>
      <c r="B2154" s="72" t="n">
        <v>45864.52222222222</v>
      </c>
      <c r="C2154" t="inlineStr">
        <is>
          <t>Antioquia</t>
        </is>
      </c>
      <c r="D2154" t="inlineStr">
        <is>
          <t>Medellín</t>
        </is>
      </c>
      <c r="E2154" t="inlineStr">
        <is>
          <t>Tecnología</t>
        </is>
      </c>
      <c r="F2154" t="inlineStr">
        <is>
          <t>Tienda física</t>
        </is>
      </c>
      <c r="G2154" t="inlineStr">
        <is>
          <t>3. Pago</t>
        </is>
      </c>
      <c r="H2154" t="n">
        <v>4</v>
      </c>
      <c r="I2154" s="73" t="n">
        <v>674200</v>
      </c>
      <c r="J2154" s="73" t="n">
        <v>3101320</v>
      </c>
      <c r="K2154" s="73" t="n">
        <v>1794017</v>
      </c>
    </row>
    <row r="2155">
      <c r="A2155" t="n">
        <v>12349</v>
      </c>
      <c r="B2155" s="72" t="n">
        <v>45864.57916666667</v>
      </c>
      <c r="C2155" t="inlineStr">
        <is>
          <t>Bogotá D.C.</t>
        </is>
      </c>
      <c r="D2155" t="inlineStr">
        <is>
          <t>Bogotá</t>
        </is>
      </c>
      <c r="E2155" t="inlineStr">
        <is>
          <t>Belleza</t>
        </is>
      </c>
      <c r="F2155" t="inlineStr">
        <is>
          <t>Tienda física</t>
        </is>
      </c>
      <c r="G2155" t="inlineStr">
        <is>
          <t>3. Pago</t>
        </is>
      </c>
      <c r="H2155" t="n">
        <v>1</v>
      </c>
      <c r="I2155" s="73" t="n">
        <v>86800</v>
      </c>
      <c r="J2155" s="73" t="n">
        <v>99820</v>
      </c>
      <c r="K2155" s="73" t="n">
        <v>58814</v>
      </c>
    </row>
    <row r="2156">
      <c r="A2156" t="n">
        <v>12144</v>
      </c>
      <c r="B2156" s="72" t="n">
        <v>45864.78472222222</v>
      </c>
      <c r="C2156" t="inlineStr">
        <is>
          <t>Antioquia</t>
        </is>
      </c>
      <c r="D2156" t="inlineStr">
        <is>
          <t>Medellín</t>
        </is>
      </c>
      <c r="E2156" t="inlineStr">
        <is>
          <t>Deportes</t>
        </is>
      </c>
      <c r="F2156" t="inlineStr">
        <is>
          <t>Tienda física</t>
        </is>
      </c>
      <c r="G2156" t="inlineStr">
        <is>
          <t>1. Visita</t>
        </is>
      </c>
      <c r="H2156" t="n">
        <v>5</v>
      </c>
      <c r="I2156" s="73" t="n">
        <v>192200</v>
      </c>
      <c r="J2156" s="73" t="n">
        <v>1105150</v>
      </c>
      <c r="K2156" s="73" t="n">
        <v>622067</v>
      </c>
    </row>
    <row r="2157">
      <c r="A2157" t="n">
        <v>11936</v>
      </c>
      <c r="B2157" s="72" t="n">
        <v>45864.86597222222</v>
      </c>
      <c r="C2157" t="inlineStr">
        <is>
          <t>Risaralda</t>
        </is>
      </c>
      <c r="D2157" t="inlineStr">
        <is>
          <t>Pereira</t>
        </is>
      </c>
      <c r="E2157" t="inlineStr">
        <is>
          <t>Deportes</t>
        </is>
      </c>
      <c r="F2157" t="inlineStr">
        <is>
          <t>Marketplace</t>
        </is>
      </c>
      <c r="G2157" t="inlineStr">
        <is>
          <t>1. Visita</t>
        </is>
      </c>
      <c r="H2157" t="n">
        <v>4</v>
      </c>
      <c r="I2157" s="73" t="n">
        <v>170100</v>
      </c>
      <c r="J2157" s="73" t="n">
        <v>782460</v>
      </c>
      <c r="K2157" s="73" t="n">
        <v>453162</v>
      </c>
    </row>
    <row r="2158">
      <c r="A2158" t="n">
        <v>10417</v>
      </c>
      <c r="B2158" s="72" t="n">
        <v>45864.93680555555</v>
      </c>
      <c r="C2158" t="inlineStr">
        <is>
          <t>Bogotá D.C.</t>
        </is>
      </c>
      <c r="D2158" t="inlineStr">
        <is>
          <t>Bogotá</t>
        </is>
      </c>
      <c r="E2158" t="inlineStr">
        <is>
          <t>Moda</t>
        </is>
      </c>
      <c r="F2158" t="inlineStr">
        <is>
          <t>Web</t>
        </is>
      </c>
      <c r="G2158" t="inlineStr">
        <is>
          <t>1. Visita</t>
        </is>
      </c>
      <c r="H2158" t="n">
        <v>3</v>
      </c>
      <c r="I2158" s="73" t="n">
        <v>85700</v>
      </c>
      <c r="J2158" s="73" t="n">
        <v>295665</v>
      </c>
      <c r="K2158" s="73" t="n">
        <v>177103</v>
      </c>
    </row>
    <row r="2159">
      <c r="A2159" t="n">
        <v>12191</v>
      </c>
      <c r="B2159" s="72" t="n">
        <v>45865.58333333334</v>
      </c>
      <c r="C2159" t="inlineStr">
        <is>
          <t>Santander</t>
        </is>
      </c>
      <c r="D2159" t="inlineStr">
        <is>
          <t>Bucaramanga</t>
        </is>
      </c>
      <c r="E2159" t="inlineStr">
        <is>
          <t>Juguetes</t>
        </is>
      </c>
      <c r="F2159" t="inlineStr">
        <is>
          <t>App</t>
        </is>
      </c>
      <c r="G2159" t="inlineStr">
        <is>
          <t>3. Pago</t>
        </is>
      </c>
      <c r="H2159" t="n">
        <v>4</v>
      </c>
      <c r="I2159" s="73" t="n">
        <v>82800</v>
      </c>
      <c r="J2159" s="73" t="n">
        <v>380880</v>
      </c>
      <c r="K2159" s="73" t="n">
        <v>214874</v>
      </c>
    </row>
    <row r="2160">
      <c r="A2160" t="n">
        <v>10806</v>
      </c>
      <c r="B2160" s="72" t="n">
        <v>45865.61944444444</v>
      </c>
      <c r="C2160" t="inlineStr">
        <is>
          <t>Bolívar</t>
        </is>
      </c>
      <c r="D2160" t="inlineStr">
        <is>
          <t>Cartagena</t>
        </is>
      </c>
      <c r="E2160" t="inlineStr">
        <is>
          <t>Hogar</t>
        </is>
      </c>
      <c r="F2160" t="inlineStr">
        <is>
          <t>App</t>
        </is>
      </c>
      <c r="G2160" t="inlineStr">
        <is>
          <t>1. Visita</t>
        </is>
      </c>
      <c r="H2160" t="n">
        <v>4</v>
      </c>
      <c r="I2160" s="73" t="n">
        <v>169700</v>
      </c>
      <c r="J2160" s="73" t="n">
        <v>780620</v>
      </c>
      <c r="K2160" s="73" t="n">
        <v>508288</v>
      </c>
    </row>
    <row r="2161">
      <c r="A2161" t="n">
        <v>10698</v>
      </c>
      <c r="B2161" s="72" t="n">
        <v>45865.79444444444</v>
      </c>
      <c r="C2161" t="inlineStr">
        <is>
          <t>Antioquia</t>
        </is>
      </c>
      <c r="D2161" t="inlineStr">
        <is>
          <t>Medellín</t>
        </is>
      </c>
      <c r="E2161" t="inlineStr">
        <is>
          <t>Juguetes</t>
        </is>
      </c>
      <c r="F2161" t="inlineStr">
        <is>
          <t>Tienda física</t>
        </is>
      </c>
      <c r="G2161" t="inlineStr">
        <is>
          <t>2. Carrito</t>
        </is>
      </c>
      <c r="H2161" t="n">
        <v>2</v>
      </c>
      <c r="I2161" s="73" t="n">
        <v>88700</v>
      </c>
      <c r="J2161" s="73" t="n">
        <v>204010</v>
      </c>
      <c r="K2161" s="73" t="n">
        <v>148943</v>
      </c>
    </row>
    <row r="2162">
      <c r="A2162" t="n">
        <v>10379</v>
      </c>
      <c r="B2162" s="72" t="n">
        <v>45866.46111111111</v>
      </c>
      <c r="C2162" t="inlineStr">
        <is>
          <t>Valle del Cauca</t>
        </is>
      </c>
      <c r="D2162" t="inlineStr">
        <is>
          <t>Cali</t>
        </is>
      </c>
      <c r="E2162" t="inlineStr">
        <is>
          <t>Moda</t>
        </is>
      </c>
      <c r="F2162" t="inlineStr">
        <is>
          <t>App</t>
        </is>
      </c>
      <c r="G2162" t="inlineStr">
        <is>
          <t>1. Visita</t>
        </is>
      </c>
      <c r="H2162" t="n">
        <v>4</v>
      </c>
      <c r="I2162" s="73" t="n">
        <v>92500</v>
      </c>
      <c r="J2162" s="73" t="n">
        <v>370000</v>
      </c>
      <c r="K2162" s="73" t="n">
        <v>274733</v>
      </c>
    </row>
    <row r="2163">
      <c r="A2163" t="n">
        <v>10052</v>
      </c>
      <c r="B2163" s="72" t="n">
        <v>45866.57638888889</v>
      </c>
      <c r="C2163" t="inlineStr">
        <is>
          <t>Bogotá D.C.</t>
        </is>
      </c>
      <c r="D2163" t="inlineStr">
        <is>
          <t>Bogotá</t>
        </is>
      </c>
      <c r="E2163" t="inlineStr">
        <is>
          <t>Moda</t>
        </is>
      </c>
      <c r="F2163" t="inlineStr">
        <is>
          <t>Tienda física</t>
        </is>
      </c>
      <c r="G2163" t="inlineStr">
        <is>
          <t>1. Visita</t>
        </is>
      </c>
      <c r="H2163" t="n">
        <v>5</v>
      </c>
      <c r="I2163" s="73" t="n">
        <v>112400</v>
      </c>
      <c r="J2163" s="73" t="n">
        <v>562000</v>
      </c>
      <c r="K2163" s="73" t="n">
        <v>359805</v>
      </c>
    </row>
    <row r="2164">
      <c r="A2164" t="n">
        <v>11135</v>
      </c>
      <c r="B2164" s="72" t="n">
        <v>45867.37986111111</v>
      </c>
      <c r="C2164" t="inlineStr">
        <is>
          <t>Risaralda</t>
        </is>
      </c>
      <c r="D2164" t="inlineStr">
        <is>
          <t>Pereira</t>
        </is>
      </c>
      <c r="E2164" t="inlineStr">
        <is>
          <t>Hogar</t>
        </is>
      </c>
      <c r="F2164" t="inlineStr">
        <is>
          <t>Web</t>
        </is>
      </c>
      <c r="G2164" t="inlineStr">
        <is>
          <t>2. Carrito</t>
        </is>
      </c>
      <c r="H2164" t="n">
        <v>4</v>
      </c>
      <c r="I2164" s="73" t="n">
        <v>243500</v>
      </c>
      <c r="J2164" s="73" t="n">
        <v>974000</v>
      </c>
      <c r="K2164" s="73" t="n">
        <v>538125</v>
      </c>
    </row>
    <row r="2165">
      <c r="A2165" t="n">
        <v>11915</v>
      </c>
      <c r="B2165" s="72" t="n">
        <v>45867.44444444445</v>
      </c>
      <c r="C2165" t="inlineStr">
        <is>
          <t>Valle del Cauca</t>
        </is>
      </c>
      <c r="D2165" t="inlineStr">
        <is>
          <t>Cali</t>
        </is>
      </c>
      <c r="E2165" t="inlineStr">
        <is>
          <t>Tecnología</t>
        </is>
      </c>
      <c r="F2165" t="inlineStr">
        <is>
          <t>App</t>
        </is>
      </c>
      <c r="G2165" t="inlineStr">
        <is>
          <t>1. Visita</t>
        </is>
      </c>
      <c r="H2165" t="n">
        <v>2</v>
      </c>
      <c r="I2165" s="73" t="n">
        <v>742300</v>
      </c>
      <c r="J2165" s="73" t="n">
        <v>1484600</v>
      </c>
      <c r="K2165" s="73" t="n">
        <v>948598</v>
      </c>
    </row>
    <row r="2166">
      <c r="A2166" t="n">
        <v>12360</v>
      </c>
      <c r="B2166" s="72" t="n">
        <v>45867.59513888889</v>
      </c>
      <c r="C2166" t="inlineStr">
        <is>
          <t>Atlántico</t>
        </is>
      </c>
      <c r="D2166" t="inlineStr">
        <is>
          <t>Barranquilla</t>
        </is>
      </c>
      <c r="E2166" t="inlineStr">
        <is>
          <t>Tecnología</t>
        </is>
      </c>
      <c r="F2166" t="inlineStr">
        <is>
          <t>App</t>
        </is>
      </c>
      <c r="G2166" t="inlineStr">
        <is>
          <t>2. Carrito</t>
        </is>
      </c>
      <c r="H2166" t="n">
        <v>4</v>
      </c>
      <c r="I2166" s="73" t="n">
        <v>723800</v>
      </c>
      <c r="J2166" s="73" t="n">
        <v>2895200</v>
      </c>
      <c r="K2166" s="73" t="n">
        <v>2017894</v>
      </c>
    </row>
    <row r="2167">
      <c r="A2167" t="n">
        <v>10755</v>
      </c>
      <c r="B2167" s="72" t="n">
        <v>45867.72430555556</v>
      </c>
      <c r="C2167" t="inlineStr">
        <is>
          <t>Atlántico</t>
        </is>
      </c>
      <c r="D2167" t="inlineStr">
        <is>
          <t>Barranquilla</t>
        </is>
      </c>
      <c r="E2167" t="inlineStr">
        <is>
          <t>Tecnología</t>
        </is>
      </c>
      <c r="F2167" t="inlineStr">
        <is>
          <t>Web</t>
        </is>
      </c>
      <c r="G2167" t="inlineStr">
        <is>
          <t>1. Visita</t>
        </is>
      </c>
      <c r="H2167" t="n">
        <v>3</v>
      </c>
      <c r="I2167" s="73" t="n">
        <v>1000200</v>
      </c>
      <c r="J2167" s="73" t="n">
        <v>3000600</v>
      </c>
      <c r="K2167" s="73" t="n">
        <v>1743532</v>
      </c>
    </row>
    <row r="2168">
      <c r="A2168" t="n">
        <v>12135</v>
      </c>
      <c r="B2168" s="72" t="n">
        <v>45867.725</v>
      </c>
      <c r="C2168" t="inlineStr">
        <is>
          <t>Antioquia</t>
        </is>
      </c>
      <c r="D2168" t="inlineStr">
        <is>
          <t>Medellín</t>
        </is>
      </c>
      <c r="E2168" t="inlineStr">
        <is>
          <t>Deportes</t>
        </is>
      </c>
      <c r="F2168" t="inlineStr">
        <is>
          <t>Web</t>
        </is>
      </c>
      <c r="G2168" t="inlineStr">
        <is>
          <t>1. Visita</t>
        </is>
      </c>
      <c r="H2168" t="n">
        <v>3</v>
      </c>
      <c r="I2168" s="73" t="n">
        <v>143000</v>
      </c>
      <c r="J2168" s="73" t="n">
        <v>429000</v>
      </c>
      <c r="K2168" s="73" t="n">
        <v>265974</v>
      </c>
    </row>
    <row r="2169">
      <c r="A2169" t="n">
        <v>10608</v>
      </c>
      <c r="B2169" s="72" t="n">
        <v>45867.90138888889</v>
      </c>
      <c r="C2169" t="inlineStr">
        <is>
          <t>Meta</t>
        </is>
      </c>
      <c r="D2169" t="inlineStr">
        <is>
          <t>Villavicencio</t>
        </is>
      </c>
      <c r="E2169" t="inlineStr">
        <is>
          <t>Deportes</t>
        </is>
      </c>
      <c r="F2169" t="inlineStr">
        <is>
          <t>Web</t>
        </is>
      </c>
      <c r="G2169" t="inlineStr">
        <is>
          <t>1. Visita</t>
        </is>
      </c>
      <c r="H2169" t="n">
        <v>5</v>
      </c>
      <c r="I2169" s="73" t="n">
        <v>182900</v>
      </c>
      <c r="J2169" s="73" t="n">
        <v>914500</v>
      </c>
      <c r="K2169" s="73" t="n">
        <v>543675</v>
      </c>
    </row>
    <row r="2170">
      <c r="A2170" t="n">
        <v>10726</v>
      </c>
      <c r="B2170" s="72" t="n">
        <v>45868.5875</v>
      </c>
      <c r="C2170" t="inlineStr">
        <is>
          <t>Bogotá D.C.</t>
        </is>
      </c>
      <c r="D2170" t="inlineStr">
        <is>
          <t>Bogotá</t>
        </is>
      </c>
      <c r="E2170" t="inlineStr">
        <is>
          <t>Belleza</t>
        </is>
      </c>
      <c r="F2170" t="inlineStr">
        <is>
          <t>App</t>
        </is>
      </c>
      <c r="G2170" t="inlineStr">
        <is>
          <t>4. Compra</t>
        </is>
      </c>
      <c r="H2170" t="n">
        <v>2</v>
      </c>
      <c r="I2170" s="73" t="n">
        <v>54900</v>
      </c>
      <c r="J2170" s="73" t="n">
        <v>109800</v>
      </c>
      <c r="K2170" s="73" t="n">
        <v>60586</v>
      </c>
    </row>
    <row r="2171">
      <c r="A2171" t="n">
        <v>10690</v>
      </c>
      <c r="B2171" s="72" t="n">
        <v>45868.78194444445</v>
      </c>
      <c r="C2171" t="inlineStr">
        <is>
          <t>Bogotá D.C.</t>
        </is>
      </c>
      <c r="D2171" t="inlineStr">
        <is>
          <t>Bogotá</t>
        </is>
      </c>
      <c r="E2171" t="inlineStr">
        <is>
          <t>Deportes</t>
        </is>
      </c>
      <c r="F2171" t="inlineStr">
        <is>
          <t>App</t>
        </is>
      </c>
      <c r="G2171" t="inlineStr">
        <is>
          <t>4. Compra</t>
        </is>
      </c>
      <c r="H2171" t="n">
        <v>4</v>
      </c>
      <c r="I2171" s="73" t="n">
        <v>200400</v>
      </c>
      <c r="J2171" s="73" t="n">
        <v>801600</v>
      </c>
      <c r="K2171" s="73" t="n">
        <v>578947</v>
      </c>
    </row>
    <row r="2172">
      <c r="A2172" t="n">
        <v>10248</v>
      </c>
      <c r="B2172" s="72" t="n">
        <v>45868.82361111111</v>
      </c>
      <c r="C2172" t="inlineStr">
        <is>
          <t>Bogotá D.C.</t>
        </is>
      </c>
      <c r="D2172" t="inlineStr">
        <is>
          <t>Bogotá</t>
        </is>
      </c>
      <c r="E2172" t="inlineStr">
        <is>
          <t>Moda</t>
        </is>
      </c>
      <c r="F2172" t="inlineStr">
        <is>
          <t>Tienda física</t>
        </is>
      </c>
      <c r="G2172" t="inlineStr">
        <is>
          <t>2. Carrito</t>
        </is>
      </c>
      <c r="H2172" t="n">
        <v>5</v>
      </c>
      <c r="I2172" s="73" t="n">
        <v>90900</v>
      </c>
      <c r="J2172" s="73" t="n">
        <v>454500</v>
      </c>
      <c r="K2172" s="73" t="n">
        <v>313618</v>
      </c>
    </row>
    <row r="2173">
      <c r="A2173" t="n">
        <v>11568</v>
      </c>
      <c r="B2173" s="72" t="n">
        <v>45868.8375</v>
      </c>
      <c r="C2173" t="inlineStr">
        <is>
          <t>Antioquia</t>
        </is>
      </c>
      <c r="D2173" t="inlineStr">
        <is>
          <t>Medellín</t>
        </is>
      </c>
      <c r="E2173" t="inlineStr">
        <is>
          <t>Tecnología</t>
        </is>
      </c>
      <c r="F2173" t="inlineStr">
        <is>
          <t>App</t>
        </is>
      </c>
      <c r="G2173" t="inlineStr">
        <is>
          <t>1. Visita</t>
        </is>
      </c>
      <c r="H2173" t="n">
        <v>1</v>
      </c>
      <c r="I2173" s="73" t="n">
        <v>862300</v>
      </c>
      <c r="J2173" s="73" t="n">
        <v>862300</v>
      </c>
      <c r="K2173" s="73" t="n">
        <v>606484</v>
      </c>
    </row>
    <row r="2174">
      <c r="A2174" t="n">
        <v>11860</v>
      </c>
      <c r="B2174" s="72" t="n">
        <v>45868.95625</v>
      </c>
      <c r="C2174" t="inlineStr">
        <is>
          <t>Risaralda</t>
        </is>
      </c>
      <c r="D2174" t="inlineStr">
        <is>
          <t>Pereira</t>
        </is>
      </c>
      <c r="E2174" t="inlineStr">
        <is>
          <t>Belleza</t>
        </is>
      </c>
      <c r="F2174" t="inlineStr">
        <is>
          <t>Marketplace</t>
        </is>
      </c>
      <c r="G2174" t="inlineStr">
        <is>
          <t>1. Visita</t>
        </is>
      </c>
      <c r="H2174" t="n">
        <v>5</v>
      </c>
      <c r="I2174" s="73" t="n">
        <v>59800</v>
      </c>
      <c r="J2174" s="73" t="n">
        <v>299000</v>
      </c>
      <c r="K2174" s="73" t="n">
        <v>174694</v>
      </c>
    </row>
    <row r="2175">
      <c r="A2175" t="n">
        <v>12289</v>
      </c>
      <c r="B2175" s="72" t="n">
        <v>45869.29513888889</v>
      </c>
      <c r="C2175" t="inlineStr">
        <is>
          <t>Valle del Cauca</t>
        </is>
      </c>
      <c r="D2175" t="inlineStr">
        <is>
          <t>Cali</t>
        </is>
      </c>
      <c r="E2175" t="inlineStr">
        <is>
          <t>Deportes</t>
        </is>
      </c>
      <c r="F2175" t="inlineStr">
        <is>
          <t>Web</t>
        </is>
      </c>
      <c r="G2175" t="inlineStr">
        <is>
          <t>1. Visita</t>
        </is>
      </c>
      <c r="H2175" t="n">
        <v>5</v>
      </c>
      <c r="I2175" s="73" t="n">
        <v>150800</v>
      </c>
      <c r="J2175" s="73" t="n">
        <v>754000</v>
      </c>
      <c r="K2175" s="73" t="n">
        <v>526158</v>
      </c>
    </row>
    <row r="2176">
      <c r="A2176" t="n">
        <v>12017</v>
      </c>
      <c r="B2176" s="72" t="n">
        <v>45869.54722222222</v>
      </c>
      <c r="C2176" t="inlineStr">
        <is>
          <t>Atlántico</t>
        </is>
      </c>
      <c r="D2176" t="inlineStr">
        <is>
          <t>Barranquilla</t>
        </is>
      </c>
      <c r="E2176" t="inlineStr">
        <is>
          <t>Tecnología</t>
        </is>
      </c>
      <c r="F2176" t="inlineStr">
        <is>
          <t>App</t>
        </is>
      </c>
      <c r="G2176" t="inlineStr">
        <is>
          <t>2. Carrito</t>
        </is>
      </c>
      <c r="H2176" t="n">
        <v>2</v>
      </c>
      <c r="I2176" s="73" t="n">
        <v>1084800</v>
      </c>
      <c r="J2176" s="73" t="n">
        <v>2169600</v>
      </c>
      <c r="K2176" s="73" t="n">
        <v>1266791</v>
      </c>
    </row>
    <row r="2177">
      <c r="A2177" t="n">
        <v>11457</v>
      </c>
      <c r="B2177" s="72" t="n">
        <v>45869.69027777778</v>
      </c>
      <c r="C2177" t="inlineStr">
        <is>
          <t>Antioquia</t>
        </is>
      </c>
      <c r="D2177" t="inlineStr">
        <is>
          <t>Medellín</t>
        </is>
      </c>
      <c r="E2177" t="inlineStr">
        <is>
          <t>Tecnología</t>
        </is>
      </c>
      <c r="F2177" t="inlineStr">
        <is>
          <t>Web</t>
        </is>
      </c>
      <c r="G2177" t="inlineStr">
        <is>
          <t>1. Visita</t>
        </is>
      </c>
      <c r="H2177" t="n">
        <v>1</v>
      </c>
      <c r="I2177" s="73" t="n">
        <v>641700</v>
      </c>
      <c r="J2177" s="73" t="n">
        <v>641700</v>
      </c>
      <c r="K2177" s="73" t="n">
        <v>410724</v>
      </c>
    </row>
    <row r="2178">
      <c r="A2178" t="n">
        <v>11889</v>
      </c>
      <c r="B2178" s="72" t="n">
        <v>45869.77708333333</v>
      </c>
      <c r="C2178" t="inlineStr">
        <is>
          <t>Antioquia</t>
        </is>
      </c>
      <c r="D2178" t="inlineStr">
        <is>
          <t>Medellín</t>
        </is>
      </c>
      <c r="E2178" t="inlineStr">
        <is>
          <t>Tecnología</t>
        </is>
      </c>
      <c r="F2178" t="inlineStr">
        <is>
          <t>Web</t>
        </is>
      </c>
      <c r="G2178" t="inlineStr">
        <is>
          <t>2. Carrito</t>
        </is>
      </c>
      <c r="H2178" t="n">
        <v>2</v>
      </c>
      <c r="I2178" s="73" t="n">
        <v>923300</v>
      </c>
      <c r="J2178" s="73" t="n">
        <v>1846600</v>
      </c>
      <c r="K2178" s="73" t="n">
        <v>1346078</v>
      </c>
    </row>
    <row r="2179">
      <c r="A2179" t="n">
        <v>10546</v>
      </c>
      <c r="B2179" s="72" t="n">
        <v>45869.87291666667</v>
      </c>
      <c r="C2179" t="inlineStr">
        <is>
          <t>Bogotá D.C.</t>
        </is>
      </c>
      <c r="D2179" t="inlineStr">
        <is>
          <t>Bogotá</t>
        </is>
      </c>
      <c r="E2179" t="inlineStr">
        <is>
          <t>Moda</t>
        </is>
      </c>
      <c r="F2179" t="inlineStr">
        <is>
          <t>Tienda física</t>
        </is>
      </c>
      <c r="G2179" t="inlineStr">
        <is>
          <t>3. Pago</t>
        </is>
      </c>
      <c r="H2179" t="n">
        <v>4</v>
      </c>
      <c r="I2179" s="73" t="n">
        <v>92100</v>
      </c>
      <c r="J2179" s="73" t="n">
        <v>368400</v>
      </c>
      <c r="K2179" s="73" t="n">
        <v>218910</v>
      </c>
    </row>
    <row r="2180">
      <c r="A2180" t="n">
        <v>11895</v>
      </c>
      <c r="B2180" s="72" t="n">
        <v>45870.56666666667</v>
      </c>
      <c r="C2180" t="inlineStr">
        <is>
          <t>Valle del Cauca</t>
        </is>
      </c>
      <c r="D2180" t="inlineStr">
        <is>
          <t>Cali</t>
        </is>
      </c>
      <c r="E2180" t="inlineStr">
        <is>
          <t>Tecnología</t>
        </is>
      </c>
      <c r="F2180" t="inlineStr">
        <is>
          <t>App</t>
        </is>
      </c>
      <c r="G2180" t="inlineStr">
        <is>
          <t>3. Pago</t>
        </is>
      </c>
      <c r="H2180" t="n">
        <v>1</v>
      </c>
      <c r="I2180" s="73" t="n">
        <v>695800</v>
      </c>
      <c r="J2180" s="73" t="n">
        <v>800170</v>
      </c>
      <c r="K2180" s="73" t="n">
        <v>477198</v>
      </c>
    </row>
    <row r="2181">
      <c r="A2181" t="n">
        <v>11159</v>
      </c>
      <c r="B2181" s="72" t="n">
        <v>45870.60833333333</v>
      </c>
      <c r="C2181" t="inlineStr">
        <is>
          <t>Bogotá D.C.</t>
        </is>
      </c>
      <c r="D2181" t="inlineStr">
        <is>
          <t>Bogotá</t>
        </is>
      </c>
      <c r="E2181" t="inlineStr">
        <is>
          <t>Tecnología</t>
        </is>
      </c>
      <c r="F2181" t="inlineStr">
        <is>
          <t>Web</t>
        </is>
      </c>
      <c r="G2181" t="inlineStr">
        <is>
          <t>1. Visita</t>
        </is>
      </c>
      <c r="H2181" t="n">
        <v>4</v>
      </c>
      <c r="I2181" s="73" t="n">
        <v>819300</v>
      </c>
      <c r="J2181" s="73" t="n">
        <v>3768780</v>
      </c>
      <c r="K2181" s="73" t="n">
        <v>2376759</v>
      </c>
    </row>
    <row r="2182">
      <c r="A2182" t="n">
        <v>11869</v>
      </c>
      <c r="B2182" s="72" t="n">
        <v>45870.86666666667</v>
      </c>
      <c r="C2182" t="inlineStr">
        <is>
          <t>Huila</t>
        </is>
      </c>
      <c r="D2182" t="inlineStr">
        <is>
          <t>Neiva</t>
        </is>
      </c>
      <c r="E2182" t="inlineStr">
        <is>
          <t>Belleza</t>
        </is>
      </c>
      <c r="F2182" t="inlineStr">
        <is>
          <t>Tienda física</t>
        </is>
      </c>
      <c r="G2182" t="inlineStr">
        <is>
          <t>1. Visita</t>
        </is>
      </c>
      <c r="H2182" t="n">
        <v>4</v>
      </c>
      <c r="I2182" s="73" t="n">
        <v>64000</v>
      </c>
      <c r="J2182" s="73" t="n">
        <v>294400</v>
      </c>
      <c r="K2182" s="73" t="n">
        <v>177324</v>
      </c>
    </row>
    <row r="2183">
      <c r="A2183" t="n">
        <v>11836</v>
      </c>
      <c r="B2183" s="72" t="n">
        <v>45870.88888888889</v>
      </c>
      <c r="C2183" t="inlineStr">
        <is>
          <t>Bogotá D.C.</t>
        </is>
      </c>
      <c r="D2183" t="inlineStr">
        <is>
          <t>Bogotá</t>
        </is>
      </c>
      <c r="E2183" t="inlineStr">
        <is>
          <t>Moda</t>
        </is>
      </c>
      <c r="F2183" t="inlineStr">
        <is>
          <t>Web</t>
        </is>
      </c>
      <c r="G2183" t="inlineStr">
        <is>
          <t>1. Visita</t>
        </is>
      </c>
      <c r="H2183" t="n">
        <v>2</v>
      </c>
      <c r="I2183" s="73" t="n">
        <v>111300</v>
      </c>
      <c r="J2183" s="73" t="n">
        <v>255990</v>
      </c>
      <c r="K2183" s="73" t="n">
        <v>149257</v>
      </c>
    </row>
    <row r="2184">
      <c r="A2184" t="n">
        <v>11450</v>
      </c>
      <c r="B2184" s="72" t="n">
        <v>45871.21597222222</v>
      </c>
      <c r="C2184" t="inlineStr">
        <is>
          <t>Valle del Cauca</t>
        </is>
      </c>
      <c r="D2184" t="inlineStr">
        <is>
          <t>Cali</t>
        </is>
      </c>
      <c r="E2184" t="inlineStr">
        <is>
          <t>Juguetes</t>
        </is>
      </c>
      <c r="F2184" t="inlineStr">
        <is>
          <t>Tienda física</t>
        </is>
      </c>
      <c r="G2184" t="inlineStr">
        <is>
          <t>4. Compra</t>
        </is>
      </c>
      <c r="H2184" t="n">
        <v>2</v>
      </c>
      <c r="I2184" s="73" t="n">
        <v>116300</v>
      </c>
      <c r="J2184" s="73" t="n">
        <v>267490</v>
      </c>
      <c r="K2184" s="73" t="n">
        <v>160295</v>
      </c>
    </row>
    <row r="2185">
      <c r="A2185" t="n">
        <v>12355</v>
      </c>
      <c r="B2185" s="72" t="n">
        <v>45871.5125</v>
      </c>
      <c r="C2185" t="inlineStr">
        <is>
          <t>Bolívar</t>
        </is>
      </c>
      <c r="D2185" t="inlineStr">
        <is>
          <t>Cartagena</t>
        </is>
      </c>
      <c r="E2185" t="inlineStr">
        <is>
          <t>Belleza</t>
        </is>
      </c>
      <c r="F2185" t="inlineStr">
        <is>
          <t>Tienda física</t>
        </is>
      </c>
      <c r="G2185" t="inlineStr">
        <is>
          <t>1. Visita</t>
        </is>
      </c>
      <c r="H2185" t="n">
        <v>5</v>
      </c>
      <c r="I2185" s="73" t="n">
        <v>53200</v>
      </c>
      <c r="J2185" s="73" t="n">
        <v>305900</v>
      </c>
      <c r="K2185" s="73" t="n">
        <v>168445</v>
      </c>
    </row>
    <row r="2186">
      <c r="A2186" t="n">
        <v>11639</v>
      </c>
      <c r="B2186" s="72" t="n">
        <v>45871.80277777778</v>
      </c>
      <c r="C2186" t="inlineStr">
        <is>
          <t>Bogotá D.C.</t>
        </is>
      </c>
      <c r="D2186" t="inlineStr">
        <is>
          <t>Bogotá</t>
        </is>
      </c>
      <c r="E2186" t="inlineStr">
        <is>
          <t>Hogar</t>
        </is>
      </c>
      <c r="F2186" t="inlineStr">
        <is>
          <t>Web</t>
        </is>
      </c>
      <c r="G2186" t="inlineStr">
        <is>
          <t>3. Pago</t>
        </is>
      </c>
      <c r="H2186" t="n">
        <v>2</v>
      </c>
      <c r="I2186" s="73" t="n">
        <v>158700</v>
      </c>
      <c r="J2186" s="73" t="n">
        <v>365010</v>
      </c>
      <c r="K2186" s="73" t="n">
        <v>259097</v>
      </c>
    </row>
    <row r="2187">
      <c r="A2187" t="n">
        <v>10420</v>
      </c>
      <c r="B2187" s="72" t="n">
        <v>45871.87222222222</v>
      </c>
      <c r="C2187" t="inlineStr">
        <is>
          <t>Valle del Cauca</t>
        </is>
      </c>
      <c r="D2187" t="inlineStr">
        <is>
          <t>Cali</t>
        </is>
      </c>
      <c r="E2187" t="inlineStr">
        <is>
          <t>Moda</t>
        </is>
      </c>
      <c r="F2187" t="inlineStr">
        <is>
          <t>Web</t>
        </is>
      </c>
      <c r="G2187" t="inlineStr">
        <is>
          <t>1. Visita</t>
        </is>
      </c>
      <c r="H2187" t="n">
        <v>4</v>
      </c>
      <c r="I2187" s="73" t="n">
        <v>101700</v>
      </c>
      <c r="J2187" s="73" t="n">
        <v>467820</v>
      </c>
      <c r="K2187" s="73" t="n">
        <v>295009</v>
      </c>
    </row>
    <row r="2188">
      <c r="A2188" t="n">
        <v>11056</v>
      </c>
      <c r="B2188" s="72" t="n">
        <v>45872.32013888889</v>
      </c>
      <c r="C2188" t="inlineStr">
        <is>
          <t>Bolívar</t>
        </is>
      </c>
      <c r="D2188" t="inlineStr">
        <is>
          <t>Cartagena</t>
        </is>
      </c>
      <c r="E2188" t="inlineStr">
        <is>
          <t>Tecnología</t>
        </is>
      </c>
      <c r="F2188" t="inlineStr">
        <is>
          <t>Marketplace</t>
        </is>
      </c>
      <c r="G2188" t="inlineStr">
        <is>
          <t>1. Visita</t>
        </is>
      </c>
      <c r="H2188" t="n">
        <v>2</v>
      </c>
      <c r="I2188" s="73" t="n">
        <v>660300</v>
      </c>
      <c r="J2188" s="73" t="n">
        <v>1518690</v>
      </c>
      <c r="K2188" s="73" t="n">
        <v>876885</v>
      </c>
    </row>
    <row r="2189">
      <c r="A2189" t="n">
        <v>11531</v>
      </c>
      <c r="B2189" s="72" t="n">
        <v>45872.71736111111</v>
      </c>
      <c r="C2189" t="inlineStr">
        <is>
          <t>Bolívar</t>
        </is>
      </c>
      <c r="D2189" t="inlineStr">
        <is>
          <t>Cartagena</t>
        </is>
      </c>
      <c r="E2189" t="inlineStr">
        <is>
          <t>Belleza</t>
        </is>
      </c>
      <c r="F2189" t="inlineStr">
        <is>
          <t>App</t>
        </is>
      </c>
      <c r="G2189" t="inlineStr">
        <is>
          <t>3. Pago</t>
        </is>
      </c>
      <c r="H2189" t="n">
        <v>3</v>
      </c>
      <c r="I2189" s="73" t="n">
        <v>84200</v>
      </c>
      <c r="J2189" s="73" t="n">
        <v>290490</v>
      </c>
      <c r="K2189" s="73" t="n">
        <v>182778</v>
      </c>
    </row>
    <row r="2190">
      <c r="A2190" t="n">
        <v>11367</v>
      </c>
      <c r="B2190" s="72" t="n">
        <v>45872.75208333333</v>
      </c>
      <c r="C2190" t="inlineStr">
        <is>
          <t>Risaralda</t>
        </is>
      </c>
      <c r="D2190" t="inlineStr">
        <is>
          <t>Pereira</t>
        </is>
      </c>
      <c r="E2190" t="inlineStr">
        <is>
          <t>Tecnología</t>
        </is>
      </c>
      <c r="F2190" t="inlineStr">
        <is>
          <t>App</t>
        </is>
      </c>
      <c r="G2190" t="inlineStr">
        <is>
          <t>4. Compra</t>
        </is>
      </c>
      <c r="H2190" t="n">
        <v>4</v>
      </c>
      <c r="I2190" s="73" t="n">
        <v>1005700</v>
      </c>
      <c r="J2190" s="73" t="n">
        <v>4626220</v>
      </c>
      <c r="K2190" s="73" t="n">
        <v>3461870</v>
      </c>
    </row>
    <row r="2191">
      <c r="A2191" t="n">
        <v>10738</v>
      </c>
      <c r="B2191" s="72" t="n">
        <v>45873.45138888889</v>
      </c>
      <c r="C2191" t="inlineStr">
        <is>
          <t>Santander</t>
        </is>
      </c>
      <c r="D2191" t="inlineStr">
        <is>
          <t>Bucaramanga</t>
        </is>
      </c>
      <c r="E2191" t="inlineStr">
        <is>
          <t>Moda</t>
        </is>
      </c>
      <c r="F2191" t="inlineStr">
        <is>
          <t>Tienda física</t>
        </is>
      </c>
      <c r="G2191" t="inlineStr">
        <is>
          <t>1. Visita</t>
        </is>
      </c>
      <c r="H2191" t="n">
        <v>2</v>
      </c>
      <c r="I2191" s="73" t="n">
        <v>101900</v>
      </c>
      <c r="J2191" s="73" t="n">
        <v>203800</v>
      </c>
      <c r="K2191" s="73" t="n">
        <v>150468</v>
      </c>
    </row>
    <row r="2192">
      <c r="A2192" t="n">
        <v>11636</v>
      </c>
      <c r="B2192" s="72" t="n">
        <v>45873.67430555556</v>
      </c>
      <c r="C2192" t="inlineStr">
        <is>
          <t>Atlántico</t>
        </is>
      </c>
      <c r="D2192" t="inlineStr">
        <is>
          <t>Barranquilla</t>
        </is>
      </c>
      <c r="E2192" t="inlineStr">
        <is>
          <t>Deportes</t>
        </is>
      </c>
      <c r="F2192" t="inlineStr">
        <is>
          <t>Tienda física</t>
        </is>
      </c>
      <c r="G2192" t="inlineStr">
        <is>
          <t>2. Carrito</t>
        </is>
      </c>
      <c r="H2192" t="n">
        <v>2</v>
      </c>
      <c r="I2192" s="73" t="n">
        <v>174100</v>
      </c>
      <c r="J2192" s="73" t="n">
        <v>348200</v>
      </c>
      <c r="K2192" s="73" t="n">
        <v>210200</v>
      </c>
    </row>
    <row r="2193">
      <c r="A2193" t="n">
        <v>10992</v>
      </c>
      <c r="B2193" s="72" t="n">
        <v>45873.80625</v>
      </c>
      <c r="C2193" t="inlineStr">
        <is>
          <t>Bogotá D.C.</t>
        </is>
      </c>
      <c r="D2193" t="inlineStr">
        <is>
          <t>Bogotá</t>
        </is>
      </c>
      <c r="E2193" t="inlineStr">
        <is>
          <t>Hogar</t>
        </is>
      </c>
      <c r="F2193" t="inlineStr">
        <is>
          <t>App</t>
        </is>
      </c>
      <c r="G2193" t="inlineStr">
        <is>
          <t>1. Visita</t>
        </is>
      </c>
      <c r="H2193" t="n">
        <v>3</v>
      </c>
      <c r="I2193" s="73" t="n">
        <v>239700</v>
      </c>
      <c r="J2193" s="73" t="n">
        <v>719100</v>
      </c>
      <c r="K2193" s="73" t="n">
        <v>433433</v>
      </c>
    </row>
    <row r="2194">
      <c r="A2194" t="n">
        <v>10321</v>
      </c>
      <c r="B2194" s="72" t="n">
        <v>45873.88194444445</v>
      </c>
      <c r="C2194" t="inlineStr">
        <is>
          <t>Valle del Cauca</t>
        </is>
      </c>
      <c r="D2194" t="inlineStr">
        <is>
          <t>Cali</t>
        </is>
      </c>
      <c r="E2194" t="inlineStr">
        <is>
          <t>Belleza</t>
        </is>
      </c>
      <c r="F2194" t="inlineStr">
        <is>
          <t>Web</t>
        </is>
      </c>
      <c r="G2194" t="inlineStr">
        <is>
          <t>2. Carrito</t>
        </is>
      </c>
      <c r="H2194" t="n">
        <v>5</v>
      </c>
      <c r="I2194" s="73" t="n">
        <v>89600</v>
      </c>
      <c r="J2194" s="73" t="n">
        <v>448000</v>
      </c>
      <c r="K2194" s="73" t="n">
        <v>268199</v>
      </c>
    </row>
    <row r="2195">
      <c r="A2195" t="n">
        <v>10944</v>
      </c>
      <c r="B2195" s="72" t="n">
        <v>45873.99861111111</v>
      </c>
      <c r="C2195" t="inlineStr">
        <is>
          <t>Bogotá D.C.</t>
        </is>
      </c>
      <c r="D2195" t="inlineStr">
        <is>
          <t>Bogotá</t>
        </is>
      </c>
      <c r="E2195" t="inlineStr">
        <is>
          <t>Tecnología</t>
        </is>
      </c>
      <c r="F2195" t="inlineStr">
        <is>
          <t>Web</t>
        </is>
      </c>
      <c r="G2195" t="inlineStr">
        <is>
          <t>1. Visita</t>
        </is>
      </c>
      <c r="H2195" t="n">
        <v>3</v>
      </c>
      <c r="I2195" s="73" t="n">
        <v>709400</v>
      </c>
      <c r="J2195" s="73" t="n">
        <v>2128200</v>
      </c>
      <c r="K2195" s="73" t="n">
        <v>1482555</v>
      </c>
    </row>
    <row r="2196">
      <c r="A2196" t="n">
        <v>12302</v>
      </c>
      <c r="B2196" s="72" t="n">
        <v>45874.50138888889</v>
      </c>
      <c r="C2196" t="inlineStr">
        <is>
          <t>Antioquia</t>
        </is>
      </c>
      <c r="D2196" t="inlineStr">
        <is>
          <t>Medellín</t>
        </is>
      </c>
      <c r="E2196" t="inlineStr">
        <is>
          <t>Juguetes</t>
        </is>
      </c>
      <c r="F2196" t="inlineStr">
        <is>
          <t>App</t>
        </is>
      </c>
      <c r="G2196" t="inlineStr">
        <is>
          <t>1. Visita</t>
        </is>
      </c>
      <c r="H2196" t="n">
        <v>3</v>
      </c>
      <c r="I2196" s="73" t="n">
        <v>96700</v>
      </c>
      <c r="J2196" s="73" t="n">
        <v>290100</v>
      </c>
      <c r="K2196" s="73" t="n">
        <v>199854</v>
      </c>
    </row>
    <row r="2197">
      <c r="A2197" t="n">
        <v>11532</v>
      </c>
      <c r="B2197" s="72" t="n">
        <v>45874.52847222222</v>
      </c>
      <c r="C2197" t="inlineStr">
        <is>
          <t>Santander</t>
        </is>
      </c>
      <c r="D2197" t="inlineStr">
        <is>
          <t>Bucaramanga</t>
        </is>
      </c>
      <c r="E2197" t="inlineStr">
        <is>
          <t>Hogar</t>
        </is>
      </c>
      <c r="F2197" t="inlineStr">
        <is>
          <t>App</t>
        </is>
      </c>
      <c r="G2197" t="inlineStr">
        <is>
          <t>1. Visita</t>
        </is>
      </c>
      <c r="H2197" t="n">
        <v>5</v>
      </c>
      <c r="I2197" s="73" t="n">
        <v>184000</v>
      </c>
      <c r="J2197" s="73" t="n">
        <v>920000</v>
      </c>
      <c r="K2197" s="73" t="n">
        <v>531803</v>
      </c>
    </row>
    <row r="2198">
      <c r="A2198" t="n">
        <v>10065</v>
      </c>
      <c r="B2198" s="72" t="n">
        <v>45874.67291666667</v>
      </c>
      <c r="C2198" t="inlineStr">
        <is>
          <t>Valle del Cauca</t>
        </is>
      </c>
      <c r="D2198" t="inlineStr">
        <is>
          <t>Cali</t>
        </is>
      </c>
      <c r="E2198" t="inlineStr">
        <is>
          <t>Moda</t>
        </is>
      </c>
      <c r="F2198" t="inlineStr">
        <is>
          <t>Web</t>
        </is>
      </c>
      <c r="G2198" t="inlineStr">
        <is>
          <t>2. Carrito</t>
        </is>
      </c>
      <c r="H2198" t="n">
        <v>4</v>
      </c>
      <c r="I2198" s="73" t="n">
        <v>132300</v>
      </c>
      <c r="J2198" s="73" t="n">
        <v>529200</v>
      </c>
      <c r="K2198" s="73" t="n">
        <v>388605</v>
      </c>
    </row>
    <row r="2199">
      <c r="A2199" t="n">
        <v>10683</v>
      </c>
      <c r="B2199" s="72" t="n">
        <v>45874.85625</v>
      </c>
      <c r="C2199" t="inlineStr">
        <is>
          <t>Atlántico</t>
        </is>
      </c>
      <c r="D2199" t="inlineStr">
        <is>
          <t>Barranquilla</t>
        </is>
      </c>
      <c r="E2199" t="inlineStr">
        <is>
          <t>Juguetes</t>
        </is>
      </c>
      <c r="F2199" t="inlineStr">
        <is>
          <t>Web</t>
        </is>
      </c>
      <c r="G2199" t="inlineStr">
        <is>
          <t>2. Carrito</t>
        </is>
      </c>
      <c r="H2199" t="n">
        <v>2</v>
      </c>
      <c r="I2199" s="73" t="n">
        <v>63300</v>
      </c>
      <c r="J2199" s="73" t="n">
        <v>126600</v>
      </c>
      <c r="K2199" s="73" t="n">
        <v>77034</v>
      </c>
    </row>
    <row r="2200">
      <c r="A2200" t="n">
        <v>10101</v>
      </c>
      <c r="B2200" s="72" t="n">
        <v>45874.91736111111</v>
      </c>
      <c r="C2200" t="inlineStr">
        <is>
          <t>Bogotá D.C.</t>
        </is>
      </c>
      <c r="D2200" t="inlineStr">
        <is>
          <t>Bogotá</t>
        </is>
      </c>
      <c r="E2200" t="inlineStr">
        <is>
          <t>Hogar</t>
        </is>
      </c>
      <c r="F2200" t="inlineStr">
        <is>
          <t>App</t>
        </is>
      </c>
      <c r="G2200" t="inlineStr">
        <is>
          <t>1. Visita</t>
        </is>
      </c>
      <c r="H2200" t="n">
        <v>4</v>
      </c>
      <c r="I2200" s="73" t="n">
        <v>175000</v>
      </c>
      <c r="J2200" s="73" t="n">
        <v>700000</v>
      </c>
      <c r="K2200" s="73" t="n">
        <v>429602</v>
      </c>
    </row>
    <row r="2201">
      <c r="A2201" t="n">
        <v>11512</v>
      </c>
      <c r="B2201" s="72" t="n">
        <v>45875.2625</v>
      </c>
      <c r="C2201" t="inlineStr">
        <is>
          <t>Atlántico</t>
        </is>
      </c>
      <c r="D2201" t="inlineStr">
        <is>
          <t>Barranquilla</t>
        </is>
      </c>
      <c r="E2201" t="inlineStr">
        <is>
          <t>Deportes</t>
        </is>
      </c>
      <c r="F2201" t="inlineStr">
        <is>
          <t>Web</t>
        </is>
      </c>
      <c r="G2201" t="inlineStr">
        <is>
          <t>2. Carrito</t>
        </is>
      </c>
      <c r="H2201" t="n">
        <v>4</v>
      </c>
      <c r="I2201" s="73" t="n">
        <v>126900</v>
      </c>
      <c r="J2201" s="73" t="n">
        <v>507600</v>
      </c>
      <c r="K2201" s="73" t="n">
        <v>372171</v>
      </c>
    </row>
    <row r="2202">
      <c r="A2202" t="n">
        <v>10380</v>
      </c>
      <c r="B2202" s="72" t="n">
        <v>45875.39791666667</v>
      </c>
      <c r="C2202" t="inlineStr">
        <is>
          <t>Bolívar</t>
        </is>
      </c>
      <c r="D2202" t="inlineStr">
        <is>
          <t>Cartagena</t>
        </is>
      </c>
      <c r="E2202" t="inlineStr">
        <is>
          <t>Moda</t>
        </is>
      </c>
      <c r="F2202" t="inlineStr">
        <is>
          <t>App</t>
        </is>
      </c>
      <c r="G2202" t="inlineStr">
        <is>
          <t>3. Pago</t>
        </is>
      </c>
      <c r="H2202" t="n">
        <v>3</v>
      </c>
      <c r="I2202" s="73" t="n">
        <v>139400</v>
      </c>
      <c r="J2202" s="73" t="n">
        <v>418200</v>
      </c>
      <c r="K2202" s="73" t="n">
        <v>253546</v>
      </c>
    </row>
    <row r="2203">
      <c r="A2203" t="n">
        <v>10328</v>
      </c>
      <c r="B2203" s="72" t="n">
        <v>45875.52847222222</v>
      </c>
      <c r="C2203" t="inlineStr">
        <is>
          <t>Antioquia</t>
        </is>
      </c>
      <c r="D2203" t="inlineStr">
        <is>
          <t>Medellín</t>
        </is>
      </c>
      <c r="E2203" t="inlineStr">
        <is>
          <t>Moda</t>
        </is>
      </c>
      <c r="F2203" t="inlineStr">
        <is>
          <t>Tienda física</t>
        </is>
      </c>
      <c r="G2203" t="inlineStr">
        <is>
          <t>4. Compra</t>
        </is>
      </c>
      <c r="H2203" t="n">
        <v>4</v>
      </c>
      <c r="I2203" s="73" t="n">
        <v>151300</v>
      </c>
      <c r="J2203" s="73" t="n">
        <v>605200</v>
      </c>
      <c r="K2203" s="73" t="n">
        <v>427643</v>
      </c>
    </row>
    <row r="2204">
      <c r="A2204" t="n">
        <v>12177</v>
      </c>
      <c r="B2204" s="72" t="n">
        <v>45875.59583333333</v>
      </c>
      <c r="C2204" t="inlineStr">
        <is>
          <t>Atlántico</t>
        </is>
      </c>
      <c r="D2204" t="inlineStr">
        <is>
          <t>Barranquilla</t>
        </is>
      </c>
      <c r="E2204" t="inlineStr">
        <is>
          <t>Belleza</t>
        </is>
      </c>
      <c r="F2204" t="inlineStr">
        <is>
          <t>App</t>
        </is>
      </c>
      <c r="G2204" t="inlineStr">
        <is>
          <t>1. Visita</t>
        </is>
      </c>
      <c r="H2204" t="n">
        <v>3</v>
      </c>
      <c r="I2204" s="73" t="n">
        <v>68200</v>
      </c>
      <c r="J2204" s="73" t="n">
        <v>204600</v>
      </c>
      <c r="K2204" s="73" t="n">
        <v>148098</v>
      </c>
    </row>
    <row r="2205">
      <c r="A2205" t="n">
        <v>12085</v>
      </c>
      <c r="B2205" s="72" t="n">
        <v>45875.64444444444</v>
      </c>
      <c r="C2205" t="inlineStr">
        <is>
          <t>Bogotá D.C.</t>
        </is>
      </c>
      <c r="D2205" t="inlineStr">
        <is>
          <t>Bogotá</t>
        </is>
      </c>
      <c r="E2205" t="inlineStr">
        <is>
          <t>Deportes</t>
        </is>
      </c>
      <c r="F2205" t="inlineStr">
        <is>
          <t>Web</t>
        </is>
      </c>
      <c r="G2205" t="inlineStr">
        <is>
          <t>2. Carrito</t>
        </is>
      </c>
      <c r="H2205" t="n">
        <v>3</v>
      </c>
      <c r="I2205" s="73" t="n">
        <v>185000</v>
      </c>
      <c r="J2205" s="73" t="n">
        <v>555000</v>
      </c>
      <c r="K2205" s="73" t="n">
        <v>326227</v>
      </c>
    </row>
    <row r="2206">
      <c r="A2206" t="n">
        <v>10999</v>
      </c>
      <c r="B2206" s="72" t="n">
        <v>45875.68333333333</v>
      </c>
      <c r="C2206" t="inlineStr">
        <is>
          <t>Bogotá D.C.</t>
        </is>
      </c>
      <c r="D2206" t="inlineStr">
        <is>
          <t>Bogotá</t>
        </is>
      </c>
      <c r="E2206" t="inlineStr">
        <is>
          <t>Hogar</t>
        </is>
      </c>
      <c r="F2206" t="inlineStr">
        <is>
          <t>Web</t>
        </is>
      </c>
      <c r="G2206" t="inlineStr">
        <is>
          <t>1. Visita</t>
        </is>
      </c>
      <c r="H2206" t="n">
        <v>4</v>
      </c>
      <c r="I2206" s="73" t="n">
        <v>174500</v>
      </c>
      <c r="J2206" s="73" t="n">
        <v>698000</v>
      </c>
      <c r="K2206" s="73" t="n">
        <v>405772</v>
      </c>
    </row>
    <row r="2207">
      <c r="A2207" t="n">
        <v>11989</v>
      </c>
      <c r="B2207" s="72" t="n">
        <v>45875.86944444444</v>
      </c>
      <c r="C2207" t="inlineStr">
        <is>
          <t>Valle del Cauca</t>
        </is>
      </c>
      <c r="D2207" t="inlineStr">
        <is>
          <t>Cali</t>
        </is>
      </c>
      <c r="E2207" t="inlineStr">
        <is>
          <t>Hogar</t>
        </is>
      </c>
      <c r="F2207" t="inlineStr">
        <is>
          <t>App</t>
        </is>
      </c>
      <c r="G2207" t="inlineStr">
        <is>
          <t>1. Visita</t>
        </is>
      </c>
      <c r="H2207" t="n">
        <v>4</v>
      </c>
      <c r="I2207" s="73" t="n">
        <v>215100</v>
      </c>
      <c r="J2207" s="73" t="n">
        <v>860400</v>
      </c>
      <c r="K2207" s="73" t="n">
        <v>592230</v>
      </c>
    </row>
    <row r="2208">
      <c r="A2208" t="n">
        <v>10055</v>
      </c>
      <c r="B2208" s="72" t="n">
        <v>45876.63819444444</v>
      </c>
      <c r="C2208" t="inlineStr">
        <is>
          <t>Bogotá D.C.</t>
        </is>
      </c>
      <c r="D2208" t="inlineStr">
        <is>
          <t>Bogotá</t>
        </is>
      </c>
      <c r="E2208" t="inlineStr">
        <is>
          <t>Juguetes</t>
        </is>
      </c>
      <c r="F2208" t="inlineStr">
        <is>
          <t>App</t>
        </is>
      </c>
      <c r="G2208" t="inlineStr">
        <is>
          <t>1. Visita</t>
        </is>
      </c>
      <c r="H2208" t="n">
        <v>5</v>
      </c>
      <c r="I2208" s="73" t="n">
        <v>87900</v>
      </c>
      <c r="J2208" s="73" t="n">
        <v>439500</v>
      </c>
      <c r="K2208" s="73" t="n">
        <v>264037</v>
      </c>
    </row>
    <row r="2209">
      <c r="A2209" t="n">
        <v>11020</v>
      </c>
      <c r="B2209" s="72" t="n">
        <v>45876.70347222222</v>
      </c>
      <c r="C2209" t="inlineStr">
        <is>
          <t>Bogotá D.C.</t>
        </is>
      </c>
      <c r="D2209" t="inlineStr">
        <is>
          <t>Bogotá</t>
        </is>
      </c>
      <c r="E2209" t="inlineStr">
        <is>
          <t>Moda</t>
        </is>
      </c>
      <c r="F2209" t="inlineStr">
        <is>
          <t>Tienda física</t>
        </is>
      </c>
      <c r="G2209" t="inlineStr">
        <is>
          <t>1. Visita</t>
        </is>
      </c>
      <c r="H2209" t="n">
        <v>4</v>
      </c>
      <c r="I2209" s="73" t="n">
        <v>143500</v>
      </c>
      <c r="J2209" s="73" t="n">
        <v>574000</v>
      </c>
      <c r="K2209" s="73" t="n">
        <v>380100</v>
      </c>
    </row>
    <row r="2210">
      <c r="A2210" t="n">
        <v>10513</v>
      </c>
      <c r="B2210" s="72" t="n">
        <v>45876.75486111111</v>
      </c>
      <c r="C2210" t="inlineStr">
        <is>
          <t>Atlántico</t>
        </is>
      </c>
      <c r="D2210" t="inlineStr">
        <is>
          <t>Barranquilla</t>
        </is>
      </c>
      <c r="E2210" t="inlineStr">
        <is>
          <t>Deportes</t>
        </is>
      </c>
      <c r="F2210" t="inlineStr">
        <is>
          <t>Web</t>
        </is>
      </c>
      <c r="G2210" t="inlineStr">
        <is>
          <t>1. Visita</t>
        </is>
      </c>
      <c r="H2210" t="n">
        <v>3</v>
      </c>
      <c r="I2210" s="73" t="n">
        <v>191700</v>
      </c>
      <c r="J2210" s="73" t="n">
        <v>575100</v>
      </c>
      <c r="K2210" s="73" t="n">
        <v>421170</v>
      </c>
    </row>
    <row r="2211">
      <c r="A2211" t="n">
        <v>10876</v>
      </c>
      <c r="B2211" s="72" t="n">
        <v>45876.8</v>
      </c>
      <c r="C2211" t="inlineStr">
        <is>
          <t>Antioquia</t>
        </is>
      </c>
      <c r="D2211" t="inlineStr">
        <is>
          <t>Medellín</t>
        </is>
      </c>
      <c r="E2211" t="inlineStr">
        <is>
          <t>Deportes</t>
        </is>
      </c>
      <c r="F2211" t="inlineStr">
        <is>
          <t>App</t>
        </is>
      </c>
      <c r="G2211" t="inlineStr">
        <is>
          <t>1. Visita</t>
        </is>
      </c>
      <c r="H2211" t="n">
        <v>1</v>
      </c>
      <c r="I2211" s="73" t="n">
        <v>121500</v>
      </c>
      <c r="J2211" s="73" t="n">
        <v>121500</v>
      </c>
      <c r="K2211" s="73" t="n">
        <v>71229</v>
      </c>
    </row>
    <row r="2212">
      <c r="A2212" t="n">
        <v>10715</v>
      </c>
      <c r="B2212" s="72" t="n">
        <v>45877.44930555556</v>
      </c>
      <c r="C2212" t="inlineStr">
        <is>
          <t>Antioquia</t>
        </is>
      </c>
      <c r="D2212" t="inlineStr">
        <is>
          <t>Medellín</t>
        </is>
      </c>
      <c r="E2212" t="inlineStr">
        <is>
          <t>Juguetes</t>
        </is>
      </c>
      <c r="F2212" t="inlineStr">
        <is>
          <t>App</t>
        </is>
      </c>
      <c r="G2212" t="inlineStr">
        <is>
          <t>1. Visita</t>
        </is>
      </c>
      <c r="H2212" t="n">
        <v>2</v>
      </c>
      <c r="I2212" s="73" t="n">
        <v>98800</v>
      </c>
      <c r="J2212" s="73" t="n">
        <v>227240</v>
      </c>
      <c r="K2212" s="73" t="n">
        <v>151425</v>
      </c>
    </row>
    <row r="2213">
      <c r="A2213" t="n">
        <v>11698</v>
      </c>
      <c r="B2213" s="72" t="n">
        <v>45877.54791666667</v>
      </c>
      <c r="C2213" t="inlineStr">
        <is>
          <t>Antioquia</t>
        </is>
      </c>
      <c r="D2213" t="inlineStr">
        <is>
          <t>Medellín</t>
        </is>
      </c>
      <c r="E2213" t="inlineStr">
        <is>
          <t>Juguetes</t>
        </is>
      </c>
      <c r="F2213" t="inlineStr">
        <is>
          <t>Web</t>
        </is>
      </c>
      <c r="G2213" t="inlineStr">
        <is>
          <t>3. Pago</t>
        </is>
      </c>
      <c r="H2213" t="n">
        <v>5</v>
      </c>
      <c r="I2213" s="73" t="n">
        <v>68600</v>
      </c>
      <c r="J2213" s="73" t="n">
        <v>394450</v>
      </c>
      <c r="K2213" s="73" t="n">
        <v>222195</v>
      </c>
    </row>
    <row r="2214">
      <c r="A2214" t="n">
        <v>11916</v>
      </c>
      <c r="B2214" s="72" t="n">
        <v>45877.67916666667</v>
      </c>
      <c r="C2214" t="inlineStr">
        <is>
          <t>Atlántico</t>
        </is>
      </c>
      <c r="D2214" t="inlineStr">
        <is>
          <t>Barranquilla</t>
        </is>
      </c>
      <c r="E2214" t="inlineStr">
        <is>
          <t>Hogar</t>
        </is>
      </c>
      <c r="F2214" t="inlineStr">
        <is>
          <t>App</t>
        </is>
      </c>
      <c r="G2214" t="inlineStr">
        <is>
          <t>3. Pago</t>
        </is>
      </c>
      <c r="H2214" t="n">
        <v>5</v>
      </c>
      <c r="I2214" s="73" t="n">
        <v>200400</v>
      </c>
      <c r="J2214" s="73" t="n">
        <v>1152300</v>
      </c>
      <c r="K2214" s="73" t="n">
        <v>666412</v>
      </c>
    </row>
    <row r="2215">
      <c r="A2215" t="n">
        <v>10392</v>
      </c>
      <c r="B2215" s="72" t="n">
        <v>45877.85138888889</v>
      </c>
      <c r="C2215" t="inlineStr">
        <is>
          <t>Bogotá D.C.</t>
        </is>
      </c>
      <c r="D2215" t="inlineStr">
        <is>
          <t>Bogotá</t>
        </is>
      </c>
      <c r="E2215" t="inlineStr">
        <is>
          <t>Tecnología</t>
        </is>
      </c>
      <c r="F2215" t="inlineStr">
        <is>
          <t>App</t>
        </is>
      </c>
      <c r="G2215" t="inlineStr">
        <is>
          <t>1. Visita</t>
        </is>
      </c>
      <c r="H2215" t="n">
        <v>1</v>
      </c>
      <c r="I2215" s="73" t="n">
        <v>1034100</v>
      </c>
      <c r="J2215" s="73" t="n">
        <v>1189215</v>
      </c>
      <c r="K2215" s="73" t="n">
        <v>839056</v>
      </c>
    </row>
    <row r="2216">
      <c r="A2216" t="n">
        <v>11001</v>
      </c>
      <c r="B2216" s="72" t="n">
        <v>45877.86180555556</v>
      </c>
      <c r="C2216" t="inlineStr">
        <is>
          <t>Meta</t>
        </is>
      </c>
      <c r="D2216" t="inlineStr">
        <is>
          <t>Villavicencio</t>
        </is>
      </c>
      <c r="E2216" t="inlineStr">
        <is>
          <t>Moda</t>
        </is>
      </c>
      <c r="F2216" t="inlineStr">
        <is>
          <t>Tienda física</t>
        </is>
      </c>
      <c r="G2216" t="inlineStr">
        <is>
          <t>2. Carrito</t>
        </is>
      </c>
      <c r="H2216" t="n">
        <v>5</v>
      </c>
      <c r="I2216" s="73" t="n">
        <v>86300</v>
      </c>
      <c r="J2216" s="73" t="n">
        <v>496225</v>
      </c>
      <c r="K2216" s="73" t="n">
        <v>310763</v>
      </c>
    </row>
    <row r="2217">
      <c r="A2217" t="n">
        <v>10702</v>
      </c>
      <c r="B2217" s="72" t="n">
        <v>45877.8625</v>
      </c>
      <c r="C2217" t="inlineStr">
        <is>
          <t>Bogotá D.C.</t>
        </is>
      </c>
      <c r="D2217" t="inlineStr">
        <is>
          <t>Bogotá</t>
        </is>
      </c>
      <c r="E2217" t="inlineStr">
        <is>
          <t>Belleza</t>
        </is>
      </c>
      <c r="F2217" t="inlineStr">
        <is>
          <t>Web</t>
        </is>
      </c>
      <c r="G2217" t="inlineStr">
        <is>
          <t>1. Visita</t>
        </is>
      </c>
      <c r="H2217" t="n">
        <v>2</v>
      </c>
      <c r="I2217" s="73" t="n">
        <v>74700</v>
      </c>
      <c r="J2217" s="73" t="n">
        <v>171810</v>
      </c>
      <c r="K2217" s="73" t="n">
        <v>115386</v>
      </c>
    </row>
    <row r="2218">
      <c r="A2218" t="n">
        <v>12270</v>
      </c>
      <c r="B2218" s="72" t="n">
        <v>45877.90763888889</v>
      </c>
      <c r="C2218" t="inlineStr">
        <is>
          <t>Bogotá D.C.</t>
        </is>
      </c>
      <c r="D2218" t="inlineStr">
        <is>
          <t>Bogotá</t>
        </is>
      </c>
      <c r="E2218" t="inlineStr">
        <is>
          <t>Juguetes</t>
        </is>
      </c>
      <c r="F2218" t="inlineStr">
        <is>
          <t>Tienda física</t>
        </is>
      </c>
      <c r="G2218" t="inlineStr">
        <is>
          <t>3. Pago</t>
        </is>
      </c>
      <c r="H2218" t="n">
        <v>2</v>
      </c>
      <c r="I2218" s="73" t="n">
        <v>116700</v>
      </c>
      <c r="J2218" s="73" t="n">
        <v>268410</v>
      </c>
      <c r="K2218" s="73" t="n">
        <v>148283</v>
      </c>
    </row>
    <row r="2219">
      <c r="A2219" t="n">
        <v>11049</v>
      </c>
      <c r="B2219" s="72" t="n">
        <v>45878.61388888889</v>
      </c>
      <c r="C2219" t="inlineStr">
        <is>
          <t>Antioquia</t>
        </is>
      </c>
      <c r="D2219" t="inlineStr">
        <is>
          <t>Medellín</t>
        </is>
      </c>
      <c r="E2219" t="inlineStr">
        <is>
          <t>Juguetes</t>
        </is>
      </c>
      <c r="F2219" t="inlineStr">
        <is>
          <t>App</t>
        </is>
      </c>
      <c r="G2219" t="inlineStr">
        <is>
          <t>1. Visita</t>
        </is>
      </c>
      <c r="H2219" t="n">
        <v>1</v>
      </c>
      <c r="I2219" s="73" t="n">
        <v>115500</v>
      </c>
      <c r="J2219" s="73" t="n">
        <v>132825</v>
      </c>
      <c r="K2219" s="73" t="n">
        <v>93370</v>
      </c>
    </row>
    <row r="2220">
      <c r="A2220" t="n">
        <v>11752</v>
      </c>
      <c r="B2220" s="72" t="n">
        <v>45878.72638888889</v>
      </c>
      <c r="C2220" t="inlineStr">
        <is>
          <t>Valle del Cauca</t>
        </is>
      </c>
      <c r="D2220" t="inlineStr">
        <is>
          <t>Cali</t>
        </is>
      </c>
      <c r="E2220" t="inlineStr">
        <is>
          <t>Belleza</t>
        </is>
      </c>
      <c r="F2220" t="inlineStr">
        <is>
          <t>App</t>
        </is>
      </c>
      <c r="G2220" t="inlineStr">
        <is>
          <t>2. Carrito</t>
        </is>
      </c>
      <c r="H2220" t="n">
        <v>1</v>
      </c>
      <c r="I2220" s="73" t="n">
        <v>55100</v>
      </c>
      <c r="J2220" s="73" t="n">
        <v>63365</v>
      </c>
      <c r="K2220" s="73" t="n">
        <v>40179</v>
      </c>
    </row>
    <row r="2221">
      <c r="A2221" t="n">
        <v>11243</v>
      </c>
      <c r="B2221" s="72" t="n">
        <v>45879.47638888889</v>
      </c>
      <c r="C2221" t="inlineStr">
        <is>
          <t>Meta</t>
        </is>
      </c>
      <c r="D2221" t="inlineStr">
        <is>
          <t>Villavicencio</t>
        </is>
      </c>
      <c r="E2221" t="inlineStr">
        <is>
          <t>Hogar</t>
        </is>
      </c>
      <c r="F2221" t="inlineStr">
        <is>
          <t>App</t>
        </is>
      </c>
      <c r="G2221" t="inlineStr">
        <is>
          <t>4. Compra</t>
        </is>
      </c>
      <c r="H2221" t="n">
        <v>5</v>
      </c>
      <c r="I2221" s="73" t="n">
        <v>217800</v>
      </c>
      <c r="J2221" s="73" t="n">
        <v>1252350</v>
      </c>
      <c r="K2221" s="73" t="n">
        <v>915754</v>
      </c>
    </row>
    <row r="2222">
      <c r="A2222" t="n">
        <v>11299</v>
      </c>
      <c r="B2222" s="72" t="n">
        <v>45879.575</v>
      </c>
      <c r="C2222" t="inlineStr">
        <is>
          <t>Santander</t>
        </is>
      </c>
      <c r="D2222" t="inlineStr">
        <is>
          <t>Bucaramanga</t>
        </is>
      </c>
      <c r="E2222" t="inlineStr">
        <is>
          <t>Tecnología</t>
        </is>
      </c>
      <c r="F2222" t="inlineStr">
        <is>
          <t>App</t>
        </is>
      </c>
      <c r="G2222" t="inlineStr">
        <is>
          <t>1. Visita</t>
        </is>
      </c>
      <c r="H2222" t="n">
        <v>2</v>
      </c>
      <c r="I2222" s="73" t="n">
        <v>600400</v>
      </c>
      <c r="J2222" s="73" t="n">
        <v>1380920</v>
      </c>
      <c r="K2222" s="73" t="n">
        <v>902497</v>
      </c>
    </row>
    <row r="2223">
      <c r="A2223" t="n">
        <v>10191</v>
      </c>
      <c r="B2223" s="72" t="n">
        <v>45879.79236111111</v>
      </c>
      <c r="C2223" t="inlineStr">
        <is>
          <t>Bogotá D.C.</t>
        </is>
      </c>
      <c r="D2223" t="inlineStr">
        <is>
          <t>Bogotá</t>
        </is>
      </c>
      <c r="E2223" t="inlineStr">
        <is>
          <t>Deportes</t>
        </is>
      </c>
      <c r="F2223" t="inlineStr">
        <is>
          <t>Tienda física</t>
        </is>
      </c>
      <c r="G2223" t="inlineStr">
        <is>
          <t>3. Pago</t>
        </is>
      </c>
      <c r="H2223" t="n">
        <v>2</v>
      </c>
      <c r="I2223" s="73" t="n">
        <v>174900</v>
      </c>
      <c r="J2223" s="73" t="n">
        <v>402270</v>
      </c>
      <c r="K2223" s="73" t="n">
        <v>248800</v>
      </c>
    </row>
    <row r="2224">
      <c r="A2224" t="n">
        <v>11505</v>
      </c>
      <c r="B2224" s="72" t="n">
        <v>45881.39791666667</v>
      </c>
      <c r="C2224" t="inlineStr">
        <is>
          <t>Bogotá D.C.</t>
        </is>
      </c>
      <c r="D2224" t="inlineStr">
        <is>
          <t>Bogotá</t>
        </is>
      </c>
      <c r="E2224" t="inlineStr">
        <is>
          <t>Deportes</t>
        </is>
      </c>
      <c r="F2224" t="inlineStr">
        <is>
          <t>App</t>
        </is>
      </c>
      <c r="G2224" t="inlineStr">
        <is>
          <t>3. Pago</t>
        </is>
      </c>
      <c r="H2224" t="n">
        <v>4</v>
      </c>
      <c r="I2224" s="73" t="n">
        <v>162600</v>
      </c>
      <c r="J2224" s="73" t="n">
        <v>650400</v>
      </c>
      <c r="K2224" s="73" t="n">
        <v>407821</v>
      </c>
    </row>
    <row r="2225">
      <c r="A2225" t="n">
        <v>12224</v>
      </c>
      <c r="B2225" s="72" t="n">
        <v>45881.43125</v>
      </c>
      <c r="C2225" t="inlineStr">
        <is>
          <t>Antioquia</t>
        </is>
      </c>
      <c r="D2225" t="inlineStr">
        <is>
          <t>Medellín</t>
        </is>
      </c>
      <c r="E2225" t="inlineStr">
        <is>
          <t>Hogar</t>
        </is>
      </c>
      <c r="F2225" t="inlineStr">
        <is>
          <t>App</t>
        </is>
      </c>
      <c r="G2225" t="inlineStr">
        <is>
          <t>1. Visita</t>
        </is>
      </c>
      <c r="H2225" t="n">
        <v>4</v>
      </c>
      <c r="I2225" s="73" t="n">
        <v>232800</v>
      </c>
      <c r="J2225" s="73" t="n">
        <v>931200</v>
      </c>
      <c r="K2225" s="73" t="n">
        <v>532903</v>
      </c>
    </row>
    <row r="2226">
      <c r="A2226" t="n">
        <v>11389</v>
      </c>
      <c r="B2226" s="72" t="n">
        <v>45881.60625</v>
      </c>
      <c r="C2226" t="inlineStr">
        <is>
          <t>Valle del Cauca</t>
        </is>
      </c>
      <c r="D2226" t="inlineStr">
        <is>
          <t>Cali</t>
        </is>
      </c>
      <c r="E2226" t="inlineStr">
        <is>
          <t>Tecnología</t>
        </is>
      </c>
      <c r="F2226" t="inlineStr">
        <is>
          <t>Tienda física</t>
        </is>
      </c>
      <c r="G2226" t="inlineStr">
        <is>
          <t>3. Pago</t>
        </is>
      </c>
      <c r="H2226" t="n">
        <v>2</v>
      </c>
      <c r="I2226" s="73" t="n">
        <v>717400</v>
      </c>
      <c r="J2226" s="73" t="n">
        <v>1434800</v>
      </c>
      <c r="K2226" s="73" t="n">
        <v>879663</v>
      </c>
    </row>
    <row r="2227">
      <c r="A2227" t="n">
        <v>10885</v>
      </c>
      <c r="B2227" s="72" t="n">
        <v>45881.78819444445</v>
      </c>
      <c r="C2227" t="inlineStr">
        <is>
          <t>Bogotá D.C.</t>
        </is>
      </c>
      <c r="D2227" t="inlineStr">
        <is>
          <t>Bogotá</t>
        </is>
      </c>
      <c r="E2227" t="inlineStr">
        <is>
          <t>Deportes</t>
        </is>
      </c>
      <c r="F2227" t="inlineStr">
        <is>
          <t>Tienda física</t>
        </is>
      </c>
      <c r="G2227" t="inlineStr">
        <is>
          <t>1. Visita</t>
        </is>
      </c>
      <c r="H2227" t="n">
        <v>2</v>
      </c>
      <c r="I2227" s="73" t="n">
        <v>194300</v>
      </c>
      <c r="J2227" s="73" t="n">
        <v>388600</v>
      </c>
      <c r="K2227" s="73" t="n">
        <v>252797</v>
      </c>
    </row>
    <row r="2228">
      <c r="A2228" t="n">
        <v>10225</v>
      </c>
      <c r="B2228" s="72" t="n">
        <v>45882.47569444445</v>
      </c>
      <c r="C2228" t="inlineStr">
        <is>
          <t>Antioquia</t>
        </is>
      </c>
      <c r="D2228" t="inlineStr">
        <is>
          <t>Medellín</t>
        </is>
      </c>
      <c r="E2228" t="inlineStr">
        <is>
          <t>Deportes</t>
        </is>
      </c>
      <c r="F2228" t="inlineStr">
        <is>
          <t>Web</t>
        </is>
      </c>
      <c r="G2228" t="inlineStr">
        <is>
          <t>1. Visita</t>
        </is>
      </c>
      <c r="H2228" t="n">
        <v>2</v>
      </c>
      <c r="I2228" s="73" t="n">
        <v>190700</v>
      </c>
      <c r="J2228" s="73" t="n">
        <v>381400</v>
      </c>
      <c r="K2228" s="73" t="n">
        <v>238968</v>
      </c>
    </row>
    <row r="2229">
      <c r="A2229" t="n">
        <v>11692</v>
      </c>
      <c r="B2229" s="72" t="n">
        <v>45882.71388888889</v>
      </c>
      <c r="C2229" t="inlineStr">
        <is>
          <t>Bogotá D.C.</t>
        </is>
      </c>
      <c r="D2229" t="inlineStr">
        <is>
          <t>Bogotá</t>
        </is>
      </c>
      <c r="E2229" t="inlineStr">
        <is>
          <t>Belleza</t>
        </is>
      </c>
      <c r="F2229" t="inlineStr">
        <is>
          <t>App</t>
        </is>
      </c>
      <c r="G2229" t="inlineStr">
        <is>
          <t>4. Compra</t>
        </is>
      </c>
      <c r="H2229" t="n">
        <v>4</v>
      </c>
      <c r="I2229" s="73" t="n">
        <v>54700</v>
      </c>
      <c r="J2229" s="73" t="n">
        <v>218800</v>
      </c>
      <c r="K2229" s="73" t="n">
        <v>140762</v>
      </c>
    </row>
    <row r="2230">
      <c r="A2230" t="n">
        <v>11398</v>
      </c>
      <c r="B2230" s="72" t="n">
        <v>45882.71736111111</v>
      </c>
      <c r="C2230" t="inlineStr">
        <is>
          <t>Antioquia</t>
        </is>
      </c>
      <c r="D2230" t="inlineStr">
        <is>
          <t>Medellín</t>
        </is>
      </c>
      <c r="E2230" t="inlineStr">
        <is>
          <t>Moda</t>
        </is>
      </c>
      <c r="F2230" t="inlineStr">
        <is>
          <t>App</t>
        </is>
      </c>
      <c r="G2230" t="inlineStr">
        <is>
          <t>1. Visita</t>
        </is>
      </c>
      <c r="H2230" t="n">
        <v>3</v>
      </c>
      <c r="I2230" s="73" t="n">
        <v>119500</v>
      </c>
      <c r="J2230" s="73" t="n">
        <v>358500</v>
      </c>
      <c r="K2230" s="73" t="n">
        <v>204683</v>
      </c>
    </row>
    <row r="2231">
      <c r="A2231" t="n">
        <v>10624</v>
      </c>
      <c r="B2231" s="72" t="n">
        <v>45882.82013888889</v>
      </c>
      <c r="C2231" t="inlineStr">
        <is>
          <t>Atlántico</t>
        </is>
      </c>
      <c r="D2231" t="inlineStr">
        <is>
          <t>Barranquilla</t>
        </is>
      </c>
      <c r="E2231" t="inlineStr">
        <is>
          <t>Moda</t>
        </is>
      </c>
      <c r="F2231" t="inlineStr">
        <is>
          <t>App</t>
        </is>
      </c>
      <c r="G2231" t="inlineStr">
        <is>
          <t>4. Compra</t>
        </is>
      </c>
      <c r="H2231" t="n">
        <v>3</v>
      </c>
      <c r="I2231" s="73" t="n">
        <v>95100</v>
      </c>
      <c r="J2231" s="73" t="n">
        <v>285300</v>
      </c>
      <c r="K2231" s="73" t="n">
        <v>211272</v>
      </c>
    </row>
    <row r="2232">
      <c r="A2232" t="n">
        <v>11556</v>
      </c>
      <c r="B2232" s="72" t="n">
        <v>45883.39791666667</v>
      </c>
      <c r="C2232" t="inlineStr">
        <is>
          <t>Risaralda</t>
        </is>
      </c>
      <c r="D2232" t="inlineStr">
        <is>
          <t>Pereira</t>
        </is>
      </c>
      <c r="E2232" t="inlineStr">
        <is>
          <t>Tecnología</t>
        </is>
      </c>
      <c r="F2232" t="inlineStr">
        <is>
          <t>Tienda física</t>
        </is>
      </c>
      <c r="G2232" t="inlineStr">
        <is>
          <t>2. Carrito</t>
        </is>
      </c>
      <c r="H2232" t="n">
        <v>1</v>
      </c>
      <c r="I2232" s="73" t="n">
        <v>922500</v>
      </c>
      <c r="J2232" s="73" t="n">
        <v>922500</v>
      </c>
      <c r="K2232" s="73" t="n">
        <v>608005</v>
      </c>
    </row>
    <row r="2233">
      <c r="A2233" t="n">
        <v>11838</v>
      </c>
      <c r="B2233" s="72" t="n">
        <v>45883.49722222222</v>
      </c>
      <c r="C2233" t="inlineStr">
        <is>
          <t>Bogotá D.C.</t>
        </is>
      </c>
      <c r="D2233" t="inlineStr">
        <is>
          <t>Bogotá</t>
        </is>
      </c>
      <c r="E2233" t="inlineStr">
        <is>
          <t>Deportes</t>
        </is>
      </c>
      <c r="F2233" t="inlineStr">
        <is>
          <t>App</t>
        </is>
      </c>
      <c r="G2233" t="inlineStr">
        <is>
          <t>1. Visita</t>
        </is>
      </c>
      <c r="H2233" t="n">
        <v>1</v>
      </c>
      <c r="I2233" s="73" t="n">
        <v>158200</v>
      </c>
      <c r="J2233" s="73" t="n">
        <v>158200</v>
      </c>
      <c r="K2233" s="73" t="n">
        <v>109969</v>
      </c>
    </row>
    <row r="2234">
      <c r="A2234" t="n">
        <v>10258</v>
      </c>
      <c r="B2234" s="72" t="n">
        <v>45883.68541666667</v>
      </c>
      <c r="C2234" t="inlineStr">
        <is>
          <t>Atlántico</t>
        </is>
      </c>
      <c r="D2234" t="inlineStr">
        <is>
          <t>Barranquilla</t>
        </is>
      </c>
      <c r="E2234" t="inlineStr">
        <is>
          <t>Juguetes</t>
        </is>
      </c>
      <c r="F2234" t="inlineStr">
        <is>
          <t>Web</t>
        </is>
      </c>
      <c r="G2234" t="inlineStr">
        <is>
          <t>1. Visita</t>
        </is>
      </c>
      <c r="H2234" t="n">
        <v>3</v>
      </c>
      <c r="I2234" s="73" t="n">
        <v>79300</v>
      </c>
      <c r="J2234" s="73" t="n">
        <v>237900</v>
      </c>
      <c r="K2234" s="73" t="n">
        <v>153153</v>
      </c>
    </row>
    <row r="2235">
      <c r="A2235" t="n">
        <v>11824</v>
      </c>
      <c r="B2235" s="72" t="n">
        <v>45883.74097222222</v>
      </c>
      <c r="C2235" t="inlineStr">
        <is>
          <t>Santander</t>
        </is>
      </c>
      <c r="D2235" t="inlineStr">
        <is>
          <t>Bucaramanga</t>
        </is>
      </c>
      <c r="E2235" t="inlineStr">
        <is>
          <t>Deportes</t>
        </is>
      </c>
      <c r="F2235" t="inlineStr">
        <is>
          <t>Web</t>
        </is>
      </c>
      <c r="G2235" t="inlineStr">
        <is>
          <t>2. Carrito</t>
        </is>
      </c>
      <c r="H2235" t="n">
        <v>3</v>
      </c>
      <c r="I2235" s="73" t="n">
        <v>204300</v>
      </c>
      <c r="J2235" s="73" t="n">
        <v>612900</v>
      </c>
      <c r="K2235" s="73" t="n">
        <v>408105</v>
      </c>
    </row>
    <row r="2236">
      <c r="A2236" t="n">
        <v>10638</v>
      </c>
      <c r="B2236" s="72" t="n">
        <v>45883.81319444445</v>
      </c>
      <c r="C2236" t="inlineStr">
        <is>
          <t>Antioquia</t>
        </is>
      </c>
      <c r="D2236" t="inlineStr">
        <is>
          <t>Medellín</t>
        </is>
      </c>
      <c r="E2236" t="inlineStr">
        <is>
          <t>Deportes</t>
        </is>
      </c>
      <c r="F2236" t="inlineStr">
        <is>
          <t>Web</t>
        </is>
      </c>
      <c r="G2236" t="inlineStr">
        <is>
          <t>2. Carrito</t>
        </is>
      </c>
      <c r="H2236" t="n">
        <v>3</v>
      </c>
      <c r="I2236" s="73" t="n">
        <v>165200</v>
      </c>
      <c r="J2236" s="73" t="n">
        <v>495600</v>
      </c>
      <c r="K2236" s="73" t="n">
        <v>280829</v>
      </c>
    </row>
    <row r="2237">
      <c r="A2237" t="n">
        <v>10527</v>
      </c>
      <c r="B2237" s="72" t="n">
        <v>45883.825</v>
      </c>
      <c r="C2237" t="inlineStr">
        <is>
          <t>Valle del Cauca</t>
        </is>
      </c>
      <c r="D2237" t="inlineStr">
        <is>
          <t>Cali</t>
        </is>
      </c>
      <c r="E2237" t="inlineStr">
        <is>
          <t>Tecnología</t>
        </is>
      </c>
      <c r="F2237" t="inlineStr">
        <is>
          <t>Marketplace</t>
        </is>
      </c>
      <c r="G2237" t="inlineStr">
        <is>
          <t>3. Pago</t>
        </is>
      </c>
      <c r="H2237" t="n">
        <v>2</v>
      </c>
      <c r="I2237" s="73" t="n">
        <v>723100</v>
      </c>
      <c r="J2237" s="73" t="n">
        <v>1446200</v>
      </c>
      <c r="K2237" s="73" t="n">
        <v>868407</v>
      </c>
    </row>
    <row r="2238">
      <c r="A2238" t="n">
        <v>11266</v>
      </c>
      <c r="B2238" s="72" t="n">
        <v>45884.36805555555</v>
      </c>
      <c r="C2238" t="inlineStr">
        <is>
          <t>Atlántico</t>
        </is>
      </c>
      <c r="D2238" t="inlineStr">
        <is>
          <t>Barranquilla</t>
        </is>
      </c>
      <c r="E2238" t="inlineStr">
        <is>
          <t>Moda</t>
        </is>
      </c>
      <c r="F2238" t="inlineStr">
        <is>
          <t>Web</t>
        </is>
      </c>
      <c r="G2238" t="inlineStr">
        <is>
          <t>1. Visita</t>
        </is>
      </c>
      <c r="H2238" t="n">
        <v>1</v>
      </c>
      <c r="I2238" s="73" t="n">
        <v>86500</v>
      </c>
      <c r="J2238" s="73" t="n">
        <v>99475</v>
      </c>
      <c r="K2238" s="73" t="n">
        <v>70571</v>
      </c>
    </row>
    <row r="2239">
      <c r="A2239" t="n">
        <v>11032</v>
      </c>
      <c r="B2239" s="72" t="n">
        <v>45884.55763888889</v>
      </c>
      <c r="C2239" t="inlineStr">
        <is>
          <t>Bogotá D.C.</t>
        </is>
      </c>
      <c r="D2239" t="inlineStr">
        <is>
          <t>Bogotá</t>
        </is>
      </c>
      <c r="E2239" t="inlineStr">
        <is>
          <t>Hogar</t>
        </is>
      </c>
      <c r="F2239" t="inlineStr">
        <is>
          <t>App</t>
        </is>
      </c>
      <c r="G2239" t="inlineStr">
        <is>
          <t>1. Visita</t>
        </is>
      </c>
      <c r="H2239" t="n">
        <v>4</v>
      </c>
      <c r="I2239" s="73" t="n">
        <v>259700</v>
      </c>
      <c r="J2239" s="73" t="n">
        <v>1194620</v>
      </c>
      <c r="K2239" s="73" t="n">
        <v>832927</v>
      </c>
    </row>
    <row r="2240">
      <c r="A2240" t="n">
        <v>11178</v>
      </c>
      <c r="B2240" s="72" t="n">
        <v>45884.85555555556</v>
      </c>
      <c r="C2240" t="inlineStr">
        <is>
          <t>Antioquia</t>
        </is>
      </c>
      <c r="D2240" t="inlineStr">
        <is>
          <t>Medellín</t>
        </is>
      </c>
      <c r="E2240" t="inlineStr">
        <is>
          <t>Tecnología</t>
        </is>
      </c>
      <c r="F2240" t="inlineStr">
        <is>
          <t>Web</t>
        </is>
      </c>
      <c r="G2240" t="inlineStr">
        <is>
          <t>2. Carrito</t>
        </is>
      </c>
      <c r="H2240" t="n">
        <v>5</v>
      </c>
      <c r="I2240" s="73" t="n">
        <v>902100</v>
      </c>
      <c r="J2240" s="73" t="n">
        <v>5187075</v>
      </c>
      <c r="K2240" s="73" t="n">
        <v>3844070</v>
      </c>
    </row>
    <row r="2241">
      <c r="A2241" t="n">
        <v>12277</v>
      </c>
      <c r="B2241" s="72" t="n">
        <v>45885.42291666667</v>
      </c>
      <c r="C2241" t="inlineStr">
        <is>
          <t>Nariño</t>
        </is>
      </c>
      <c r="D2241" t="inlineStr">
        <is>
          <t>Pasto</t>
        </is>
      </c>
      <c r="E2241" t="inlineStr">
        <is>
          <t>Juguetes</t>
        </is>
      </c>
      <c r="F2241" t="inlineStr">
        <is>
          <t>Marketplace</t>
        </is>
      </c>
      <c r="G2241" t="inlineStr">
        <is>
          <t>1. Visita</t>
        </is>
      </c>
      <c r="H2241" t="n">
        <v>2</v>
      </c>
      <c r="I2241" s="73" t="n">
        <v>76200</v>
      </c>
      <c r="J2241" s="73" t="n">
        <v>175260</v>
      </c>
      <c r="K2241" s="73" t="n">
        <v>107019</v>
      </c>
    </row>
    <row r="2242">
      <c r="A2242" t="n">
        <v>10405</v>
      </c>
      <c r="B2242" s="72" t="n">
        <v>45885.65347222222</v>
      </c>
      <c r="C2242" t="inlineStr">
        <is>
          <t>Bogotá D.C.</t>
        </is>
      </c>
      <c r="D2242" t="inlineStr">
        <is>
          <t>Bogotá</t>
        </is>
      </c>
      <c r="E2242" t="inlineStr">
        <is>
          <t>Moda</t>
        </is>
      </c>
      <c r="F2242" t="inlineStr">
        <is>
          <t>Tienda física</t>
        </is>
      </c>
      <c r="G2242" t="inlineStr">
        <is>
          <t>3. Pago</t>
        </is>
      </c>
      <c r="H2242" t="n">
        <v>5</v>
      </c>
      <c r="I2242" s="73" t="n">
        <v>85000</v>
      </c>
      <c r="J2242" s="73" t="n">
        <v>488750</v>
      </c>
      <c r="K2242" s="73" t="n">
        <v>278042</v>
      </c>
    </row>
    <row r="2243">
      <c r="A2243" t="n">
        <v>12176</v>
      </c>
      <c r="B2243" s="72" t="n">
        <v>45886.73402777778</v>
      </c>
      <c r="C2243" t="inlineStr">
        <is>
          <t>Bogotá D.C.</t>
        </is>
      </c>
      <c r="D2243" t="inlineStr">
        <is>
          <t>Bogotá</t>
        </is>
      </c>
      <c r="E2243" t="inlineStr">
        <is>
          <t>Tecnología</t>
        </is>
      </c>
      <c r="F2243" t="inlineStr">
        <is>
          <t>Web</t>
        </is>
      </c>
      <c r="G2243" t="inlineStr">
        <is>
          <t>3. Pago</t>
        </is>
      </c>
      <c r="H2243" t="n">
        <v>2</v>
      </c>
      <c r="I2243" s="73" t="n">
        <v>924400</v>
      </c>
      <c r="J2243" s="73" t="n">
        <v>2126120</v>
      </c>
      <c r="K2243" s="73" t="n">
        <v>1564732</v>
      </c>
    </row>
    <row r="2244">
      <c r="A2244" t="n">
        <v>10882</v>
      </c>
      <c r="B2244" s="72" t="n">
        <v>45886.87361111111</v>
      </c>
      <c r="C2244" t="inlineStr">
        <is>
          <t>Santander</t>
        </is>
      </c>
      <c r="D2244" t="inlineStr">
        <is>
          <t>Bucaramanga</t>
        </is>
      </c>
      <c r="E2244" t="inlineStr">
        <is>
          <t>Hogar</t>
        </is>
      </c>
      <c r="F2244" t="inlineStr">
        <is>
          <t>Web</t>
        </is>
      </c>
      <c r="G2244" t="inlineStr">
        <is>
          <t>4. Compra</t>
        </is>
      </c>
      <c r="H2244" t="n">
        <v>2</v>
      </c>
      <c r="I2244" s="73" t="n">
        <v>226200</v>
      </c>
      <c r="J2244" s="73" t="n">
        <v>520260</v>
      </c>
      <c r="K2244" s="73" t="n">
        <v>360431</v>
      </c>
    </row>
    <row r="2245">
      <c r="A2245" t="n">
        <v>11847</v>
      </c>
      <c r="B2245" s="72" t="n">
        <v>45887.83125</v>
      </c>
      <c r="C2245" t="inlineStr">
        <is>
          <t>Bogotá D.C.</t>
        </is>
      </c>
      <c r="D2245" t="inlineStr">
        <is>
          <t>Bogotá</t>
        </is>
      </c>
      <c r="E2245" t="inlineStr">
        <is>
          <t>Hogar</t>
        </is>
      </c>
      <c r="F2245" t="inlineStr">
        <is>
          <t>Tienda física</t>
        </is>
      </c>
      <c r="G2245" t="inlineStr">
        <is>
          <t>1. Visita</t>
        </is>
      </c>
      <c r="H2245" t="n">
        <v>2</v>
      </c>
      <c r="I2245" s="73" t="n">
        <v>186500</v>
      </c>
      <c r="J2245" s="73" t="n">
        <v>373000</v>
      </c>
      <c r="K2245" s="73" t="n">
        <v>273008</v>
      </c>
    </row>
    <row r="2246">
      <c r="A2246" t="n">
        <v>11583</v>
      </c>
      <c r="B2246" s="72" t="n">
        <v>45887.92222222222</v>
      </c>
      <c r="C2246" t="inlineStr">
        <is>
          <t>Risaralda</t>
        </is>
      </c>
      <c r="D2246" t="inlineStr">
        <is>
          <t>Pereira</t>
        </is>
      </c>
      <c r="E2246" t="inlineStr">
        <is>
          <t>Moda</t>
        </is>
      </c>
      <c r="F2246" t="inlineStr">
        <is>
          <t>Marketplace</t>
        </is>
      </c>
      <c r="G2246" t="inlineStr">
        <is>
          <t>2. Carrito</t>
        </is>
      </c>
      <c r="H2246" t="n">
        <v>2</v>
      </c>
      <c r="I2246" s="73" t="n">
        <v>91200</v>
      </c>
      <c r="J2246" s="73" t="n">
        <v>182400</v>
      </c>
      <c r="K2246" s="73" t="n">
        <v>130346</v>
      </c>
    </row>
    <row r="2247">
      <c r="A2247" t="n">
        <v>10776</v>
      </c>
      <c r="B2247" s="72" t="n">
        <v>45888.47569444445</v>
      </c>
      <c r="C2247" t="inlineStr">
        <is>
          <t>Bogotá D.C.</t>
        </is>
      </c>
      <c r="D2247" t="inlineStr">
        <is>
          <t>Bogotá</t>
        </is>
      </c>
      <c r="E2247" t="inlineStr">
        <is>
          <t>Deportes</t>
        </is>
      </c>
      <c r="F2247" t="inlineStr">
        <is>
          <t>App</t>
        </is>
      </c>
      <c r="G2247" t="inlineStr">
        <is>
          <t>2. Carrito</t>
        </is>
      </c>
      <c r="H2247" t="n">
        <v>2</v>
      </c>
      <c r="I2247" s="73" t="n">
        <v>157100</v>
      </c>
      <c r="J2247" s="73" t="n">
        <v>314200</v>
      </c>
      <c r="K2247" s="73" t="n">
        <v>176298</v>
      </c>
    </row>
    <row r="2248">
      <c r="A2248" t="n">
        <v>11870</v>
      </c>
      <c r="B2248" s="72" t="n">
        <v>45888.71875</v>
      </c>
      <c r="C2248" t="inlineStr">
        <is>
          <t>Bogotá D.C.</t>
        </is>
      </c>
      <c r="D2248" t="inlineStr">
        <is>
          <t>Bogotá</t>
        </is>
      </c>
      <c r="E2248" t="inlineStr">
        <is>
          <t>Hogar</t>
        </is>
      </c>
      <c r="F2248" t="inlineStr">
        <is>
          <t>Web</t>
        </is>
      </c>
      <c r="G2248" t="inlineStr">
        <is>
          <t>2. Carrito</t>
        </is>
      </c>
      <c r="H2248" t="n">
        <v>2</v>
      </c>
      <c r="I2248" s="73" t="n">
        <v>272100</v>
      </c>
      <c r="J2248" s="73" t="n">
        <v>544200</v>
      </c>
      <c r="K2248" s="73" t="n">
        <v>391600</v>
      </c>
    </row>
    <row r="2249">
      <c r="A2249" t="n">
        <v>10804</v>
      </c>
      <c r="B2249" s="72" t="n">
        <v>45888.87708333333</v>
      </c>
      <c r="C2249" t="inlineStr">
        <is>
          <t>Antioquia</t>
        </is>
      </c>
      <c r="D2249" t="inlineStr">
        <is>
          <t>Medellín</t>
        </is>
      </c>
      <c r="E2249" t="inlineStr">
        <is>
          <t>Juguetes</t>
        </is>
      </c>
      <c r="F2249" t="inlineStr">
        <is>
          <t>App</t>
        </is>
      </c>
      <c r="G2249" t="inlineStr">
        <is>
          <t>2. Carrito</t>
        </is>
      </c>
      <c r="H2249" t="n">
        <v>5</v>
      </c>
      <c r="I2249" s="73" t="n">
        <v>85400</v>
      </c>
      <c r="J2249" s="73" t="n">
        <v>427000</v>
      </c>
      <c r="K2249" s="73" t="n">
        <v>274276</v>
      </c>
    </row>
    <row r="2250">
      <c r="A2250" t="n">
        <v>10200</v>
      </c>
      <c r="B2250" s="72" t="n">
        <v>45889.5375</v>
      </c>
      <c r="C2250" t="inlineStr">
        <is>
          <t>Bogotá D.C.</t>
        </is>
      </c>
      <c r="D2250" t="inlineStr">
        <is>
          <t>Bogotá</t>
        </is>
      </c>
      <c r="E2250" t="inlineStr">
        <is>
          <t>Deportes</t>
        </is>
      </c>
      <c r="F2250" t="inlineStr">
        <is>
          <t>Marketplace</t>
        </is>
      </c>
      <c r="G2250" t="inlineStr">
        <is>
          <t>2. Carrito</t>
        </is>
      </c>
      <c r="H2250" t="n">
        <v>5</v>
      </c>
      <c r="I2250" s="73" t="n">
        <v>122500</v>
      </c>
      <c r="J2250" s="73" t="n">
        <v>612500</v>
      </c>
      <c r="K2250" s="73" t="n">
        <v>413869</v>
      </c>
    </row>
    <row r="2251">
      <c r="A2251" t="n">
        <v>12036</v>
      </c>
      <c r="B2251" s="72" t="n">
        <v>45890.41319444445</v>
      </c>
      <c r="C2251" t="inlineStr">
        <is>
          <t>Risaralda</t>
        </is>
      </c>
      <c r="D2251" t="inlineStr">
        <is>
          <t>Pereira</t>
        </is>
      </c>
      <c r="E2251" t="inlineStr">
        <is>
          <t>Tecnología</t>
        </is>
      </c>
      <c r="F2251" t="inlineStr">
        <is>
          <t>Web</t>
        </is>
      </c>
      <c r="G2251" t="inlineStr">
        <is>
          <t>4. Compra</t>
        </is>
      </c>
      <c r="H2251" t="n">
        <v>5</v>
      </c>
      <c r="I2251" s="73" t="n">
        <v>863300</v>
      </c>
      <c r="J2251" s="73" t="n">
        <v>4316500</v>
      </c>
      <c r="K2251" s="73" t="n">
        <v>3023268</v>
      </c>
    </row>
    <row r="2252">
      <c r="A2252" t="n">
        <v>11554</v>
      </c>
      <c r="B2252" s="72" t="n">
        <v>45890.51180555556</v>
      </c>
      <c r="C2252" t="inlineStr">
        <is>
          <t>Antioquia</t>
        </is>
      </c>
      <c r="D2252" t="inlineStr">
        <is>
          <t>Medellín</t>
        </is>
      </c>
      <c r="E2252" t="inlineStr">
        <is>
          <t>Deportes</t>
        </is>
      </c>
      <c r="F2252" t="inlineStr">
        <is>
          <t>Tienda física</t>
        </is>
      </c>
      <c r="G2252" t="inlineStr">
        <is>
          <t>3. Pago</t>
        </is>
      </c>
      <c r="H2252" t="n">
        <v>3</v>
      </c>
      <c r="I2252" s="73" t="n">
        <v>170100</v>
      </c>
      <c r="J2252" s="73" t="n">
        <v>510300</v>
      </c>
      <c r="K2252" s="73" t="n">
        <v>362389</v>
      </c>
    </row>
    <row r="2253">
      <c r="A2253" t="n">
        <v>10754</v>
      </c>
      <c r="B2253" s="72" t="n">
        <v>45890.65555555555</v>
      </c>
      <c r="C2253" t="inlineStr">
        <is>
          <t>Bogotá D.C.</t>
        </is>
      </c>
      <c r="D2253" t="inlineStr">
        <is>
          <t>Bogotá</t>
        </is>
      </c>
      <c r="E2253" t="inlineStr">
        <is>
          <t>Moda</t>
        </is>
      </c>
      <c r="F2253" t="inlineStr">
        <is>
          <t>Tienda física</t>
        </is>
      </c>
      <c r="G2253" t="inlineStr">
        <is>
          <t>1. Visita</t>
        </is>
      </c>
      <c r="H2253" t="n">
        <v>4</v>
      </c>
      <c r="I2253" s="73" t="n">
        <v>120600</v>
      </c>
      <c r="J2253" s="73" t="n">
        <v>482400</v>
      </c>
      <c r="K2253" s="73" t="n">
        <v>352586</v>
      </c>
    </row>
    <row r="2254">
      <c r="A2254" t="n">
        <v>10484</v>
      </c>
      <c r="B2254" s="72" t="n">
        <v>45890.75138888889</v>
      </c>
      <c r="C2254" t="inlineStr">
        <is>
          <t>Bolívar</t>
        </is>
      </c>
      <c r="D2254" t="inlineStr">
        <is>
          <t>Cartagena</t>
        </is>
      </c>
      <c r="E2254" t="inlineStr">
        <is>
          <t>Hogar</t>
        </is>
      </c>
      <c r="F2254" t="inlineStr">
        <is>
          <t>Web</t>
        </is>
      </c>
      <c r="G2254" t="inlineStr">
        <is>
          <t>1. Visita</t>
        </is>
      </c>
      <c r="H2254" t="n">
        <v>2</v>
      </c>
      <c r="I2254" s="73" t="n">
        <v>194800</v>
      </c>
      <c r="J2254" s="73" t="n">
        <v>389600</v>
      </c>
      <c r="K2254" s="73" t="n">
        <v>285901</v>
      </c>
    </row>
    <row r="2255">
      <c r="A2255" t="n">
        <v>10368</v>
      </c>
      <c r="B2255" s="72" t="n">
        <v>45891.34652777778</v>
      </c>
      <c r="C2255" t="inlineStr">
        <is>
          <t>Bolívar</t>
        </is>
      </c>
      <c r="D2255" t="inlineStr">
        <is>
          <t>Cartagena</t>
        </is>
      </c>
      <c r="E2255" t="inlineStr">
        <is>
          <t>Deportes</t>
        </is>
      </c>
      <c r="F2255" t="inlineStr">
        <is>
          <t>App</t>
        </is>
      </c>
      <c r="G2255" t="inlineStr">
        <is>
          <t>3. Pago</t>
        </is>
      </c>
      <c r="H2255" t="n">
        <v>5</v>
      </c>
      <c r="I2255" s="73" t="n">
        <v>125100</v>
      </c>
      <c r="J2255" s="73" t="n">
        <v>719325</v>
      </c>
      <c r="K2255" s="73" t="n">
        <v>520665</v>
      </c>
    </row>
    <row r="2256">
      <c r="A2256" t="n">
        <v>10279</v>
      </c>
      <c r="B2256" s="72" t="n">
        <v>45891.60833333333</v>
      </c>
      <c r="C2256" t="inlineStr">
        <is>
          <t>Santander</t>
        </is>
      </c>
      <c r="D2256" t="inlineStr">
        <is>
          <t>Bucaramanga</t>
        </is>
      </c>
      <c r="E2256" t="inlineStr">
        <is>
          <t>Deportes</t>
        </is>
      </c>
      <c r="F2256" t="inlineStr">
        <is>
          <t>App</t>
        </is>
      </c>
      <c r="G2256" t="inlineStr">
        <is>
          <t>4. Compra</t>
        </is>
      </c>
      <c r="H2256" t="n">
        <v>5</v>
      </c>
      <c r="I2256" s="73" t="n">
        <v>204500</v>
      </c>
      <c r="J2256" s="73" t="n">
        <v>1175875</v>
      </c>
      <c r="K2256" s="73" t="n">
        <v>867410</v>
      </c>
    </row>
    <row r="2257">
      <c r="A2257" t="n">
        <v>11593</v>
      </c>
      <c r="B2257" s="72" t="n">
        <v>45891.69236111111</v>
      </c>
      <c r="C2257" t="inlineStr">
        <is>
          <t>Antioquia</t>
        </is>
      </c>
      <c r="D2257" t="inlineStr">
        <is>
          <t>Medellín</t>
        </is>
      </c>
      <c r="E2257" t="inlineStr">
        <is>
          <t>Belleza</t>
        </is>
      </c>
      <c r="F2257" t="inlineStr">
        <is>
          <t>Marketplace</t>
        </is>
      </c>
      <c r="G2257" t="inlineStr">
        <is>
          <t>3. Pago</t>
        </is>
      </c>
      <c r="H2257" t="n">
        <v>5</v>
      </c>
      <c r="I2257" s="73" t="n">
        <v>53200</v>
      </c>
      <c r="J2257" s="73" t="n">
        <v>305900</v>
      </c>
      <c r="K2257" s="73" t="n">
        <v>210806</v>
      </c>
    </row>
    <row r="2258">
      <c r="A2258" t="n">
        <v>11683</v>
      </c>
      <c r="B2258" s="72" t="n">
        <v>45891.77638888889</v>
      </c>
      <c r="C2258" t="inlineStr">
        <is>
          <t>Antioquia</t>
        </is>
      </c>
      <c r="D2258" t="inlineStr">
        <is>
          <t>Medellín</t>
        </is>
      </c>
      <c r="E2258" t="inlineStr">
        <is>
          <t>Moda</t>
        </is>
      </c>
      <c r="F2258" t="inlineStr">
        <is>
          <t>App</t>
        </is>
      </c>
      <c r="G2258" t="inlineStr">
        <is>
          <t>1. Visita</t>
        </is>
      </c>
      <c r="H2258" t="n">
        <v>4</v>
      </c>
      <c r="I2258" s="73" t="n">
        <v>124500</v>
      </c>
      <c r="J2258" s="73" t="n">
        <v>572700</v>
      </c>
      <c r="K2258" s="73" t="n">
        <v>381538</v>
      </c>
    </row>
    <row r="2259">
      <c r="A2259" t="n">
        <v>11731</v>
      </c>
      <c r="B2259" s="72" t="n">
        <v>45891.80208333334</v>
      </c>
      <c r="C2259" t="inlineStr">
        <is>
          <t>Nariño</t>
        </is>
      </c>
      <c r="D2259" t="inlineStr">
        <is>
          <t>Pasto</t>
        </is>
      </c>
      <c r="E2259" t="inlineStr">
        <is>
          <t>Moda</t>
        </is>
      </c>
      <c r="F2259" t="inlineStr">
        <is>
          <t>Web</t>
        </is>
      </c>
      <c r="G2259" t="inlineStr">
        <is>
          <t>2. Carrito</t>
        </is>
      </c>
      <c r="H2259" t="n">
        <v>3</v>
      </c>
      <c r="I2259" s="73" t="n">
        <v>155300</v>
      </c>
      <c r="J2259" s="73" t="n">
        <v>535785</v>
      </c>
      <c r="K2259" s="73" t="n">
        <v>370070</v>
      </c>
    </row>
    <row r="2260">
      <c r="A2260" t="n">
        <v>11051</v>
      </c>
      <c r="B2260" s="72" t="n">
        <v>45892.39027777778</v>
      </c>
      <c r="C2260" t="inlineStr">
        <is>
          <t>Antioquia</t>
        </is>
      </c>
      <c r="D2260" t="inlineStr">
        <is>
          <t>Medellín</t>
        </is>
      </c>
      <c r="E2260" t="inlineStr">
        <is>
          <t>Belleza</t>
        </is>
      </c>
      <c r="F2260" t="inlineStr">
        <is>
          <t>Web</t>
        </is>
      </c>
      <c r="G2260" t="inlineStr">
        <is>
          <t>1. Visita</t>
        </is>
      </c>
      <c r="H2260" t="n">
        <v>4</v>
      </c>
      <c r="I2260" s="73" t="n">
        <v>78500</v>
      </c>
      <c r="J2260" s="73" t="n">
        <v>361100</v>
      </c>
      <c r="K2260" s="73" t="n">
        <v>250369</v>
      </c>
    </row>
    <row r="2261">
      <c r="A2261" t="n">
        <v>10028</v>
      </c>
      <c r="B2261" s="72" t="n">
        <v>45892.62777777778</v>
      </c>
      <c r="C2261" t="inlineStr">
        <is>
          <t>Huila</t>
        </is>
      </c>
      <c r="D2261" t="inlineStr">
        <is>
          <t>Neiva</t>
        </is>
      </c>
      <c r="E2261" t="inlineStr">
        <is>
          <t>Moda</t>
        </is>
      </c>
      <c r="F2261" t="inlineStr">
        <is>
          <t>App</t>
        </is>
      </c>
      <c r="G2261" t="inlineStr">
        <is>
          <t>1. Visita</t>
        </is>
      </c>
      <c r="H2261" t="n">
        <v>1</v>
      </c>
      <c r="I2261" s="73" t="n">
        <v>155300</v>
      </c>
      <c r="J2261" s="73" t="n">
        <v>178595</v>
      </c>
      <c r="K2261" s="73" t="n">
        <v>113177</v>
      </c>
    </row>
    <row r="2262">
      <c r="A2262" t="n">
        <v>12061</v>
      </c>
      <c r="B2262" s="72" t="n">
        <v>45892.65833333333</v>
      </c>
      <c r="C2262" t="inlineStr">
        <is>
          <t>Santander</t>
        </is>
      </c>
      <c r="D2262" t="inlineStr">
        <is>
          <t>Bucaramanga</t>
        </is>
      </c>
      <c r="E2262" t="inlineStr">
        <is>
          <t>Juguetes</t>
        </is>
      </c>
      <c r="F2262" t="inlineStr">
        <is>
          <t>Web</t>
        </is>
      </c>
      <c r="G2262" t="inlineStr">
        <is>
          <t>1. Visita</t>
        </is>
      </c>
      <c r="H2262" t="n">
        <v>3</v>
      </c>
      <c r="I2262" s="73" t="n">
        <v>67200</v>
      </c>
      <c r="J2262" s="73" t="n">
        <v>231840</v>
      </c>
      <c r="K2262" s="73" t="n">
        <v>141166</v>
      </c>
    </row>
    <row r="2263">
      <c r="A2263" t="n">
        <v>10186</v>
      </c>
      <c r="B2263" s="72" t="n">
        <v>45892.78402777778</v>
      </c>
      <c r="C2263" t="inlineStr">
        <is>
          <t>Santander</t>
        </is>
      </c>
      <c r="D2263" t="inlineStr">
        <is>
          <t>Bucaramanga</t>
        </is>
      </c>
      <c r="E2263" t="inlineStr">
        <is>
          <t>Tecnología</t>
        </is>
      </c>
      <c r="F2263" t="inlineStr">
        <is>
          <t>App</t>
        </is>
      </c>
      <c r="G2263" t="inlineStr">
        <is>
          <t>3. Pago</t>
        </is>
      </c>
      <c r="H2263" t="n">
        <v>1</v>
      </c>
      <c r="I2263" s="73" t="n">
        <v>700100</v>
      </c>
      <c r="J2263" s="73" t="n">
        <v>805115</v>
      </c>
      <c r="K2263" s="73" t="n">
        <v>549274</v>
      </c>
    </row>
    <row r="2264">
      <c r="A2264" t="n">
        <v>10278</v>
      </c>
      <c r="B2264" s="72" t="n">
        <v>45892.79722222222</v>
      </c>
      <c r="C2264" t="inlineStr">
        <is>
          <t>Bogotá D.C.</t>
        </is>
      </c>
      <c r="D2264" t="inlineStr">
        <is>
          <t>Bogotá</t>
        </is>
      </c>
      <c r="E2264" t="inlineStr">
        <is>
          <t>Tecnología</t>
        </is>
      </c>
      <c r="F2264" t="inlineStr">
        <is>
          <t>Web</t>
        </is>
      </c>
      <c r="G2264" t="inlineStr">
        <is>
          <t>1. Visita</t>
        </is>
      </c>
      <c r="H2264" t="n">
        <v>2</v>
      </c>
      <c r="I2264" s="73" t="n">
        <v>893400</v>
      </c>
      <c r="J2264" s="73" t="n">
        <v>2054820</v>
      </c>
      <c r="K2264" s="73" t="n">
        <v>1363459</v>
      </c>
    </row>
    <row r="2265">
      <c r="A2265" t="n">
        <v>11454</v>
      </c>
      <c r="B2265" s="72" t="n">
        <v>45892.84305555555</v>
      </c>
      <c r="C2265" t="inlineStr">
        <is>
          <t>Bolívar</t>
        </is>
      </c>
      <c r="D2265" t="inlineStr">
        <is>
          <t>Cartagena</t>
        </is>
      </c>
      <c r="E2265" t="inlineStr">
        <is>
          <t>Hogar</t>
        </is>
      </c>
      <c r="F2265" t="inlineStr">
        <is>
          <t>App</t>
        </is>
      </c>
      <c r="G2265" t="inlineStr">
        <is>
          <t>1. Visita</t>
        </is>
      </c>
      <c r="H2265" t="n">
        <v>4</v>
      </c>
      <c r="I2265" s="73" t="n">
        <v>265400</v>
      </c>
      <c r="J2265" s="73" t="n">
        <v>1220840</v>
      </c>
      <c r="K2265" s="73" t="n">
        <v>745408</v>
      </c>
    </row>
    <row r="2266">
      <c r="A2266" t="n">
        <v>10897</v>
      </c>
      <c r="B2266" s="72" t="n">
        <v>45893.37361111111</v>
      </c>
      <c r="C2266" t="inlineStr">
        <is>
          <t>Valle del Cauca</t>
        </is>
      </c>
      <c r="D2266" t="inlineStr">
        <is>
          <t>Cali</t>
        </is>
      </c>
      <c r="E2266" t="inlineStr">
        <is>
          <t>Juguetes</t>
        </is>
      </c>
      <c r="F2266" t="inlineStr">
        <is>
          <t>Tienda física</t>
        </is>
      </c>
      <c r="G2266" t="inlineStr">
        <is>
          <t>2. Carrito</t>
        </is>
      </c>
      <c r="H2266" t="n">
        <v>3</v>
      </c>
      <c r="I2266" s="73" t="n">
        <v>73300</v>
      </c>
      <c r="J2266" s="73" t="n">
        <v>252885</v>
      </c>
      <c r="K2266" s="73" t="n">
        <v>182766</v>
      </c>
    </row>
    <row r="2267">
      <c r="A2267" t="n">
        <v>11253</v>
      </c>
      <c r="B2267" s="72" t="n">
        <v>45893.75</v>
      </c>
      <c r="C2267" t="inlineStr">
        <is>
          <t>Bogotá D.C.</t>
        </is>
      </c>
      <c r="D2267" t="inlineStr">
        <is>
          <t>Bogotá</t>
        </is>
      </c>
      <c r="E2267" t="inlineStr">
        <is>
          <t>Deportes</t>
        </is>
      </c>
      <c r="F2267" t="inlineStr">
        <is>
          <t>App</t>
        </is>
      </c>
      <c r="G2267" t="inlineStr">
        <is>
          <t>3. Pago</t>
        </is>
      </c>
      <c r="H2267" t="n">
        <v>4</v>
      </c>
      <c r="I2267" s="73" t="n">
        <v>194800</v>
      </c>
      <c r="J2267" s="73" t="n">
        <v>896080</v>
      </c>
      <c r="K2267" s="73" t="n">
        <v>534182</v>
      </c>
    </row>
    <row r="2268">
      <c r="A2268" t="n">
        <v>10169</v>
      </c>
      <c r="B2268" s="72" t="n">
        <v>45893.81875</v>
      </c>
      <c r="C2268" t="inlineStr">
        <is>
          <t>Bogotá D.C.</t>
        </is>
      </c>
      <c r="D2268" t="inlineStr">
        <is>
          <t>Bogotá</t>
        </is>
      </c>
      <c r="E2268" t="inlineStr">
        <is>
          <t>Hogar</t>
        </is>
      </c>
      <c r="F2268" t="inlineStr">
        <is>
          <t>App</t>
        </is>
      </c>
      <c r="G2268" t="inlineStr">
        <is>
          <t>1. Visita</t>
        </is>
      </c>
      <c r="H2268" t="n">
        <v>1</v>
      </c>
      <c r="I2268" s="73" t="n">
        <v>248300</v>
      </c>
      <c r="J2268" s="73" t="n">
        <v>285545</v>
      </c>
      <c r="K2268" s="73" t="n">
        <v>200410</v>
      </c>
    </row>
    <row r="2269">
      <c r="A2269" t="n">
        <v>10842</v>
      </c>
      <c r="B2269" s="72" t="n">
        <v>45893.91944444444</v>
      </c>
      <c r="C2269" t="inlineStr">
        <is>
          <t>Antioquia</t>
        </is>
      </c>
      <c r="D2269" t="inlineStr">
        <is>
          <t>Medellín</t>
        </is>
      </c>
      <c r="E2269" t="inlineStr">
        <is>
          <t>Hogar</t>
        </is>
      </c>
      <c r="F2269" t="inlineStr">
        <is>
          <t>App</t>
        </is>
      </c>
      <c r="G2269" t="inlineStr">
        <is>
          <t>3. Pago</t>
        </is>
      </c>
      <c r="H2269" t="n">
        <v>1</v>
      </c>
      <c r="I2269" s="73" t="n">
        <v>172100</v>
      </c>
      <c r="J2269" s="73" t="n">
        <v>197915</v>
      </c>
      <c r="K2269" s="73" t="n">
        <v>111501</v>
      </c>
    </row>
    <row r="2270">
      <c r="A2270" t="n">
        <v>11906</v>
      </c>
      <c r="B2270" s="72" t="n">
        <v>45894.88125</v>
      </c>
      <c r="C2270" t="inlineStr">
        <is>
          <t>Antioquia</t>
        </is>
      </c>
      <c r="D2270" t="inlineStr">
        <is>
          <t>Medellín</t>
        </is>
      </c>
      <c r="E2270" t="inlineStr">
        <is>
          <t>Moda</t>
        </is>
      </c>
      <c r="F2270" t="inlineStr">
        <is>
          <t>Tienda física</t>
        </is>
      </c>
      <c r="G2270" t="inlineStr">
        <is>
          <t>3. Pago</t>
        </is>
      </c>
      <c r="H2270" t="n">
        <v>5</v>
      </c>
      <c r="I2270" s="73" t="n">
        <v>145100</v>
      </c>
      <c r="J2270" s="73" t="n">
        <v>725500</v>
      </c>
      <c r="K2270" s="73" t="n">
        <v>512525</v>
      </c>
    </row>
    <row r="2271">
      <c r="A2271" t="n">
        <v>11536</v>
      </c>
      <c r="B2271" s="72" t="n">
        <v>45894.89583333334</v>
      </c>
      <c r="C2271" t="inlineStr">
        <is>
          <t>Antioquia</t>
        </is>
      </c>
      <c r="D2271" t="inlineStr">
        <is>
          <t>Medellín</t>
        </is>
      </c>
      <c r="E2271" t="inlineStr">
        <is>
          <t>Belleza</t>
        </is>
      </c>
      <c r="F2271" t="inlineStr">
        <is>
          <t>Tienda física</t>
        </is>
      </c>
      <c r="G2271" t="inlineStr">
        <is>
          <t>1. Visita</t>
        </is>
      </c>
      <c r="H2271" t="n">
        <v>2</v>
      </c>
      <c r="I2271" s="73" t="n">
        <v>57100</v>
      </c>
      <c r="J2271" s="73" t="n">
        <v>114200</v>
      </c>
      <c r="K2271" s="73" t="n">
        <v>73406</v>
      </c>
    </row>
    <row r="2272">
      <c r="A2272" t="n">
        <v>11499</v>
      </c>
      <c r="B2272" s="72" t="n">
        <v>45894.9</v>
      </c>
      <c r="C2272" t="inlineStr">
        <is>
          <t>Bogotá D.C.</t>
        </is>
      </c>
      <c r="D2272" t="inlineStr">
        <is>
          <t>Bogotá</t>
        </is>
      </c>
      <c r="E2272" t="inlineStr">
        <is>
          <t>Deportes</t>
        </is>
      </c>
      <c r="F2272" t="inlineStr">
        <is>
          <t>Tienda física</t>
        </is>
      </c>
      <c r="G2272" t="inlineStr">
        <is>
          <t>2. Carrito</t>
        </is>
      </c>
      <c r="H2272" t="n">
        <v>5</v>
      </c>
      <c r="I2272" s="73" t="n">
        <v>183600</v>
      </c>
      <c r="J2272" s="73" t="n">
        <v>918000</v>
      </c>
      <c r="K2272" s="73" t="n">
        <v>506823</v>
      </c>
    </row>
    <row r="2273">
      <c r="A2273" t="n">
        <v>11244</v>
      </c>
      <c r="B2273" s="72" t="n">
        <v>45895.27291666667</v>
      </c>
      <c r="C2273" t="inlineStr">
        <is>
          <t>Bogotá D.C.</t>
        </is>
      </c>
      <c r="D2273" t="inlineStr">
        <is>
          <t>Bogotá</t>
        </is>
      </c>
      <c r="E2273" t="inlineStr">
        <is>
          <t>Moda</t>
        </is>
      </c>
      <c r="F2273" t="inlineStr">
        <is>
          <t>Tienda física</t>
        </is>
      </c>
      <c r="G2273" t="inlineStr">
        <is>
          <t>4. Compra</t>
        </is>
      </c>
      <c r="H2273" t="n">
        <v>4</v>
      </c>
      <c r="I2273" s="73" t="n">
        <v>142000</v>
      </c>
      <c r="J2273" s="73" t="n">
        <v>568000</v>
      </c>
      <c r="K2273" s="73" t="n">
        <v>336387</v>
      </c>
    </row>
    <row r="2274">
      <c r="A2274" t="n">
        <v>10292</v>
      </c>
      <c r="B2274" s="72" t="n">
        <v>45895.50833333333</v>
      </c>
      <c r="C2274" t="inlineStr">
        <is>
          <t>Valle del Cauca</t>
        </is>
      </c>
      <c r="D2274" t="inlineStr">
        <is>
          <t>Cali</t>
        </is>
      </c>
      <c r="E2274" t="inlineStr">
        <is>
          <t>Deportes</t>
        </is>
      </c>
      <c r="F2274" t="inlineStr">
        <is>
          <t>App</t>
        </is>
      </c>
      <c r="G2274" t="inlineStr">
        <is>
          <t>1. Visita</t>
        </is>
      </c>
      <c r="H2274" t="n">
        <v>1</v>
      </c>
      <c r="I2274" s="73" t="n">
        <v>180400</v>
      </c>
      <c r="J2274" s="73" t="n">
        <v>180400</v>
      </c>
      <c r="K2274" s="73" t="n">
        <v>133699</v>
      </c>
    </row>
    <row r="2275">
      <c r="A2275" t="n">
        <v>10361</v>
      </c>
      <c r="B2275" s="72" t="n">
        <v>45895.54861111111</v>
      </c>
      <c r="C2275" t="inlineStr">
        <is>
          <t>Santander</t>
        </is>
      </c>
      <c r="D2275" t="inlineStr">
        <is>
          <t>Bucaramanga</t>
        </is>
      </c>
      <c r="E2275" t="inlineStr">
        <is>
          <t>Moda</t>
        </is>
      </c>
      <c r="F2275" t="inlineStr">
        <is>
          <t>Tienda física</t>
        </is>
      </c>
      <c r="G2275" t="inlineStr">
        <is>
          <t>1. Visita</t>
        </is>
      </c>
      <c r="H2275" t="n">
        <v>3</v>
      </c>
      <c r="I2275" s="73" t="n">
        <v>131600</v>
      </c>
      <c r="J2275" s="73" t="n">
        <v>394800</v>
      </c>
      <c r="K2275" s="73" t="n">
        <v>241610</v>
      </c>
    </row>
    <row r="2276">
      <c r="A2276" t="n">
        <v>10524</v>
      </c>
      <c r="B2276" s="72" t="n">
        <v>45895.75902777778</v>
      </c>
      <c r="C2276" t="inlineStr">
        <is>
          <t>Risaralda</t>
        </is>
      </c>
      <c r="D2276" t="inlineStr">
        <is>
          <t>Pereira</t>
        </is>
      </c>
      <c r="E2276" t="inlineStr">
        <is>
          <t>Juguetes</t>
        </is>
      </c>
      <c r="F2276" t="inlineStr">
        <is>
          <t>Marketplace</t>
        </is>
      </c>
      <c r="G2276" t="inlineStr">
        <is>
          <t>2. Carrito</t>
        </is>
      </c>
      <c r="H2276" t="n">
        <v>3</v>
      </c>
      <c r="I2276" s="73" t="n">
        <v>88300</v>
      </c>
      <c r="J2276" s="73" t="n">
        <v>264900</v>
      </c>
      <c r="K2276" s="73" t="n">
        <v>165094</v>
      </c>
    </row>
    <row r="2277">
      <c r="A2277" t="n">
        <v>11048</v>
      </c>
      <c r="B2277" s="72" t="n">
        <v>45895.78541666667</v>
      </c>
      <c r="C2277" t="inlineStr">
        <is>
          <t>Antioquia</t>
        </is>
      </c>
      <c r="D2277" t="inlineStr">
        <is>
          <t>Medellín</t>
        </is>
      </c>
      <c r="E2277" t="inlineStr">
        <is>
          <t>Hogar</t>
        </is>
      </c>
      <c r="F2277" t="inlineStr">
        <is>
          <t>App</t>
        </is>
      </c>
      <c r="G2277" t="inlineStr">
        <is>
          <t>3. Pago</t>
        </is>
      </c>
      <c r="H2277" t="n">
        <v>3</v>
      </c>
      <c r="I2277" s="73" t="n">
        <v>174700</v>
      </c>
      <c r="J2277" s="73" t="n">
        <v>524100</v>
      </c>
      <c r="K2277" s="73" t="n">
        <v>292851</v>
      </c>
    </row>
    <row r="2278">
      <c r="A2278" t="n">
        <v>11666</v>
      </c>
      <c r="B2278" s="72" t="n">
        <v>45895.80208333334</v>
      </c>
      <c r="C2278" t="inlineStr">
        <is>
          <t>Bogotá D.C.</t>
        </is>
      </c>
      <c r="D2278" t="inlineStr">
        <is>
          <t>Bogotá</t>
        </is>
      </c>
      <c r="E2278" t="inlineStr">
        <is>
          <t>Moda</t>
        </is>
      </c>
      <c r="F2278" t="inlineStr">
        <is>
          <t>Web</t>
        </is>
      </c>
      <c r="G2278" t="inlineStr">
        <is>
          <t>3. Pago</t>
        </is>
      </c>
      <c r="H2278" t="n">
        <v>4</v>
      </c>
      <c r="I2278" s="73" t="n">
        <v>126300</v>
      </c>
      <c r="J2278" s="73" t="n">
        <v>505200</v>
      </c>
      <c r="K2278" s="73" t="n">
        <v>346966</v>
      </c>
    </row>
    <row r="2279">
      <c r="A2279" t="n">
        <v>11119</v>
      </c>
      <c r="B2279" s="72" t="n">
        <v>45896.37222222222</v>
      </c>
      <c r="C2279" t="inlineStr">
        <is>
          <t>Bogotá D.C.</t>
        </is>
      </c>
      <c r="D2279" t="inlineStr">
        <is>
          <t>Bogotá</t>
        </is>
      </c>
      <c r="E2279" t="inlineStr">
        <is>
          <t>Moda</t>
        </is>
      </c>
      <c r="F2279" t="inlineStr">
        <is>
          <t>Web</t>
        </is>
      </c>
      <c r="G2279" t="inlineStr">
        <is>
          <t>2. Carrito</t>
        </is>
      </c>
      <c r="H2279" t="n">
        <v>5</v>
      </c>
      <c r="I2279" s="73" t="n">
        <v>153000</v>
      </c>
      <c r="J2279" s="73" t="n">
        <v>765000</v>
      </c>
      <c r="K2279" s="73" t="n">
        <v>497450</v>
      </c>
    </row>
    <row r="2280">
      <c r="A2280" t="n">
        <v>12123</v>
      </c>
      <c r="B2280" s="72" t="n">
        <v>45896.75347222222</v>
      </c>
      <c r="C2280" t="inlineStr">
        <is>
          <t>Atlántico</t>
        </is>
      </c>
      <c r="D2280" t="inlineStr">
        <is>
          <t>Barranquilla</t>
        </is>
      </c>
      <c r="E2280" t="inlineStr">
        <is>
          <t>Deportes</t>
        </is>
      </c>
      <c r="F2280" t="inlineStr">
        <is>
          <t>App</t>
        </is>
      </c>
      <c r="G2280" t="inlineStr">
        <is>
          <t>3. Pago</t>
        </is>
      </c>
      <c r="H2280" t="n">
        <v>2</v>
      </c>
      <c r="I2280" s="73" t="n">
        <v>202400</v>
      </c>
      <c r="J2280" s="73" t="n">
        <v>404800</v>
      </c>
      <c r="K2280" s="73" t="n">
        <v>274710</v>
      </c>
    </row>
    <row r="2281">
      <c r="A2281" t="n">
        <v>11884</v>
      </c>
      <c r="B2281" s="72" t="n">
        <v>45897.38888888889</v>
      </c>
      <c r="C2281" t="inlineStr">
        <is>
          <t>Bogotá D.C.</t>
        </is>
      </c>
      <c r="D2281" t="inlineStr">
        <is>
          <t>Bogotá</t>
        </is>
      </c>
      <c r="E2281" t="inlineStr">
        <is>
          <t>Juguetes</t>
        </is>
      </c>
      <c r="F2281" t="inlineStr">
        <is>
          <t>Tienda física</t>
        </is>
      </c>
      <c r="G2281" t="inlineStr">
        <is>
          <t>1. Visita</t>
        </is>
      </c>
      <c r="H2281" t="n">
        <v>3</v>
      </c>
      <c r="I2281" s="73" t="n">
        <v>65400</v>
      </c>
      <c r="J2281" s="73" t="n">
        <v>196200</v>
      </c>
      <c r="K2281" s="73" t="n">
        <v>126702</v>
      </c>
    </row>
    <row r="2282">
      <c r="A2282" t="n">
        <v>11215</v>
      </c>
      <c r="B2282" s="72" t="n">
        <v>45897.42152777778</v>
      </c>
      <c r="C2282" t="inlineStr">
        <is>
          <t>Antioquia</t>
        </is>
      </c>
      <c r="D2282" t="inlineStr">
        <is>
          <t>Medellín</t>
        </is>
      </c>
      <c r="E2282" t="inlineStr">
        <is>
          <t>Tecnología</t>
        </is>
      </c>
      <c r="F2282" t="inlineStr">
        <is>
          <t>App</t>
        </is>
      </c>
      <c r="G2282" t="inlineStr">
        <is>
          <t>1. Visita</t>
        </is>
      </c>
      <c r="H2282" t="n">
        <v>3</v>
      </c>
      <c r="I2282" s="73" t="n">
        <v>640500</v>
      </c>
      <c r="J2282" s="73" t="n">
        <v>1921500</v>
      </c>
      <c r="K2282" s="73" t="n">
        <v>1057487</v>
      </c>
    </row>
    <row r="2283">
      <c r="A2283" t="n">
        <v>12326</v>
      </c>
      <c r="B2283" s="72" t="n">
        <v>45897.43055555555</v>
      </c>
      <c r="C2283" t="inlineStr">
        <is>
          <t>Bogotá D.C.</t>
        </is>
      </c>
      <c r="D2283" t="inlineStr">
        <is>
          <t>Bogotá</t>
        </is>
      </c>
      <c r="E2283" t="inlineStr">
        <is>
          <t>Deportes</t>
        </is>
      </c>
      <c r="F2283" t="inlineStr">
        <is>
          <t>App</t>
        </is>
      </c>
      <c r="G2283" t="inlineStr">
        <is>
          <t>2. Carrito</t>
        </is>
      </c>
      <c r="H2283" t="n">
        <v>5</v>
      </c>
      <c r="I2283" s="73" t="n">
        <v>164900</v>
      </c>
      <c r="J2283" s="73" t="n">
        <v>824500</v>
      </c>
      <c r="K2283" s="73" t="n">
        <v>612023</v>
      </c>
    </row>
    <row r="2284">
      <c r="A2284" t="n">
        <v>11557</v>
      </c>
      <c r="B2284" s="72" t="n">
        <v>45897.49027777778</v>
      </c>
      <c r="C2284" t="inlineStr">
        <is>
          <t>Risaralda</t>
        </is>
      </c>
      <c r="D2284" t="inlineStr">
        <is>
          <t>Pereira</t>
        </is>
      </c>
      <c r="E2284" t="inlineStr">
        <is>
          <t>Tecnología</t>
        </is>
      </c>
      <c r="F2284" t="inlineStr">
        <is>
          <t>Marketplace</t>
        </is>
      </c>
      <c r="G2284" t="inlineStr">
        <is>
          <t>3. Pago</t>
        </is>
      </c>
      <c r="H2284" t="n">
        <v>4</v>
      </c>
      <c r="I2284" s="73" t="n">
        <v>929800</v>
      </c>
      <c r="J2284" s="73" t="n">
        <v>3719200</v>
      </c>
      <c r="K2284" s="73" t="n">
        <v>2658744</v>
      </c>
    </row>
    <row r="2285">
      <c r="A2285" t="n">
        <v>11507</v>
      </c>
      <c r="B2285" s="72" t="n">
        <v>45897.58541666667</v>
      </c>
      <c r="C2285" t="inlineStr">
        <is>
          <t>Santander</t>
        </is>
      </c>
      <c r="D2285" t="inlineStr">
        <is>
          <t>Bucaramanga</t>
        </is>
      </c>
      <c r="E2285" t="inlineStr">
        <is>
          <t>Deportes</t>
        </is>
      </c>
      <c r="F2285" t="inlineStr">
        <is>
          <t>App</t>
        </is>
      </c>
      <c r="G2285" t="inlineStr">
        <is>
          <t>1. Visita</t>
        </is>
      </c>
      <c r="H2285" t="n">
        <v>1</v>
      </c>
      <c r="I2285" s="73" t="n">
        <v>112500</v>
      </c>
      <c r="J2285" s="73" t="n">
        <v>112500</v>
      </c>
      <c r="K2285" s="73" t="n">
        <v>74517</v>
      </c>
    </row>
    <row r="2286">
      <c r="A2286" t="n">
        <v>10387</v>
      </c>
      <c r="B2286" s="72" t="n">
        <v>45897.64861111111</v>
      </c>
      <c r="C2286" t="inlineStr">
        <is>
          <t>Risaralda</t>
        </is>
      </c>
      <c r="D2286" t="inlineStr">
        <is>
          <t>Pereira</t>
        </is>
      </c>
      <c r="E2286" t="inlineStr">
        <is>
          <t>Belleza</t>
        </is>
      </c>
      <c r="F2286" t="inlineStr">
        <is>
          <t>Marketplace</t>
        </is>
      </c>
      <c r="G2286" t="inlineStr">
        <is>
          <t>2. Carrito</t>
        </is>
      </c>
      <c r="H2286" t="n">
        <v>3</v>
      </c>
      <c r="I2286" s="73" t="n">
        <v>83700</v>
      </c>
      <c r="J2286" s="73" t="n">
        <v>251100</v>
      </c>
      <c r="K2286" s="73" t="n">
        <v>179076</v>
      </c>
    </row>
    <row r="2287">
      <c r="A2287" t="n">
        <v>11319</v>
      </c>
      <c r="B2287" s="72" t="n">
        <v>45897.85486111111</v>
      </c>
      <c r="C2287" t="inlineStr">
        <is>
          <t>Huila</t>
        </is>
      </c>
      <c r="D2287" t="inlineStr">
        <is>
          <t>Neiva</t>
        </is>
      </c>
      <c r="E2287" t="inlineStr">
        <is>
          <t>Belleza</t>
        </is>
      </c>
      <c r="F2287" t="inlineStr">
        <is>
          <t>Tienda física</t>
        </is>
      </c>
      <c r="G2287" t="inlineStr">
        <is>
          <t>1. Visita</t>
        </is>
      </c>
      <c r="H2287" t="n">
        <v>1</v>
      </c>
      <c r="I2287" s="73" t="n">
        <v>74500</v>
      </c>
      <c r="J2287" s="73" t="n">
        <v>74500</v>
      </c>
      <c r="K2287" s="73" t="n">
        <v>47588</v>
      </c>
    </row>
    <row r="2288">
      <c r="A2288" t="n">
        <v>11099</v>
      </c>
      <c r="B2288" s="72" t="n">
        <v>45897.89513888889</v>
      </c>
      <c r="C2288" t="inlineStr">
        <is>
          <t>Meta</t>
        </is>
      </c>
      <c r="D2288" t="inlineStr">
        <is>
          <t>Villavicencio</t>
        </is>
      </c>
      <c r="E2288" t="inlineStr">
        <is>
          <t>Juguetes</t>
        </is>
      </c>
      <c r="F2288" t="inlineStr">
        <is>
          <t>Tienda física</t>
        </is>
      </c>
      <c r="G2288" t="inlineStr">
        <is>
          <t>1. Visita</t>
        </is>
      </c>
      <c r="H2288" t="n">
        <v>1</v>
      </c>
      <c r="I2288" s="73" t="n">
        <v>74700</v>
      </c>
      <c r="J2288" s="73" t="n">
        <v>74700</v>
      </c>
      <c r="K2288" s="73" t="n">
        <v>45607</v>
      </c>
    </row>
    <row r="2289">
      <c r="A2289" t="n">
        <v>11921</v>
      </c>
      <c r="B2289" s="72" t="n">
        <v>45897.94166666667</v>
      </c>
      <c r="C2289" t="inlineStr">
        <is>
          <t>Atlántico</t>
        </is>
      </c>
      <c r="D2289" t="inlineStr">
        <is>
          <t>Barranquilla</t>
        </is>
      </c>
      <c r="E2289" t="inlineStr">
        <is>
          <t>Juguetes</t>
        </is>
      </c>
      <c r="F2289" t="inlineStr">
        <is>
          <t>App</t>
        </is>
      </c>
      <c r="G2289" t="inlineStr">
        <is>
          <t>2. Carrito</t>
        </is>
      </c>
      <c r="H2289" t="n">
        <v>2</v>
      </c>
      <c r="I2289" s="73" t="n">
        <v>99100</v>
      </c>
      <c r="J2289" s="73" t="n">
        <v>198200</v>
      </c>
      <c r="K2289" s="73" t="n">
        <v>125412</v>
      </c>
    </row>
    <row r="2290">
      <c r="A2290" t="n">
        <v>11288</v>
      </c>
      <c r="B2290" s="72" t="n">
        <v>45898.56944444445</v>
      </c>
      <c r="C2290" t="inlineStr">
        <is>
          <t>Bogotá D.C.</t>
        </is>
      </c>
      <c r="D2290" t="inlineStr">
        <is>
          <t>Bogotá</t>
        </is>
      </c>
      <c r="E2290" t="inlineStr">
        <is>
          <t>Belleza</t>
        </is>
      </c>
      <c r="F2290" t="inlineStr">
        <is>
          <t>Tienda física</t>
        </is>
      </c>
      <c r="G2290" t="inlineStr">
        <is>
          <t>1. Visita</t>
        </is>
      </c>
      <c r="H2290" t="n">
        <v>4</v>
      </c>
      <c r="I2290" s="73" t="n">
        <v>69200</v>
      </c>
      <c r="J2290" s="73" t="n">
        <v>318320</v>
      </c>
      <c r="K2290" s="73" t="n">
        <v>186065</v>
      </c>
    </row>
    <row r="2291">
      <c r="A2291" t="n">
        <v>11146</v>
      </c>
      <c r="B2291" s="72" t="n">
        <v>45898.60486111111</v>
      </c>
      <c r="C2291" t="inlineStr">
        <is>
          <t>Santander</t>
        </is>
      </c>
      <c r="D2291" t="inlineStr">
        <is>
          <t>Bucaramanga</t>
        </is>
      </c>
      <c r="E2291" t="inlineStr">
        <is>
          <t>Hogar</t>
        </is>
      </c>
      <c r="F2291" t="inlineStr">
        <is>
          <t>Tienda física</t>
        </is>
      </c>
      <c r="G2291" t="inlineStr">
        <is>
          <t>1. Visita</t>
        </is>
      </c>
      <c r="H2291" t="n">
        <v>2</v>
      </c>
      <c r="I2291" s="73" t="n">
        <v>221500</v>
      </c>
      <c r="J2291" s="73" t="n">
        <v>509450</v>
      </c>
      <c r="K2291" s="73" t="n">
        <v>281680</v>
      </c>
    </row>
    <row r="2292">
      <c r="A2292" t="n">
        <v>11682</v>
      </c>
      <c r="B2292" s="72" t="n">
        <v>45898.66944444444</v>
      </c>
      <c r="C2292" t="inlineStr">
        <is>
          <t>Nariño</t>
        </is>
      </c>
      <c r="D2292" t="inlineStr">
        <is>
          <t>Pasto</t>
        </is>
      </c>
      <c r="E2292" t="inlineStr">
        <is>
          <t>Belleza</t>
        </is>
      </c>
      <c r="F2292" t="inlineStr">
        <is>
          <t>App</t>
        </is>
      </c>
      <c r="G2292" t="inlineStr">
        <is>
          <t>3. Pago</t>
        </is>
      </c>
      <c r="H2292" t="n">
        <v>5</v>
      </c>
      <c r="I2292" s="73" t="n">
        <v>51500</v>
      </c>
      <c r="J2292" s="73" t="n">
        <v>296125</v>
      </c>
      <c r="K2292" s="73" t="n">
        <v>186008</v>
      </c>
    </row>
    <row r="2293">
      <c r="A2293" t="n">
        <v>10518</v>
      </c>
      <c r="B2293" s="72" t="n">
        <v>45898.77569444444</v>
      </c>
      <c r="C2293" t="inlineStr">
        <is>
          <t>Bogotá D.C.</t>
        </is>
      </c>
      <c r="D2293" t="inlineStr">
        <is>
          <t>Bogotá</t>
        </is>
      </c>
      <c r="E2293" t="inlineStr">
        <is>
          <t>Tecnología</t>
        </is>
      </c>
      <c r="F2293" t="inlineStr">
        <is>
          <t>Web</t>
        </is>
      </c>
      <c r="G2293" t="inlineStr">
        <is>
          <t>1. Visita</t>
        </is>
      </c>
      <c r="H2293" t="n">
        <v>5</v>
      </c>
      <c r="I2293" s="73" t="n">
        <v>783600</v>
      </c>
      <c r="J2293" s="73" t="n">
        <v>4505700</v>
      </c>
      <c r="K2293" s="73" t="n">
        <v>3151153</v>
      </c>
    </row>
    <row r="2294">
      <c r="A2294" t="n">
        <v>12331</v>
      </c>
      <c r="B2294" s="72" t="n">
        <v>45898.80208333334</v>
      </c>
      <c r="C2294" t="inlineStr">
        <is>
          <t>Bogotá D.C.</t>
        </is>
      </c>
      <c r="D2294" t="inlineStr">
        <is>
          <t>Bogotá</t>
        </is>
      </c>
      <c r="E2294" t="inlineStr">
        <is>
          <t>Deportes</t>
        </is>
      </c>
      <c r="F2294" t="inlineStr">
        <is>
          <t>Web</t>
        </is>
      </c>
      <c r="G2294" t="inlineStr">
        <is>
          <t>1. Visita</t>
        </is>
      </c>
      <c r="H2294" t="n">
        <v>1</v>
      </c>
      <c r="I2294" s="73" t="n">
        <v>155900</v>
      </c>
      <c r="J2294" s="73" t="n">
        <v>179285</v>
      </c>
      <c r="K2294" s="73" t="n">
        <v>127158</v>
      </c>
    </row>
    <row r="2295">
      <c r="A2295" t="n">
        <v>10421</v>
      </c>
      <c r="B2295" s="72" t="n">
        <v>45899.57569444444</v>
      </c>
      <c r="C2295" t="inlineStr">
        <is>
          <t>Risaralda</t>
        </is>
      </c>
      <c r="D2295" t="inlineStr">
        <is>
          <t>Pereira</t>
        </is>
      </c>
      <c r="E2295" t="inlineStr">
        <is>
          <t>Hogar</t>
        </is>
      </c>
      <c r="F2295" t="inlineStr">
        <is>
          <t>Web</t>
        </is>
      </c>
      <c r="G2295" t="inlineStr">
        <is>
          <t>2. Carrito</t>
        </is>
      </c>
      <c r="H2295" t="n">
        <v>1</v>
      </c>
      <c r="I2295" s="73" t="n">
        <v>228500</v>
      </c>
      <c r="J2295" s="73" t="n">
        <v>262775</v>
      </c>
      <c r="K2295" s="73" t="n">
        <v>185852</v>
      </c>
    </row>
    <row r="2296">
      <c r="A2296" t="n">
        <v>11436</v>
      </c>
      <c r="B2296" s="72" t="n">
        <v>45899.75</v>
      </c>
      <c r="C2296" t="inlineStr">
        <is>
          <t>Bogotá D.C.</t>
        </is>
      </c>
      <c r="D2296" t="inlineStr">
        <is>
          <t>Bogotá</t>
        </is>
      </c>
      <c r="E2296" t="inlineStr">
        <is>
          <t>Belleza</t>
        </is>
      </c>
      <c r="F2296" t="inlineStr">
        <is>
          <t>Tienda física</t>
        </is>
      </c>
      <c r="G2296" t="inlineStr">
        <is>
          <t>4. Compra</t>
        </is>
      </c>
      <c r="H2296" t="n">
        <v>1</v>
      </c>
      <c r="I2296" s="73" t="n">
        <v>63600</v>
      </c>
      <c r="J2296" s="73" t="n">
        <v>73140</v>
      </c>
      <c r="K2296" s="73" t="n">
        <v>51253</v>
      </c>
    </row>
    <row r="2297">
      <c r="A2297" t="n">
        <v>10316</v>
      </c>
      <c r="B2297" s="72" t="n">
        <v>45900.30416666667</v>
      </c>
      <c r="C2297" t="inlineStr">
        <is>
          <t>Santander</t>
        </is>
      </c>
      <c r="D2297" t="inlineStr">
        <is>
          <t>Bucaramanga</t>
        </is>
      </c>
      <c r="E2297" t="inlineStr">
        <is>
          <t>Juguetes</t>
        </is>
      </c>
      <c r="F2297" t="inlineStr">
        <is>
          <t>Tienda física</t>
        </is>
      </c>
      <c r="G2297" t="inlineStr">
        <is>
          <t>2. Carrito</t>
        </is>
      </c>
      <c r="H2297" t="n">
        <v>4</v>
      </c>
      <c r="I2297" s="73" t="n">
        <v>69900</v>
      </c>
      <c r="J2297" s="73" t="n">
        <v>321540</v>
      </c>
      <c r="K2297" s="73" t="n">
        <v>200505</v>
      </c>
    </row>
    <row r="2298">
      <c r="A2298" t="n">
        <v>10164</v>
      </c>
      <c r="B2298" s="72" t="n">
        <v>45900.41180555556</v>
      </c>
      <c r="C2298" t="inlineStr">
        <is>
          <t>Antioquia</t>
        </is>
      </c>
      <c r="D2298" t="inlineStr">
        <is>
          <t>Medellín</t>
        </is>
      </c>
      <c r="E2298" t="inlineStr">
        <is>
          <t>Juguetes</t>
        </is>
      </c>
      <c r="F2298" t="inlineStr">
        <is>
          <t>App</t>
        </is>
      </c>
      <c r="G2298" t="inlineStr">
        <is>
          <t>2. Carrito</t>
        </is>
      </c>
      <c r="H2298" t="n">
        <v>4</v>
      </c>
      <c r="I2298" s="73" t="n">
        <v>71900</v>
      </c>
      <c r="J2298" s="73" t="n">
        <v>330740</v>
      </c>
      <c r="K2298" s="73" t="n">
        <v>190204</v>
      </c>
    </row>
    <row r="2299">
      <c r="A2299" t="n">
        <v>10227</v>
      </c>
      <c r="B2299" s="72" t="n">
        <v>45900.45833333334</v>
      </c>
      <c r="C2299" t="inlineStr">
        <is>
          <t>Antioquia</t>
        </is>
      </c>
      <c r="D2299" t="inlineStr">
        <is>
          <t>Medellín</t>
        </is>
      </c>
      <c r="E2299" t="inlineStr">
        <is>
          <t>Moda</t>
        </is>
      </c>
      <c r="F2299" t="inlineStr">
        <is>
          <t>App</t>
        </is>
      </c>
      <c r="G2299" t="inlineStr">
        <is>
          <t>1. Visita</t>
        </is>
      </c>
      <c r="H2299" t="n">
        <v>4</v>
      </c>
      <c r="I2299" s="73" t="n">
        <v>93900</v>
      </c>
      <c r="J2299" s="73" t="n">
        <v>431940</v>
      </c>
      <c r="K2299" s="73" t="n">
        <v>279078</v>
      </c>
    </row>
    <row r="2300">
      <c r="A2300" t="n">
        <v>11345</v>
      </c>
      <c r="B2300" s="72" t="n">
        <v>45900.79305555556</v>
      </c>
      <c r="C2300" t="inlineStr">
        <is>
          <t>Meta</t>
        </is>
      </c>
      <c r="D2300" t="inlineStr">
        <is>
          <t>Villavicencio</t>
        </is>
      </c>
      <c r="E2300" t="inlineStr">
        <is>
          <t>Deportes</t>
        </is>
      </c>
      <c r="F2300" t="inlineStr">
        <is>
          <t>Tienda física</t>
        </is>
      </c>
      <c r="G2300" t="inlineStr">
        <is>
          <t>1. Visita</t>
        </is>
      </c>
      <c r="H2300" t="n">
        <v>2</v>
      </c>
      <c r="I2300" s="73" t="n">
        <v>123100</v>
      </c>
      <c r="J2300" s="73" t="n">
        <v>283130</v>
      </c>
      <c r="K2300" s="73" t="n">
        <v>161465</v>
      </c>
    </row>
    <row r="2301">
      <c r="A2301" t="n">
        <v>11189</v>
      </c>
      <c r="B2301" s="72" t="n">
        <v>45900.86388888889</v>
      </c>
      <c r="C2301" t="inlineStr">
        <is>
          <t>Antioquia</t>
        </is>
      </c>
      <c r="D2301" t="inlineStr">
        <is>
          <t>Medellín</t>
        </is>
      </c>
      <c r="E2301" t="inlineStr">
        <is>
          <t>Deportes</t>
        </is>
      </c>
      <c r="F2301" t="inlineStr">
        <is>
          <t>Tienda física</t>
        </is>
      </c>
      <c r="G2301" t="inlineStr">
        <is>
          <t>2. Carrito</t>
        </is>
      </c>
      <c r="H2301" t="n">
        <v>2</v>
      </c>
      <c r="I2301" s="73" t="n">
        <v>162200</v>
      </c>
      <c r="J2301" s="73" t="n">
        <v>373060</v>
      </c>
      <c r="K2301" s="73" t="n">
        <v>260520</v>
      </c>
    </row>
    <row r="2302">
      <c r="A2302" t="n">
        <v>10534</v>
      </c>
      <c r="B2302" s="72" t="n">
        <v>45901.38125</v>
      </c>
      <c r="C2302" t="inlineStr">
        <is>
          <t>Santander</t>
        </is>
      </c>
      <c r="D2302" t="inlineStr">
        <is>
          <t>Bucaramanga</t>
        </is>
      </c>
      <c r="E2302" t="inlineStr">
        <is>
          <t>Tecnología</t>
        </is>
      </c>
      <c r="F2302" t="inlineStr">
        <is>
          <t>Tienda física</t>
        </is>
      </c>
      <c r="G2302" t="inlineStr">
        <is>
          <t>2. Carrito</t>
        </is>
      </c>
      <c r="H2302" t="n">
        <v>3</v>
      </c>
      <c r="I2302" s="73" t="n">
        <v>792900</v>
      </c>
      <c r="J2302" s="73" t="n">
        <v>2378700</v>
      </c>
      <c r="K2302" s="73" t="n">
        <v>1528043</v>
      </c>
    </row>
    <row r="2303">
      <c r="A2303" t="n">
        <v>10293</v>
      </c>
      <c r="B2303" s="72" t="n">
        <v>45901.52708333333</v>
      </c>
      <c r="C2303" t="inlineStr">
        <is>
          <t>Antioquia</t>
        </is>
      </c>
      <c r="D2303" t="inlineStr">
        <is>
          <t>Medellín</t>
        </is>
      </c>
      <c r="E2303" t="inlineStr">
        <is>
          <t>Hogar</t>
        </is>
      </c>
      <c r="F2303" t="inlineStr">
        <is>
          <t>App</t>
        </is>
      </c>
      <c r="G2303" t="inlineStr">
        <is>
          <t>1. Visita</t>
        </is>
      </c>
      <c r="H2303" t="n">
        <v>3</v>
      </c>
      <c r="I2303" s="73" t="n">
        <v>244200</v>
      </c>
      <c r="J2303" s="73" t="n">
        <v>732600</v>
      </c>
      <c r="K2303" s="73" t="n">
        <v>419468</v>
      </c>
    </row>
    <row r="2304">
      <c r="A2304" t="n">
        <v>12070</v>
      </c>
      <c r="B2304" s="72" t="n">
        <v>45901.62569444445</v>
      </c>
      <c r="C2304" t="inlineStr">
        <is>
          <t>Antioquia</t>
        </is>
      </c>
      <c r="D2304" t="inlineStr">
        <is>
          <t>Medellín</t>
        </is>
      </c>
      <c r="E2304" t="inlineStr">
        <is>
          <t>Juguetes</t>
        </is>
      </c>
      <c r="F2304" t="inlineStr">
        <is>
          <t>Marketplace</t>
        </is>
      </c>
      <c r="G2304" t="inlineStr">
        <is>
          <t>2. Carrito</t>
        </is>
      </c>
      <c r="H2304" t="n">
        <v>2</v>
      </c>
      <c r="I2304" s="73" t="n">
        <v>73500</v>
      </c>
      <c r="J2304" s="73" t="n">
        <v>147000</v>
      </c>
      <c r="K2304" s="73" t="n">
        <v>85333</v>
      </c>
    </row>
    <row r="2305">
      <c r="A2305" t="n">
        <v>11272</v>
      </c>
      <c r="B2305" s="72" t="n">
        <v>45901.72777777778</v>
      </c>
      <c r="C2305" t="inlineStr">
        <is>
          <t>Huila</t>
        </is>
      </c>
      <c r="D2305" t="inlineStr">
        <is>
          <t>Neiva</t>
        </is>
      </c>
      <c r="E2305" t="inlineStr">
        <is>
          <t>Deportes</t>
        </is>
      </c>
      <c r="F2305" t="inlineStr">
        <is>
          <t>App</t>
        </is>
      </c>
      <c r="G2305" t="inlineStr">
        <is>
          <t>2. Carrito</t>
        </is>
      </c>
      <c r="H2305" t="n">
        <v>4</v>
      </c>
      <c r="I2305" s="73" t="n">
        <v>194000</v>
      </c>
      <c r="J2305" s="73" t="n">
        <v>776000</v>
      </c>
      <c r="K2305" s="73" t="n">
        <v>477549</v>
      </c>
    </row>
    <row r="2306">
      <c r="A2306" t="n">
        <v>11234</v>
      </c>
      <c r="B2306" s="72" t="n">
        <v>45902.375</v>
      </c>
      <c r="C2306" t="inlineStr">
        <is>
          <t>Nariño</t>
        </is>
      </c>
      <c r="D2306" t="inlineStr">
        <is>
          <t>Pasto</t>
        </is>
      </c>
      <c r="E2306" t="inlineStr">
        <is>
          <t>Tecnología</t>
        </is>
      </c>
      <c r="F2306" t="inlineStr">
        <is>
          <t>App</t>
        </is>
      </c>
      <c r="G2306" t="inlineStr">
        <is>
          <t>2. Carrito</t>
        </is>
      </c>
      <c r="H2306" t="n">
        <v>2</v>
      </c>
      <c r="I2306" s="73" t="n">
        <v>695500</v>
      </c>
      <c r="J2306" s="73" t="n">
        <v>1391000</v>
      </c>
      <c r="K2306" s="73" t="n">
        <v>959374</v>
      </c>
    </row>
    <row r="2307">
      <c r="A2307" t="n">
        <v>12365</v>
      </c>
      <c r="B2307" s="72" t="n">
        <v>45902.41736111111</v>
      </c>
      <c r="C2307" t="inlineStr">
        <is>
          <t>Antioquia</t>
        </is>
      </c>
      <c r="D2307" t="inlineStr">
        <is>
          <t>Medellín</t>
        </is>
      </c>
      <c r="E2307" t="inlineStr">
        <is>
          <t>Hogar</t>
        </is>
      </c>
      <c r="F2307" t="inlineStr">
        <is>
          <t>Marketplace</t>
        </is>
      </c>
      <c r="G2307" t="inlineStr">
        <is>
          <t>4. Compra</t>
        </is>
      </c>
      <c r="H2307" t="n">
        <v>5</v>
      </c>
      <c r="I2307" s="73" t="n">
        <v>148700</v>
      </c>
      <c r="J2307" s="73" t="n">
        <v>743500</v>
      </c>
      <c r="K2307" s="73" t="n">
        <v>534144</v>
      </c>
    </row>
    <row r="2308">
      <c r="A2308" t="n">
        <v>11777</v>
      </c>
      <c r="B2308" s="72" t="n">
        <v>45902.48055555556</v>
      </c>
      <c r="C2308" t="inlineStr">
        <is>
          <t>Nariño</t>
        </is>
      </c>
      <c r="D2308" t="inlineStr">
        <is>
          <t>Pasto</t>
        </is>
      </c>
      <c r="E2308" t="inlineStr">
        <is>
          <t>Tecnología</t>
        </is>
      </c>
      <c r="F2308" t="inlineStr">
        <is>
          <t>Marketplace</t>
        </is>
      </c>
      <c r="G2308" t="inlineStr">
        <is>
          <t>1. Visita</t>
        </is>
      </c>
      <c r="H2308" t="n">
        <v>1</v>
      </c>
      <c r="I2308" s="73" t="n">
        <v>772600</v>
      </c>
      <c r="J2308" s="73" t="n">
        <v>772600</v>
      </c>
      <c r="K2308" s="73" t="n">
        <v>488331</v>
      </c>
    </row>
    <row r="2309">
      <c r="A2309" t="n">
        <v>10465</v>
      </c>
      <c r="B2309" s="72" t="n">
        <v>45902.52083333334</v>
      </c>
      <c r="C2309" t="inlineStr">
        <is>
          <t>Valle del Cauca</t>
        </is>
      </c>
      <c r="D2309" t="inlineStr">
        <is>
          <t>Cali</t>
        </is>
      </c>
      <c r="E2309" t="inlineStr">
        <is>
          <t>Tecnología</t>
        </is>
      </c>
      <c r="F2309" t="inlineStr">
        <is>
          <t>Tienda física</t>
        </is>
      </c>
      <c r="G2309" t="inlineStr">
        <is>
          <t>1. Visita</t>
        </is>
      </c>
      <c r="H2309" t="n">
        <v>1</v>
      </c>
      <c r="I2309" s="73" t="n">
        <v>929200</v>
      </c>
      <c r="J2309" s="73" t="n">
        <v>929200</v>
      </c>
      <c r="K2309" s="73" t="n">
        <v>696721</v>
      </c>
    </row>
    <row r="2310">
      <c r="A2310" t="n">
        <v>12240</v>
      </c>
      <c r="B2310" s="72" t="n">
        <v>45902.52708333333</v>
      </c>
      <c r="C2310" t="inlineStr">
        <is>
          <t>Atlántico</t>
        </is>
      </c>
      <c r="D2310" t="inlineStr">
        <is>
          <t>Barranquilla</t>
        </is>
      </c>
      <c r="E2310" t="inlineStr">
        <is>
          <t>Belleza</t>
        </is>
      </c>
      <c r="F2310" t="inlineStr">
        <is>
          <t>Tienda física</t>
        </is>
      </c>
      <c r="G2310" t="inlineStr">
        <is>
          <t>2. Carrito</t>
        </is>
      </c>
      <c r="H2310" t="n">
        <v>3</v>
      </c>
      <c r="I2310" s="73" t="n">
        <v>73500</v>
      </c>
      <c r="J2310" s="73" t="n">
        <v>220500</v>
      </c>
      <c r="K2310" s="73" t="n">
        <v>155820</v>
      </c>
    </row>
    <row r="2311">
      <c r="A2311" t="n">
        <v>12074</v>
      </c>
      <c r="B2311" s="72" t="n">
        <v>45902.53819444445</v>
      </c>
      <c r="C2311" t="inlineStr">
        <is>
          <t>Bogotá D.C.</t>
        </is>
      </c>
      <c r="D2311" t="inlineStr">
        <is>
          <t>Bogotá</t>
        </is>
      </c>
      <c r="E2311" t="inlineStr">
        <is>
          <t>Juguetes</t>
        </is>
      </c>
      <c r="F2311" t="inlineStr">
        <is>
          <t>App</t>
        </is>
      </c>
      <c r="G2311" t="inlineStr">
        <is>
          <t>2. Carrito</t>
        </is>
      </c>
      <c r="H2311" t="n">
        <v>2</v>
      </c>
      <c r="I2311" s="73" t="n">
        <v>68400</v>
      </c>
      <c r="J2311" s="73" t="n">
        <v>136800</v>
      </c>
      <c r="K2311" s="73" t="n">
        <v>75716</v>
      </c>
    </row>
    <row r="2312">
      <c r="A2312" t="n">
        <v>10801</v>
      </c>
      <c r="B2312" s="72" t="n">
        <v>45902.58263888889</v>
      </c>
      <c r="C2312" t="inlineStr">
        <is>
          <t>Risaralda</t>
        </is>
      </c>
      <c r="D2312" t="inlineStr">
        <is>
          <t>Pereira</t>
        </is>
      </c>
      <c r="E2312" t="inlineStr">
        <is>
          <t>Moda</t>
        </is>
      </c>
      <c r="F2312" t="inlineStr">
        <is>
          <t>Tienda física</t>
        </is>
      </c>
      <c r="G2312" t="inlineStr">
        <is>
          <t>3. Pago</t>
        </is>
      </c>
      <c r="H2312" t="n">
        <v>3</v>
      </c>
      <c r="I2312" s="73" t="n">
        <v>146300</v>
      </c>
      <c r="J2312" s="73" t="n">
        <v>438900</v>
      </c>
      <c r="K2312" s="73" t="n">
        <v>304917</v>
      </c>
    </row>
    <row r="2313">
      <c r="A2313" t="n">
        <v>10975</v>
      </c>
      <c r="B2313" s="72" t="n">
        <v>45902.76041666666</v>
      </c>
      <c r="C2313" t="inlineStr">
        <is>
          <t>Valle del Cauca</t>
        </is>
      </c>
      <c r="D2313" t="inlineStr">
        <is>
          <t>Cali</t>
        </is>
      </c>
      <c r="E2313" t="inlineStr">
        <is>
          <t>Juguetes</t>
        </is>
      </c>
      <c r="F2313" t="inlineStr">
        <is>
          <t>Tienda física</t>
        </is>
      </c>
      <c r="G2313" t="inlineStr">
        <is>
          <t>2. Carrito</t>
        </is>
      </c>
      <c r="H2313" t="n">
        <v>2</v>
      </c>
      <c r="I2313" s="73" t="n">
        <v>93100</v>
      </c>
      <c r="J2313" s="73" t="n">
        <v>186200</v>
      </c>
      <c r="K2313" s="73" t="n">
        <v>107519</v>
      </c>
    </row>
    <row r="2314">
      <c r="A2314" t="n">
        <v>11697</v>
      </c>
      <c r="B2314" s="72" t="n">
        <v>45902.76875</v>
      </c>
      <c r="C2314" t="inlineStr">
        <is>
          <t>Valle del Cauca</t>
        </is>
      </c>
      <c r="D2314" t="inlineStr">
        <is>
          <t>Cali</t>
        </is>
      </c>
      <c r="E2314" t="inlineStr">
        <is>
          <t>Juguetes</t>
        </is>
      </c>
      <c r="F2314" t="inlineStr">
        <is>
          <t>Marketplace</t>
        </is>
      </c>
      <c r="G2314" t="inlineStr">
        <is>
          <t>1. Visita</t>
        </is>
      </c>
      <c r="H2314" t="n">
        <v>1</v>
      </c>
      <c r="I2314" s="73" t="n">
        <v>79600</v>
      </c>
      <c r="J2314" s="73" t="n">
        <v>79600</v>
      </c>
      <c r="K2314" s="73" t="n">
        <v>52250</v>
      </c>
    </row>
    <row r="2315">
      <c r="A2315" t="n">
        <v>12008</v>
      </c>
      <c r="B2315" s="72" t="n">
        <v>45903.41597222222</v>
      </c>
      <c r="C2315" t="inlineStr">
        <is>
          <t>Valle del Cauca</t>
        </is>
      </c>
      <c r="D2315" t="inlineStr">
        <is>
          <t>Cali</t>
        </is>
      </c>
      <c r="E2315" t="inlineStr">
        <is>
          <t>Moda</t>
        </is>
      </c>
      <c r="F2315" t="inlineStr">
        <is>
          <t>Marketplace</t>
        </is>
      </c>
      <c r="G2315" t="inlineStr">
        <is>
          <t>2. Carrito</t>
        </is>
      </c>
      <c r="H2315" t="n">
        <v>4</v>
      </c>
      <c r="I2315" s="73" t="n">
        <v>103700</v>
      </c>
      <c r="J2315" s="73" t="n">
        <v>414800</v>
      </c>
      <c r="K2315" s="73" t="n">
        <v>234643</v>
      </c>
    </row>
    <row r="2316">
      <c r="A2316" t="n">
        <v>11079</v>
      </c>
      <c r="B2316" s="72" t="n">
        <v>45903.55833333333</v>
      </c>
      <c r="C2316" t="inlineStr">
        <is>
          <t>Santander</t>
        </is>
      </c>
      <c r="D2316" t="inlineStr">
        <is>
          <t>Bucaramanga</t>
        </is>
      </c>
      <c r="E2316" t="inlineStr">
        <is>
          <t>Moda</t>
        </is>
      </c>
      <c r="F2316" t="inlineStr">
        <is>
          <t>Marketplace</t>
        </is>
      </c>
      <c r="G2316" t="inlineStr">
        <is>
          <t>1. Visita</t>
        </is>
      </c>
      <c r="H2316" t="n">
        <v>4</v>
      </c>
      <c r="I2316" s="73" t="n">
        <v>88100</v>
      </c>
      <c r="J2316" s="73" t="n">
        <v>352400</v>
      </c>
      <c r="K2316" s="73" t="n">
        <v>244771</v>
      </c>
    </row>
    <row r="2317">
      <c r="A2317" t="n">
        <v>10435</v>
      </c>
      <c r="B2317" s="72" t="n">
        <v>45903.775</v>
      </c>
      <c r="C2317" t="inlineStr">
        <is>
          <t>Bogotá D.C.</t>
        </is>
      </c>
      <c r="D2317" t="inlineStr">
        <is>
          <t>Bogotá</t>
        </is>
      </c>
      <c r="E2317" t="inlineStr">
        <is>
          <t>Tecnología</t>
        </is>
      </c>
      <c r="F2317" t="inlineStr">
        <is>
          <t>Web</t>
        </is>
      </c>
      <c r="G2317" t="inlineStr">
        <is>
          <t>1. Visita</t>
        </is>
      </c>
      <c r="H2317" t="n">
        <v>2</v>
      </c>
      <c r="I2317" s="73" t="n">
        <v>634200</v>
      </c>
      <c r="J2317" s="73" t="n">
        <v>1268400</v>
      </c>
      <c r="K2317" s="73" t="n">
        <v>899801</v>
      </c>
    </row>
    <row r="2318">
      <c r="A2318" t="n">
        <v>11642</v>
      </c>
      <c r="B2318" s="72" t="n">
        <v>45903.8625</v>
      </c>
      <c r="C2318" t="inlineStr">
        <is>
          <t>Antioquia</t>
        </is>
      </c>
      <c r="D2318" t="inlineStr">
        <is>
          <t>Medellín</t>
        </is>
      </c>
      <c r="E2318" t="inlineStr">
        <is>
          <t>Deportes</t>
        </is>
      </c>
      <c r="F2318" t="inlineStr">
        <is>
          <t>Web</t>
        </is>
      </c>
      <c r="G2318" t="inlineStr">
        <is>
          <t>3. Pago</t>
        </is>
      </c>
      <c r="H2318" t="n">
        <v>5</v>
      </c>
      <c r="I2318" s="73" t="n">
        <v>127200</v>
      </c>
      <c r="J2318" s="73" t="n">
        <v>636000</v>
      </c>
      <c r="K2318" s="73" t="n">
        <v>424716</v>
      </c>
    </row>
    <row r="2319">
      <c r="A2319" t="n">
        <v>11233</v>
      </c>
      <c r="B2319" s="72" t="n">
        <v>45903.91597222222</v>
      </c>
      <c r="C2319" t="inlineStr">
        <is>
          <t>Bolívar</t>
        </is>
      </c>
      <c r="D2319" t="inlineStr">
        <is>
          <t>Cartagena</t>
        </is>
      </c>
      <c r="E2319" t="inlineStr">
        <is>
          <t>Belleza</t>
        </is>
      </c>
      <c r="F2319" t="inlineStr">
        <is>
          <t>App</t>
        </is>
      </c>
      <c r="G2319" t="inlineStr">
        <is>
          <t>1. Visita</t>
        </is>
      </c>
      <c r="H2319" t="n">
        <v>1</v>
      </c>
      <c r="I2319" s="73" t="n">
        <v>59800</v>
      </c>
      <c r="J2319" s="73" t="n">
        <v>59800</v>
      </c>
      <c r="K2319" s="73" t="n">
        <v>35969</v>
      </c>
    </row>
    <row r="2320">
      <c r="A2320" t="n">
        <v>10531</v>
      </c>
      <c r="B2320" s="72" t="n">
        <v>45903.97152777778</v>
      </c>
      <c r="C2320" t="inlineStr">
        <is>
          <t>Atlántico</t>
        </is>
      </c>
      <c r="D2320" t="inlineStr">
        <is>
          <t>Barranquilla</t>
        </is>
      </c>
      <c r="E2320" t="inlineStr">
        <is>
          <t>Moda</t>
        </is>
      </c>
      <c r="F2320" t="inlineStr">
        <is>
          <t>App</t>
        </is>
      </c>
      <c r="G2320" t="inlineStr">
        <is>
          <t>1. Visita</t>
        </is>
      </c>
      <c r="H2320" t="n">
        <v>5</v>
      </c>
      <c r="I2320" s="73" t="n">
        <v>96000</v>
      </c>
      <c r="J2320" s="73" t="n">
        <v>480000</v>
      </c>
      <c r="K2320" s="73" t="n">
        <v>331839</v>
      </c>
    </row>
    <row r="2321">
      <c r="A2321" t="n">
        <v>11104</v>
      </c>
      <c r="B2321" s="72" t="n">
        <v>45904.0125</v>
      </c>
      <c r="C2321" t="inlineStr">
        <is>
          <t>Antioquia</t>
        </is>
      </c>
      <c r="D2321" t="inlineStr">
        <is>
          <t>Medellín</t>
        </is>
      </c>
      <c r="E2321" t="inlineStr">
        <is>
          <t>Hogar</t>
        </is>
      </c>
      <c r="F2321" t="inlineStr">
        <is>
          <t>Tienda física</t>
        </is>
      </c>
      <c r="G2321" t="inlineStr">
        <is>
          <t>1. Visita</t>
        </is>
      </c>
      <c r="H2321" t="n">
        <v>5</v>
      </c>
      <c r="I2321" s="73" t="n">
        <v>220100</v>
      </c>
      <c r="J2321" s="73" t="n">
        <v>1100500</v>
      </c>
      <c r="K2321" s="73" t="n">
        <v>685152</v>
      </c>
    </row>
    <row r="2322">
      <c r="A2322" t="n">
        <v>11980</v>
      </c>
      <c r="B2322" s="72" t="n">
        <v>45904.26388888889</v>
      </c>
      <c r="C2322" t="inlineStr">
        <is>
          <t>Antioquia</t>
        </is>
      </c>
      <c r="D2322" t="inlineStr">
        <is>
          <t>Medellín</t>
        </is>
      </c>
      <c r="E2322" t="inlineStr">
        <is>
          <t>Belleza</t>
        </is>
      </c>
      <c r="F2322" t="inlineStr">
        <is>
          <t>App</t>
        </is>
      </c>
      <c r="G2322" t="inlineStr">
        <is>
          <t>1. Visita</t>
        </is>
      </c>
      <c r="H2322" t="n">
        <v>2</v>
      </c>
      <c r="I2322" s="73" t="n">
        <v>67800</v>
      </c>
      <c r="J2322" s="73" t="n">
        <v>135600</v>
      </c>
      <c r="K2322" s="73" t="n">
        <v>96601</v>
      </c>
    </row>
    <row r="2323">
      <c r="A2323" t="n">
        <v>10574</v>
      </c>
      <c r="B2323" s="72" t="n">
        <v>45904.35902777778</v>
      </c>
      <c r="C2323" t="inlineStr">
        <is>
          <t>Atlántico</t>
        </is>
      </c>
      <c r="D2323" t="inlineStr">
        <is>
          <t>Barranquilla</t>
        </is>
      </c>
      <c r="E2323" t="inlineStr">
        <is>
          <t>Juguetes</t>
        </is>
      </c>
      <c r="F2323" t="inlineStr">
        <is>
          <t>App</t>
        </is>
      </c>
      <c r="G2323" t="inlineStr">
        <is>
          <t>3. Pago</t>
        </is>
      </c>
      <c r="H2323" t="n">
        <v>4</v>
      </c>
      <c r="I2323" s="73" t="n">
        <v>96300</v>
      </c>
      <c r="J2323" s="73" t="n">
        <v>385200</v>
      </c>
      <c r="K2323" s="73" t="n">
        <v>229216</v>
      </c>
    </row>
    <row r="2324">
      <c r="A2324" t="n">
        <v>11617</v>
      </c>
      <c r="B2324" s="72" t="n">
        <v>45904.56805555556</v>
      </c>
      <c r="C2324" t="inlineStr">
        <is>
          <t>Santander</t>
        </is>
      </c>
      <c r="D2324" t="inlineStr">
        <is>
          <t>Bucaramanga</t>
        </is>
      </c>
      <c r="E2324" t="inlineStr">
        <is>
          <t>Juguetes</t>
        </is>
      </c>
      <c r="F2324" t="inlineStr">
        <is>
          <t>Tienda física</t>
        </is>
      </c>
      <c r="G2324" t="inlineStr">
        <is>
          <t>4. Compra</t>
        </is>
      </c>
      <c r="H2324" t="n">
        <v>1</v>
      </c>
      <c r="I2324" s="73" t="n">
        <v>107700</v>
      </c>
      <c r="J2324" s="73" t="n">
        <v>107700</v>
      </c>
      <c r="K2324" s="73" t="n">
        <v>69215</v>
      </c>
    </row>
    <row r="2325">
      <c r="A2325" t="n">
        <v>10567</v>
      </c>
      <c r="B2325" s="72" t="n">
        <v>45904.64305555556</v>
      </c>
      <c r="C2325" t="inlineStr">
        <is>
          <t>Valle del Cauca</t>
        </is>
      </c>
      <c r="D2325" t="inlineStr">
        <is>
          <t>Cali</t>
        </is>
      </c>
      <c r="E2325" t="inlineStr">
        <is>
          <t>Moda</t>
        </is>
      </c>
      <c r="F2325" t="inlineStr">
        <is>
          <t>Tienda física</t>
        </is>
      </c>
      <c r="G2325" t="inlineStr">
        <is>
          <t>1. Visita</t>
        </is>
      </c>
      <c r="H2325" t="n">
        <v>3</v>
      </c>
      <c r="I2325" s="73" t="n">
        <v>91400</v>
      </c>
      <c r="J2325" s="73" t="n">
        <v>274200</v>
      </c>
      <c r="K2325" s="73" t="n">
        <v>185074</v>
      </c>
    </row>
    <row r="2326">
      <c r="A2326" t="n">
        <v>10327</v>
      </c>
      <c r="B2326" s="72" t="n">
        <v>45904.77777777778</v>
      </c>
      <c r="C2326" t="inlineStr">
        <is>
          <t>Bogotá D.C.</t>
        </is>
      </c>
      <c r="D2326" t="inlineStr">
        <is>
          <t>Bogotá</t>
        </is>
      </c>
      <c r="E2326" t="inlineStr">
        <is>
          <t>Moda</t>
        </is>
      </c>
      <c r="F2326" t="inlineStr">
        <is>
          <t>Web</t>
        </is>
      </c>
      <c r="G2326" t="inlineStr">
        <is>
          <t>1. Visita</t>
        </is>
      </c>
      <c r="H2326" t="n">
        <v>4</v>
      </c>
      <c r="I2326" s="73" t="n">
        <v>93100</v>
      </c>
      <c r="J2326" s="73" t="n">
        <v>372400</v>
      </c>
      <c r="K2326" s="73" t="n">
        <v>216490</v>
      </c>
    </row>
    <row r="2327">
      <c r="A2327" t="n">
        <v>11097</v>
      </c>
      <c r="B2327" s="72" t="n">
        <v>45904.82222222222</v>
      </c>
      <c r="C2327" t="inlineStr">
        <is>
          <t>Bogotá D.C.</t>
        </is>
      </c>
      <c r="D2327" t="inlineStr">
        <is>
          <t>Bogotá</t>
        </is>
      </c>
      <c r="E2327" t="inlineStr">
        <is>
          <t>Juguetes</t>
        </is>
      </c>
      <c r="F2327" t="inlineStr">
        <is>
          <t>Web</t>
        </is>
      </c>
      <c r="G2327" t="inlineStr">
        <is>
          <t>1. Visita</t>
        </is>
      </c>
      <c r="H2327" t="n">
        <v>2</v>
      </c>
      <c r="I2327" s="73" t="n">
        <v>90400</v>
      </c>
      <c r="J2327" s="73" t="n">
        <v>180800</v>
      </c>
      <c r="K2327" s="73" t="n">
        <v>125716</v>
      </c>
    </row>
    <row r="2328">
      <c r="A2328" t="n">
        <v>11663</v>
      </c>
      <c r="B2328" s="72" t="n">
        <v>45905.38541666666</v>
      </c>
      <c r="C2328" t="inlineStr">
        <is>
          <t>Antioquia</t>
        </is>
      </c>
      <c r="D2328" t="inlineStr">
        <is>
          <t>Medellín</t>
        </is>
      </c>
      <c r="E2328" t="inlineStr">
        <is>
          <t>Juguetes</t>
        </is>
      </c>
      <c r="F2328" t="inlineStr">
        <is>
          <t>App</t>
        </is>
      </c>
      <c r="G2328" t="inlineStr">
        <is>
          <t>1. Visita</t>
        </is>
      </c>
      <c r="H2328" t="n">
        <v>2</v>
      </c>
      <c r="I2328" s="73" t="n">
        <v>83600</v>
      </c>
      <c r="J2328" s="73" t="n">
        <v>192280</v>
      </c>
      <c r="K2328" s="73" t="n">
        <v>129877</v>
      </c>
    </row>
    <row r="2329">
      <c r="A2329" t="n">
        <v>12227</v>
      </c>
      <c r="B2329" s="72" t="n">
        <v>45905.73333333333</v>
      </c>
      <c r="C2329" t="inlineStr">
        <is>
          <t>Risaralda</t>
        </is>
      </c>
      <c r="D2329" t="inlineStr">
        <is>
          <t>Pereira</t>
        </is>
      </c>
      <c r="E2329" t="inlineStr">
        <is>
          <t>Juguetes</t>
        </is>
      </c>
      <c r="F2329" t="inlineStr">
        <is>
          <t>Tienda física</t>
        </is>
      </c>
      <c r="G2329" t="inlineStr">
        <is>
          <t>2. Carrito</t>
        </is>
      </c>
      <c r="H2329" t="n">
        <v>5</v>
      </c>
      <c r="I2329" s="73" t="n">
        <v>111100</v>
      </c>
      <c r="J2329" s="73" t="n">
        <v>638825</v>
      </c>
      <c r="K2329" s="73" t="n">
        <v>407557</v>
      </c>
    </row>
    <row r="2330">
      <c r="A2330" t="n">
        <v>11316</v>
      </c>
      <c r="B2330" s="72" t="n">
        <v>45906.42708333334</v>
      </c>
      <c r="C2330" t="inlineStr">
        <is>
          <t>Bogotá D.C.</t>
        </is>
      </c>
      <c r="D2330" t="inlineStr">
        <is>
          <t>Bogotá</t>
        </is>
      </c>
      <c r="E2330" t="inlineStr">
        <is>
          <t>Juguetes</t>
        </is>
      </c>
      <c r="F2330" t="inlineStr">
        <is>
          <t>Tienda física</t>
        </is>
      </c>
      <c r="G2330" t="inlineStr">
        <is>
          <t>4. Compra</t>
        </is>
      </c>
      <c r="H2330" t="n">
        <v>5</v>
      </c>
      <c r="I2330" s="73" t="n">
        <v>82700</v>
      </c>
      <c r="J2330" s="73" t="n">
        <v>475525</v>
      </c>
      <c r="K2330" s="73" t="n">
        <v>347992</v>
      </c>
    </row>
    <row r="2331">
      <c r="A2331" t="n">
        <v>10908</v>
      </c>
      <c r="B2331" s="72" t="n">
        <v>45906.54583333333</v>
      </c>
      <c r="C2331" t="inlineStr">
        <is>
          <t>Santander</t>
        </is>
      </c>
      <c r="D2331" t="inlineStr">
        <is>
          <t>Bucaramanga</t>
        </is>
      </c>
      <c r="E2331" t="inlineStr">
        <is>
          <t>Tecnología</t>
        </is>
      </c>
      <c r="F2331" t="inlineStr">
        <is>
          <t>Web</t>
        </is>
      </c>
      <c r="G2331" t="inlineStr">
        <is>
          <t>3. Pago</t>
        </is>
      </c>
      <c r="H2331" t="n">
        <v>2</v>
      </c>
      <c r="I2331" s="73" t="n">
        <v>924600</v>
      </c>
      <c r="J2331" s="73" t="n">
        <v>2126580</v>
      </c>
      <c r="K2331" s="73" t="n">
        <v>1256872</v>
      </c>
    </row>
    <row r="2332">
      <c r="A2332" t="n">
        <v>11813</v>
      </c>
      <c r="B2332" s="72" t="n">
        <v>45906.72708333333</v>
      </c>
      <c r="C2332" t="inlineStr">
        <is>
          <t>Valle del Cauca</t>
        </is>
      </c>
      <c r="D2332" t="inlineStr">
        <is>
          <t>Cali</t>
        </is>
      </c>
      <c r="E2332" t="inlineStr">
        <is>
          <t>Juguetes</t>
        </is>
      </c>
      <c r="F2332" t="inlineStr">
        <is>
          <t>Web</t>
        </is>
      </c>
      <c r="G2332" t="inlineStr">
        <is>
          <t>3. Pago</t>
        </is>
      </c>
      <c r="H2332" t="n">
        <v>3</v>
      </c>
      <c r="I2332" s="73" t="n">
        <v>103600</v>
      </c>
      <c r="J2332" s="73" t="n">
        <v>357420</v>
      </c>
      <c r="K2332" s="73" t="n">
        <v>240739</v>
      </c>
    </row>
    <row r="2333">
      <c r="A2333" t="n">
        <v>10236</v>
      </c>
      <c r="B2333" s="72" t="n">
        <v>45906.74375</v>
      </c>
      <c r="C2333" t="inlineStr">
        <is>
          <t>Nariño</t>
        </is>
      </c>
      <c r="D2333" t="inlineStr">
        <is>
          <t>Pasto</t>
        </is>
      </c>
      <c r="E2333" t="inlineStr">
        <is>
          <t>Juguetes</t>
        </is>
      </c>
      <c r="F2333" t="inlineStr">
        <is>
          <t>Tienda física</t>
        </is>
      </c>
      <c r="G2333" t="inlineStr">
        <is>
          <t>1. Visita</t>
        </is>
      </c>
      <c r="H2333" t="n">
        <v>2</v>
      </c>
      <c r="I2333" s="73" t="n">
        <v>69200</v>
      </c>
      <c r="J2333" s="73" t="n">
        <v>159160</v>
      </c>
      <c r="K2333" s="73" t="n">
        <v>89957</v>
      </c>
    </row>
    <row r="2334">
      <c r="A2334" t="n">
        <v>11445</v>
      </c>
      <c r="B2334" s="72" t="n">
        <v>45907.42916666667</v>
      </c>
      <c r="C2334" t="inlineStr">
        <is>
          <t>Bogotá D.C.</t>
        </is>
      </c>
      <c r="D2334" t="inlineStr">
        <is>
          <t>Bogotá</t>
        </is>
      </c>
      <c r="E2334" t="inlineStr">
        <is>
          <t>Hogar</t>
        </is>
      </c>
      <c r="F2334" t="inlineStr">
        <is>
          <t>Web</t>
        </is>
      </c>
      <c r="G2334" t="inlineStr">
        <is>
          <t>2. Carrito</t>
        </is>
      </c>
      <c r="H2334" t="n">
        <v>5</v>
      </c>
      <c r="I2334" s="73" t="n">
        <v>181800</v>
      </c>
      <c r="J2334" s="73" t="n">
        <v>1045350</v>
      </c>
      <c r="K2334" s="73" t="n">
        <v>646211</v>
      </c>
    </row>
    <row r="2335">
      <c r="A2335" t="n">
        <v>11541</v>
      </c>
      <c r="B2335" s="72" t="n">
        <v>45907.61597222222</v>
      </c>
      <c r="C2335" t="inlineStr">
        <is>
          <t>Santander</t>
        </is>
      </c>
      <c r="D2335" t="inlineStr">
        <is>
          <t>Bucaramanga</t>
        </is>
      </c>
      <c r="E2335" t="inlineStr">
        <is>
          <t>Tecnología</t>
        </is>
      </c>
      <c r="F2335" t="inlineStr">
        <is>
          <t>App</t>
        </is>
      </c>
      <c r="G2335" t="inlineStr">
        <is>
          <t>4. Compra</t>
        </is>
      </c>
      <c r="H2335" t="n">
        <v>3</v>
      </c>
      <c r="I2335" s="73" t="n">
        <v>657400</v>
      </c>
      <c r="J2335" s="73" t="n">
        <v>2268030</v>
      </c>
      <c r="K2335" s="73" t="n">
        <v>1485866</v>
      </c>
    </row>
    <row r="2336">
      <c r="A2336" t="n">
        <v>12317</v>
      </c>
      <c r="B2336" s="72" t="n">
        <v>45907.75763888889</v>
      </c>
      <c r="C2336" t="inlineStr">
        <is>
          <t>Bogotá D.C.</t>
        </is>
      </c>
      <c r="D2336" t="inlineStr">
        <is>
          <t>Bogotá</t>
        </is>
      </c>
      <c r="E2336" t="inlineStr">
        <is>
          <t>Deportes</t>
        </is>
      </c>
      <c r="F2336" t="inlineStr">
        <is>
          <t>Web</t>
        </is>
      </c>
      <c r="G2336" t="inlineStr">
        <is>
          <t>1. Visita</t>
        </is>
      </c>
      <c r="H2336" t="n">
        <v>5</v>
      </c>
      <c r="I2336" s="73" t="n">
        <v>140000</v>
      </c>
      <c r="J2336" s="73" t="n">
        <v>805000</v>
      </c>
      <c r="K2336" s="73" t="n">
        <v>520236</v>
      </c>
    </row>
    <row r="2337">
      <c r="A2337" t="n">
        <v>11791</v>
      </c>
      <c r="B2337" s="72" t="n">
        <v>45907.87430555555</v>
      </c>
      <c r="C2337" t="inlineStr">
        <is>
          <t>Bogotá D.C.</t>
        </is>
      </c>
      <c r="D2337" t="inlineStr">
        <is>
          <t>Bogotá</t>
        </is>
      </c>
      <c r="E2337" t="inlineStr">
        <is>
          <t>Deportes</t>
        </is>
      </c>
      <c r="F2337" t="inlineStr">
        <is>
          <t>App</t>
        </is>
      </c>
      <c r="G2337" t="inlineStr">
        <is>
          <t>3. Pago</t>
        </is>
      </c>
      <c r="H2337" t="n">
        <v>3</v>
      </c>
      <c r="I2337" s="73" t="n">
        <v>141200</v>
      </c>
      <c r="J2337" s="73" t="n">
        <v>487140</v>
      </c>
      <c r="K2337" s="73" t="n">
        <v>327986</v>
      </c>
    </row>
    <row r="2338">
      <c r="A2338" t="n">
        <v>12248</v>
      </c>
      <c r="B2338" s="72" t="n">
        <v>45908.56180555555</v>
      </c>
      <c r="C2338" t="inlineStr">
        <is>
          <t>Atlántico</t>
        </is>
      </c>
      <c r="D2338" t="inlineStr">
        <is>
          <t>Barranquilla</t>
        </is>
      </c>
      <c r="E2338" t="inlineStr">
        <is>
          <t>Tecnología</t>
        </is>
      </c>
      <c r="F2338" t="inlineStr">
        <is>
          <t>Tienda física</t>
        </is>
      </c>
      <c r="G2338" t="inlineStr">
        <is>
          <t>3. Pago</t>
        </is>
      </c>
      <c r="H2338" t="n">
        <v>5</v>
      </c>
      <c r="I2338" s="73" t="n">
        <v>982800</v>
      </c>
      <c r="J2338" s="73" t="n">
        <v>4914000</v>
      </c>
      <c r="K2338" s="73" t="n">
        <v>3381078</v>
      </c>
    </row>
    <row r="2339">
      <c r="A2339" t="n">
        <v>10112</v>
      </c>
      <c r="B2339" s="72" t="n">
        <v>45908.61666666667</v>
      </c>
      <c r="C2339" t="inlineStr">
        <is>
          <t>Santander</t>
        </is>
      </c>
      <c r="D2339" t="inlineStr">
        <is>
          <t>Bucaramanga</t>
        </is>
      </c>
      <c r="E2339" t="inlineStr">
        <is>
          <t>Tecnología</t>
        </is>
      </c>
      <c r="F2339" t="inlineStr">
        <is>
          <t>Tienda física</t>
        </is>
      </c>
      <c r="G2339" t="inlineStr">
        <is>
          <t>1. Visita</t>
        </is>
      </c>
      <c r="H2339" t="n">
        <v>5</v>
      </c>
      <c r="I2339" s="73" t="n">
        <v>748000</v>
      </c>
      <c r="J2339" s="73" t="n">
        <v>3740000</v>
      </c>
      <c r="K2339" s="73" t="n">
        <v>2302869</v>
      </c>
    </row>
    <row r="2340">
      <c r="A2340" t="n">
        <v>10494</v>
      </c>
      <c r="B2340" s="72" t="n">
        <v>45908.75763888889</v>
      </c>
      <c r="C2340" t="inlineStr">
        <is>
          <t>Bogotá D.C.</t>
        </is>
      </c>
      <c r="D2340" t="inlineStr">
        <is>
          <t>Bogotá</t>
        </is>
      </c>
      <c r="E2340" t="inlineStr">
        <is>
          <t>Deportes</t>
        </is>
      </c>
      <c r="F2340" t="inlineStr">
        <is>
          <t>App</t>
        </is>
      </c>
      <c r="G2340" t="inlineStr">
        <is>
          <t>1. Visita</t>
        </is>
      </c>
      <c r="H2340" t="n">
        <v>2</v>
      </c>
      <c r="I2340" s="73" t="n">
        <v>199500</v>
      </c>
      <c r="J2340" s="73" t="n">
        <v>399000</v>
      </c>
      <c r="K2340" s="73" t="n">
        <v>226668</v>
      </c>
    </row>
    <row r="2341">
      <c r="A2341" t="n">
        <v>11298</v>
      </c>
      <c r="B2341" s="72" t="n">
        <v>45908.80277777778</v>
      </c>
      <c r="C2341" t="inlineStr">
        <is>
          <t>Bogotá D.C.</t>
        </is>
      </c>
      <c r="D2341" t="inlineStr">
        <is>
          <t>Bogotá</t>
        </is>
      </c>
      <c r="E2341" t="inlineStr">
        <is>
          <t>Deportes</t>
        </is>
      </c>
      <c r="F2341" t="inlineStr">
        <is>
          <t>Web</t>
        </is>
      </c>
      <c r="G2341" t="inlineStr">
        <is>
          <t>2. Carrito</t>
        </is>
      </c>
      <c r="H2341" t="n">
        <v>2</v>
      </c>
      <c r="I2341" s="73" t="n">
        <v>172700</v>
      </c>
      <c r="J2341" s="73" t="n">
        <v>345400</v>
      </c>
      <c r="K2341" s="73" t="n">
        <v>231978</v>
      </c>
    </row>
    <row r="2342">
      <c r="A2342" t="n">
        <v>10032</v>
      </c>
      <c r="B2342" s="72" t="n">
        <v>45908.91111111111</v>
      </c>
      <c r="C2342" t="inlineStr">
        <is>
          <t>Bogotá D.C.</t>
        </is>
      </c>
      <c r="D2342" t="inlineStr">
        <is>
          <t>Bogotá</t>
        </is>
      </c>
      <c r="E2342" t="inlineStr">
        <is>
          <t>Deportes</t>
        </is>
      </c>
      <c r="F2342" t="inlineStr">
        <is>
          <t>App</t>
        </is>
      </c>
      <c r="G2342" t="inlineStr">
        <is>
          <t>3. Pago</t>
        </is>
      </c>
      <c r="H2342" t="n">
        <v>5</v>
      </c>
      <c r="I2342" s="73" t="n">
        <v>201200</v>
      </c>
      <c r="J2342" s="73" t="n">
        <v>1006000</v>
      </c>
      <c r="K2342" s="73" t="n">
        <v>626807</v>
      </c>
    </row>
    <row r="2343">
      <c r="A2343" t="n">
        <v>12062</v>
      </c>
      <c r="B2343" s="72" t="n">
        <v>45908.95277777778</v>
      </c>
      <c r="C2343" t="inlineStr">
        <is>
          <t>Bolívar</t>
        </is>
      </c>
      <c r="D2343" t="inlineStr">
        <is>
          <t>Cartagena</t>
        </is>
      </c>
      <c r="E2343" t="inlineStr">
        <is>
          <t>Moda</t>
        </is>
      </c>
      <c r="F2343" t="inlineStr">
        <is>
          <t>Tienda física</t>
        </is>
      </c>
      <c r="G2343" t="inlineStr">
        <is>
          <t>3. Pago</t>
        </is>
      </c>
      <c r="H2343" t="n">
        <v>3</v>
      </c>
      <c r="I2343" s="73" t="n">
        <v>122300</v>
      </c>
      <c r="J2343" s="73" t="n">
        <v>366900</v>
      </c>
      <c r="K2343" s="73" t="n">
        <v>232419</v>
      </c>
    </row>
    <row r="2344">
      <c r="A2344" t="n">
        <v>10079</v>
      </c>
      <c r="B2344" s="72" t="n">
        <v>45909.36111111111</v>
      </c>
      <c r="C2344" t="inlineStr">
        <is>
          <t>Bogotá D.C.</t>
        </is>
      </c>
      <c r="D2344" t="inlineStr">
        <is>
          <t>Bogotá</t>
        </is>
      </c>
      <c r="E2344" t="inlineStr">
        <is>
          <t>Juguetes</t>
        </is>
      </c>
      <c r="F2344" t="inlineStr">
        <is>
          <t>App</t>
        </is>
      </c>
      <c r="G2344" t="inlineStr">
        <is>
          <t>4. Compra</t>
        </is>
      </c>
      <c r="H2344" t="n">
        <v>4</v>
      </c>
      <c r="I2344" s="73" t="n">
        <v>93700</v>
      </c>
      <c r="J2344" s="73" t="n">
        <v>374800</v>
      </c>
      <c r="K2344" s="73" t="n">
        <v>214635</v>
      </c>
    </row>
    <row r="2345">
      <c r="A2345" t="n">
        <v>11126</v>
      </c>
      <c r="B2345" s="72" t="n">
        <v>45909.47916666666</v>
      </c>
      <c r="C2345" t="inlineStr">
        <is>
          <t>Atlántico</t>
        </is>
      </c>
      <c r="D2345" t="inlineStr">
        <is>
          <t>Barranquilla</t>
        </is>
      </c>
      <c r="E2345" t="inlineStr">
        <is>
          <t>Moda</t>
        </is>
      </c>
      <c r="F2345" t="inlineStr">
        <is>
          <t>App</t>
        </is>
      </c>
      <c r="G2345" t="inlineStr">
        <is>
          <t>1. Visita</t>
        </is>
      </c>
      <c r="H2345" t="n">
        <v>1</v>
      </c>
      <c r="I2345" s="73" t="n">
        <v>125000</v>
      </c>
      <c r="J2345" s="73" t="n">
        <v>125000</v>
      </c>
      <c r="K2345" s="73" t="n">
        <v>72510</v>
      </c>
    </row>
    <row r="2346">
      <c r="A2346" t="n">
        <v>10653</v>
      </c>
      <c r="B2346" s="72" t="n">
        <v>45909.60763888889</v>
      </c>
      <c r="C2346" t="inlineStr">
        <is>
          <t>Valle del Cauca</t>
        </is>
      </c>
      <c r="D2346" t="inlineStr">
        <is>
          <t>Cali</t>
        </is>
      </c>
      <c r="E2346" t="inlineStr">
        <is>
          <t>Deportes</t>
        </is>
      </c>
      <c r="F2346" t="inlineStr">
        <is>
          <t>Tienda física</t>
        </is>
      </c>
      <c r="G2346" t="inlineStr">
        <is>
          <t>3. Pago</t>
        </is>
      </c>
      <c r="H2346" t="n">
        <v>2</v>
      </c>
      <c r="I2346" s="73" t="n">
        <v>175900</v>
      </c>
      <c r="J2346" s="73" t="n">
        <v>351800</v>
      </c>
      <c r="K2346" s="73" t="n">
        <v>219286</v>
      </c>
    </row>
    <row r="2347">
      <c r="A2347" t="n">
        <v>11959</v>
      </c>
      <c r="B2347" s="72" t="n">
        <v>45909.76875</v>
      </c>
      <c r="C2347" t="inlineStr">
        <is>
          <t>Santander</t>
        </is>
      </c>
      <c r="D2347" t="inlineStr">
        <is>
          <t>Bucaramanga</t>
        </is>
      </c>
      <c r="E2347" t="inlineStr">
        <is>
          <t>Juguetes</t>
        </is>
      </c>
      <c r="F2347" t="inlineStr">
        <is>
          <t>Tienda física</t>
        </is>
      </c>
      <c r="G2347" t="inlineStr">
        <is>
          <t>1. Visita</t>
        </is>
      </c>
      <c r="H2347" t="n">
        <v>1</v>
      </c>
      <c r="I2347" s="73" t="n">
        <v>71600</v>
      </c>
      <c r="J2347" s="73" t="n">
        <v>71600</v>
      </c>
      <c r="K2347" s="73" t="n">
        <v>47318</v>
      </c>
    </row>
    <row r="2348">
      <c r="A2348" t="n">
        <v>11467</v>
      </c>
      <c r="B2348" s="72" t="n">
        <v>45910.45694444444</v>
      </c>
      <c r="C2348" t="inlineStr">
        <is>
          <t>Antioquia</t>
        </is>
      </c>
      <c r="D2348" t="inlineStr">
        <is>
          <t>Medellín</t>
        </is>
      </c>
      <c r="E2348" t="inlineStr">
        <is>
          <t>Tecnología</t>
        </is>
      </c>
      <c r="F2348" t="inlineStr">
        <is>
          <t>Marketplace</t>
        </is>
      </c>
      <c r="G2348" t="inlineStr">
        <is>
          <t>4. Compra</t>
        </is>
      </c>
      <c r="H2348" t="n">
        <v>1</v>
      </c>
      <c r="I2348" s="73" t="n">
        <v>1060500</v>
      </c>
      <c r="J2348" s="73" t="n">
        <v>1060500</v>
      </c>
      <c r="K2348" s="73" t="n">
        <v>692784</v>
      </c>
    </row>
    <row r="2349">
      <c r="A2349" t="n">
        <v>10171</v>
      </c>
      <c r="B2349" s="72" t="n">
        <v>45910.47638888889</v>
      </c>
      <c r="C2349" t="inlineStr">
        <is>
          <t>Meta</t>
        </is>
      </c>
      <c r="D2349" t="inlineStr">
        <is>
          <t>Villavicencio</t>
        </is>
      </c>
      <c r="E2349" t="inlineStr">
        <is>
          <t>Tecnología</t>
        </is>
      </c>
      <c r="F2349" t="inlineStr">
        <is>
          <t>Marketplace</t>
        </is>
      </c>
      <c r="G2349" t="inlineStr">
        <is>
          <t>3. Pago</t>
        </is>
      </c>
      <c r="H2349" t="n">
        <v>3</v>
      </c>
      <c r="I2349" s="73" t="n">
        <v>790000</v>
      </c>
      <c r="J2349" s="73" t="n">
        <v>2370000</v>
      </c>
      <c r="K2349" s="73" t="n">
        <v>1668565</v>
      </c>
    </row>
    <row r="2350">
      <c r="A2350" t="n">
        <v>12037</v>
      </c>
      <c r="B2350" s="72" t="n">
        <v>45910.54097222222</v>
      </c>
      <c r="C2350" t="inlineStr">
        <is>
          <t>Nariño</t>
        </is>
      </c>
      <c r="D2350" t="inlineStr">
        <is>
          <t>Pasto</t>
        </is>
      </c>
      <c r="E2350" t="inlineStr">
        <is>
          <t>Tecnología</t>
        </is>
      </c>
      <c r="F2350" t="inlineStr">
        <is>
          <t>Web</t>
        </is>
      </c>
      <c r="G2350" t="inlineStr">
        <is>
          <t>4. Compra</t>
        </is>
      </c>
      <c r="H2350" t="n">
        <v>5</v>
      </c>
      <c r="I2350" s="73" t="n">
        <v>796400</v>
      </c>
      <c r="J2350" s="73" t="n">
        <v>3982000</v>
      </c>
      <c r="K2350" s="73" t="n">
        <v>2290982</v>
      </c>
    </row>
    <row r="2351">
      <c r="A2351" t="n">
        <v>10987</v>
      </c>
      <c r="B2351" s="72" t="n">
        <v>45911.65486111111</v>
      </c>
      <c r="C2351" t="inlineStr">
        <is>
          <t>Atlántico</t>
        </is>
      </c>
      <c r="D2351" t="inlineStr">
        <is>
          <t>Barranquilla</t>
        </is>
      </c>
      <c r="E2351" t="inlineStr">
        <is>
          <t>Moda</t>
        </is>
      </c>
      <c r="F2351" t="inlineStr">
        <is>
          <t>Web</t>
        </is>
      </c>
      <c r="G2351" t="inlineStr">
        <is>
          <t>1. Visita</t>
        </is>
      </c>
      <c r="H2351" t="n">
        <v>2</v>
      </c>
      <c r="I2351" s="73" t="n">
        <v>94300</v>
      </c>
      <c r="J2351" s="73" t="n">
        <v>188600</v>
      </c>
      <c r="K2351" s="73" t="n">
        <v>137730</v>
      </c>
    </row>
    <row r="2352">
      <c r="A2352" t="n">
        <v>10231</v>
      </c>
      <c r="B2352" s="72" t="n">
        <v>45911.85</v>
      </c>
      <c r="C2352" t="inlineStr">
        <is>
          <t>Antioquia</t>
        </is>
      </c>
      <c r="D2352" t="inlineStr">
        <is>
          <t>Medellín</t>
        </is>
      </c>
      <c r="E2352" t="inlineStr">
        <is>
          <t>Moda</t>
        </is>
      </c>
      <c r="F2352" t="inlineStr">
        <is>
          <t>Tienda física</t>
        </is>
      </c>
      <c r="G2352" t="inlineStr">
        <is>
          <t>1. Visita</t>
        </is>
      </c>
      <c r="H2352" t="n">
        <v>3</v>
      </c>
      <c r="I2352" s="73" t="n">
        <v>124200</v>
      </c>
      <c r="J2352" s="73" t="n">
        <v>372600</v>
      </c>
      <c r="K2352" s="73" t="n">
        <v>224175</v>
      </c>
    </row>
    <row r="2353">
      <c r="A2353" t="n">
        <v>11816</v>
      </c>
      <c r="B2353" s="72" t="n">
        <v>45911.87708333333</v>
      </c>
      <c r="C2353" t="inlineStr">
        <is>
          <t>Valle del Cauca</t>
        </is>
      </c>
      <c r="D2353" t="inlineStr">
        <is>
          <t>Cali</t>
        </is>
      </c>
      <c r="E2353" t="inlineStr">
        <is>
          <t>Tecnología</t>
        </is>
      </c>
      <c r="F2353" t="inlineStr">
        <is>
          <t>Web</t>
        </is>
      </c>
      <c r="G2353" t="inlineStr">
        <is>
          <t>2. Carrito</t>
        </is>
      </c>
      <c r="H2353" t="n">
        <v>5</v>
      </c>
      <c r="I2353" s="73" t="n">
        <v>883100</v>
      </c>
      <c r="J2353" s="73" t="n">
        <v>4415500</v>
      </c>
      <c r="K2353" s="73" t="n">
        <v>3120532</v>
      </c>
    </row>
    <row r="2354">
      <c r="A2354" t="n">
        <v>11381</v>
      </c>
      <c r="B2354" s="72" t="n">
        <v>45912.41319444445</v>
      </c>
      <c r="C2354" t="inlineStr">
        <is>
          <t>Santander</t>
        </is>
      </c>
      <c r="D2354" t="inlineStr">
        <is>
          <t>Bucaramanga</t>
        </is>
      </c>
      <c r="E2354" t="inlineStr">
        <is>
          <t>Belleza</t>
        </is>
      </c>
      <c r="F2354" t="inlineStr">
        <is>
          <t>Tienda física</t>
        </is>
      </c>
      <c r="G2354" t="inlineStr">
        <is>
          <t>3. Pago</t>
        </is>
      </c>
      <c r="H2354" t="n">
        <v>5</v>
      </c>
      <c r="I2354" s="73" t="n">
        <v>71200</v>
      </c>
      <c r="J2354" s="73" t="n">
        <v>409400</v>
      </c>
      <c r="K2354" s="73" t="n">
        <v>303039</v>
      </c>
    </row>
    <row r="2355">
      <c r="A2355" t="n">
        <v>10980</v>
      </c>
      <c r="B2355" s="72" t="n">
        <v>45913.50555555556</v>
      </c>
      <c r="C2355" t="inlineStr">
        <is>
          <t>Valle del Cauca</t>
        </is>
      </c>
      <c r="D2355" t="inlineStr">
        <is>
          <t>Cali</t>
        </is>
      </c>
      <c r="E2355" t="inlineStr">
        <is>
          <t>Juguetes</t>
        </is>
      </c>
      <c r="F2355" t="inlineStr">
        <is>
          <t>App</t>
        </is>
      </c>
      <c r="G2355" t="inlineStr">
        <is>
          <t>1. Visita</t>
        </is>
      </c>
      <c r="H2355" t="n">
        <v>2</v>
      </c>
      <c r="I2355" s="73" t="n">
        <v>76400</v>
      </c>
      <c r="J2355" s="73" t="n">
        <v>175720</v>
      </c>
      <c r="K2355" s="73" t="n">
        <v>107542</v>
      </c>
    </row>
    <row r="2356">
      <c r="A2356" t="n">
        <v>11027</v>
      </c>
      <c r="B2356" s="72" t="n">
        <v>45913.50763888889</v>
      </c>
      <c r="C2356" t="inlineStr">
        <is>
          <t>Meta</t>
        </is>
      </c>
      <c r="D2356" t="inlineStr">
        <is>
          <t>Villavicencio</t>
        </is>
      </c>
      <c r="E2356" t="inlineStr">
        <is>
          <t>Tecnología</t>
        </is>
      </c>
      <c r="F2356" t="inlineStr">
        <is>
          <t>Web</t>
        </is>
      </c>
      <c r="G2356" t="inlineStr">
        <is>
          <t>2. Carrito</t>
        </is>
      </c>
      <c r="H2356" t="n">
        <v>1</v>
      </c>
      <c r="I2356" s="73" t="n">
        <v>963300</v>
      </c>
      <c r="J2356" s="73" t="n">
        <v>1107795</v>
      </c>
      <c r="K2356" s="73" t="n">
        <v>788659</v>
      </c>
    </row>
    <row r="2357">
      <c r="A2357" t="n">
        <v>10173</v>
      </c>
      <c r="B2357" s="72" t="n">
        <v>45913.60277777778</v>
      </c>
      <c r="C2357" t="inlineStr">
        <is>
          <t>Risaralda</t>
        </is>
      </c>
      <c r="D2357" t="inlineStr">
        <is>
          <t>Pereira</t>
        </is>
      </c>
      <c r="E2357" t="inlineStr">
        <is>
          <t>Deportes</t>
        </is>
      </c>
      <c r="F2357" t="inlineStr">
        <is>
          <t>Web</t>
        </is>
      </c>
      <c r="G2357" t="inlineStr">
        <is>
          <t>1. Visita</t>
        </is>
      </c>
      <c r="H2357" t="n">
        <v>5</v>
      </c>
      <c r="I2357" s="73" t="n">
        <v>183700</v>
      </c>
      <c r="J2357" s="73" t="n">
        <v>1056275</v>
      </c>
      <c r="K2357" s="73" t="n">
        <v>596805</v>
      </c>
    </row>
    <row r="2358">
      <c r="A2358" t="n">
        <v>11596</v>
      </c>
      <c r="B2358" s="72" t="n">
        <v>45913.60763888889</v>
      </c>
      <c r="C2358" t="inlineStr">
        <is>
          <t>Antioquia</t>
        </is>
      </c>
      <c r="D2358" t="inlineStr">
        <is>
          <t>Medellín</t>
        </is>
      </c>
      <c r="E2358" t="inlineStr">
        <is>
          <t>Hogar</t>
        </is>
      </c>
      <c r="F2358" t="inlineStr">
        <is>
          <t>Tienda física</t>
        </is>
      </c>
      <c r="G2358" t="inlineStr">
        <is>
          <t>3. Pago</t>
        </is>
      </c>
      <c r="H2358" t="n">
        <v>4</v>
      </c>
      <c r="I2358" s="73" t="n">
        <v>218000</v>
      </c>
      <c r="J2358" s="73" t="n">
        <v>1002800</v>
      </c>
      <c r="K2358" s="73" t="n">
        <v>744657</v>
      </c>
    </row>
    <row r="2359">
      <c r="A2359" t="n">
        <v>10214</v>
      </c>
      <c r="B2359" s="72" t="n">
        <v>45913.77638888889</v>
      </c>
      <c r="C2359" t="inlineStr">
        <is>
          <t>Santander</t>
        </is>
      </c>
      <c r="D2359" t="inlineStr">
        <is>
          <t>Bucaramanga</t>
        </is>
      </c>
      <c r="E2359" t="inlineStr">
        <is>
          <t>Deportes</t>
        </is>
      </c>
      <c r="F2359" t="inlineStr">
        <is>
          <t>App</t>
        </is>
      </c>
      <c r="G2359" t="inlineStr">
        <is>
          <t>3. Pago</t>
        </is>
      </c>
      <c r="H2359" t="n">
        <v>5</v>
      </c>
      <c r="I2359" s="73" t="n">
        <v>145000</v>
      </c>
      <c r="J2359" s="73" t="n">
        <v>833750</v>
      </c>
      <c r="K2359" s="73" t="n">
        <v>494584</v>
      </c>
    </row>
    <row r="2360">
      <c r="A2360" t="n">
        <v>11028</v>
      </c>
      <c r="B2360" s="72" t="n">
        <v>45914.025</v>
      </c>
      <c r="C2360" t="inlineStr">
        <is>
          <t>Antioquia</t>
        </is>
      </c>
      <c r="D2360" t="inlineStr">
        <is>
          <t>Medellín</t>
        </is>
      </c>
      <c r="E2360" t="inlineStr">
        <is>
          <t>Tecnología</t>
        </is>
      </c>
      <c r="F2360" t="inlineStr">
        <is>
          <t>Web</t>
        </is>
      </c>
      <c r="G2360" t="inlineStr">
        <is>
          <t>1. Visita</t>
        </is>
      </c>
      <c r="H2360" t="n">
        <v>3</v>
      </c>
      <c r="I2360" s="73" t="n">
        <v>983400</v>
      </c>
      <c r="J2360" s="73" t="n">
        <v>3392730</v>
      </c>
      <c r="K2360" s="73" t="n">
        <v>2515427</v>
      </c>
    </row>
    <row r="2361">
      <c r="A2361" t="n">
        <v>10860</v>
      </c>
      <c r="B2361" s="72" t="n">
        <v>45914.3125</v>
      </c>
      <c r="C2361" t="inlineStr">
        <is>
          <t>Antioquia</t>
        </is>
      </c>
      <c r="D2361" t="inlineStr">
        <is>
          <t>Medellín</t>
        </is>
      </c>
      <c r="E2361" t="inlineStr">
        <is>
          <t>Juguetes</t>
        </is>
      </c>
      <c r="F2361" t="inlineStr">
        <is>
          <t>App</t>
        </is>
      </c>
      <c r="G2361" t="inlineStr">
        <is>
          <t>1. Visita</t>
        </is>
      </c>
      <c r="H2361" t="n">
        <v>3</v>
      </c>
      <c r="I2361" s="73" t="n">
        <v>107500</v>
      </c>
      <c r="J2361" s="73" t="n">
        <v>370875</v>
      </c>
      <c r="K2361" s="73" t="n">
        <v>257646</v>
      </c>
    </row>
    <row r="2362">
      <c r="A2362" t="n">
        <v>11221</v>
      </c>
      <c r="B2362" s="72" t="n">
        <v>45914.38958333333</v>
      </c>
      <c r="C2362" t="inlineStr">
        <is>
          <t>Bogotá D.C.</t>
        </is>
      </c>
      <c r="D2362" t="inlineStr">
        <is>
          <t>Bogotá</t>
        </is>
      </c>
      <c r="E2362" t="inlineStr">
        <is>
          <t>Tecnología</t>
        </is>
      </c>
      <c r="F2362" t="inlineStr">
        <is>
          <t>App</t>
        </is>
      </c>
      <c r="G2362" t="inlineStr">
        <is>
          <t>4. Compra</t>
        </is>
      </c>
      <c r="H2362" t="n">
        <v>1</v>
      </c>
      <c r="I2362" s="73" t="n">
        <v>646100</v>
      </c>
      <c r="J2362" s="73" t="n">
        <v>743015</v>
      </c>
      <c r="K2362" s="73" t="n">
        <v>547532</v>
      </c>
    </row>
    <row r="2363">
      <c r="A2363" t="n">
        <v>10004</v>
      </c>
      <c r="B2363" s="72" t="n">
        <v>45914.72291666667</v>
      </c>
      <c r="C2363" t="inlineStr">
        <is>
          <t>Bogotá D.C.</t>
        </is>
      </c>
      <c r="D2363" t="inlineStr">
        <is>
          <t>Bogotá</t>
        </is>
      </c>
      <c r="E2363" t="inlineStr">
        <is>
          <t>Deportes</t>
        </is>
      </c>
      <c r="F2363" t="inlineStr">
        <is>
          <t>Web</t>
        </is>
      </c>
      <c r="G2363" t="inlineStr">
        <is>
          <t>2. Carrito</t>
        </is>
      </c>
      <c r="H2363" t="n">
        <v>5</v>
      </c>
      <c r="I2363" s="73" t="n">
        <v>195300</v>
      </c>
      <c r="J2363" s="73" t="n">
        <v>1122975</v>
      </c>
      <c r="K2363" s="73" t="n">
        <v>679882</v>
      </c>
    </row>
    <row r="2364">
      <c r="A2364" t="n">
        <v>12251</v>
      </c>
      <c r="B2364" s="72" t="n">
        <v>45914.73541666667</v>
      </c>
      <c r="C2364" t="inlineStr">
        <is>
          <t>Meta</t>
        </is>
      </c>
      <c r="D2364" t="inlineStr">
        <is>
          <t>Villavicencio</t>
        </is>
      </c>
      <c r="E2364" t="inlineStr">
        <is>
          <t>Deportes</t>
        </is>
      </c>
      <c r="F2364" t="inlineStr">
        <is>
          <t>Tienda física</t>
        </is>
      </c>
      <c r="G2364" t="inlineStr">
        <is>
          <t>2. Carrito</t>
        </is>
      </c>
      <c r="H2364" t="n">
        <v>4</v>
      </c>
      <c r="I2364" s="73" t="n">
        <v>132800</v>
      </c>
      <c r="J2364" s="73" t="n">
        <v>610880</v>
      </c>
      <c r="K2364" s="73" t="n">
        <v>413470</v>
      </c>
    </row>
    <row r="2365">
      <c r="A2365" t="n">
        <v>10218</v>
      </c>
      <c r="B2365" s="72" t="n">
        <v>45915.43402777778</v>
      </c>
      <c r="C2365" t="inlineStr">
        <is>
          <t>Bogotá D.C.</t>
        </is>
      </c>
      <c r="D2365" t="inlineStr">
        <is>
          <t>Bogotá</t>
        </is>
      </c>
      <c r="E2365" t="inlineStr">
        <is>
          <t>Moda</t>
        </is>
      </c>
      <c r="F2365" t="inlineStr">
        <is>
          <t>Web</t>
        </is>
      </c>
      <c r="G2365" t="inlineStr">
        <is>
          <t>4. Compra</t>
        </is>
      </c>
      <c r="H2365" t="n">
        <v>2</v>
      </c>
      <c r="I2365" s="73" t="n">
        <v>142700</v>
      </c>
      <c r="J2365" s="73" t="n">
        <v>285400</v>
      </c>
      <c r="K2365" s="73" t="n">
        <v>157933</v>
      </c>
    </row>
    <row r="2366">
      <c r="A2366" t="n">
        <v>12117</v>
      </c>
      <c r="B2366" s="72" t="n">
        <v>45915.52013888889</v>
      </c>
      <c r="C2366" t="inlineStr">
        <is>
          <t>Bolívar</t>
        </is>
      </c>
      <c r="D2366" t="inlineStr">
        <is>
          <t>Cartagena</t>
        </is>
      </c>
      <c r="E2366" t="inlineStr">
        <is>
          <t>Belleza</t>
        </is>
      </c>
      <c r="F2366" t="inlineStr">
        <is>
          <t>Web</t>
        </is>
      </c>
      <c r="G2366" t="inlineStr">
        <is>
          <t>1. Visita</t>
        </is>
      </c>
      <c r="H2366" t="n">
        <v>1</v>
      </c>
      <c r="I2366" s="73" t="n">
        <v>81700</v>
      </c>
      <c r="J2366" s="73" t="n">
        <v>81700</v>
      </c>
      <c r="K2366" s="73" t="n">
        <v>50022</v>
      </c>
    </row>
    <row r="2367">
      <c r="A2367" t="n">
        <v>10968</v>
      </c>
      <c r="B2367" s="72" t="n">
        <v>45915.67222222222</v>
      </c>
      <c r="C2367" t="inlineStr">
        <is>
          <t>Valle del Cauca</t>
        </is>
      </c>
      <c r="D2367" t="inlineStr">
        <is>
          <t>Cali</t>
        </is>
      </c>
      <c r="E2367" t="inlineStr">
        <is>
          <t>Belleza</t>
        </is>
      </c>
      <c r="F2367" t="inlineStr">
        <is>
          <t>App</t>
        </is>
      </c>
      <c r="G2367" t="inlineStr">
        <is>
          <t>3. Pago</t>
        </is>
      </c>
      <c r="H2367" t="n">
        <v>4</v>
      </c>
      <c r="I2367" s="73" t="n">
        <v>65100</v>
      </c>
      <c r="J2367" s="73" t="n">
        <v>260400</v>
      </c>
      <c r="K2367" s="73" t="n">
        <v>162495</v>
      </c>
    </row>
    <row r="2368">
      <c r="A2368" t="n">
        <v>11973</v>
      </c>
      <c r="B2368" s="72" t="n">
        <v>45915.82777777778</v>
      </c>
      <c r="C2368" t="inlineStr">
        <is>
          <t>Atlántico</t>
        </is>
      </c>
      <c r="D2368" t="inlineStr">
        <is>
          <t>Barranquilla</t>
        </is>
      </c>
      <c r="E2368" t="inlineStr">
        <is>
          <t>Juguetes</t>
        </is>
      </c>
      <c r="F2368" t="inlineStr">
        <is>
          <t>Web</t>
        </is>
      </c>
      <c r="G2368" t="inlineStr">
        <is>
          <t>1. Visita</t>
        </is>
      </c>
      <c r="H2368" t="n">
        <v>2</v>
      </c>
      <c r="I2368" s="73" t="n">
        <v>64200</v>
      </c>
      <c r="J2368" s="73" t="n">
        <v>128400</v>
      </c>
      <c r="K2368" s="73" t="n">
        <v>72461</v>
      </c>
    </row>
    <row r="2369">
      <c r="A2369" t="n">
        <v>12136</v>
      </c>
      <c r="B2369" s="72" t="n">
        <v>45915.90555555555</v>
      </c>
      <c r="C2369" t="inlineStr">
        <is>
          <t>Bolívar</t>
        </is>
      </c>
      <c r="D2369" t="inlineStr">
        <is>
          <t>Cartagena</t>
        </is>
      </c>
      <c r="E2369" t="inlineStr">
        <is>
          <t>Hogar</t>
        </is>
      </c>
      <c r="F2369" t="inlineStr">
        <is>
          <t>Tienda física</t>
        </is>
      </c>
      <c r="G2369" t="inlineStr">
        <is>
          <t>2. Carrito</t>
        </is>
      </c>
      <c r="H2369" t="n">
        <v>3</v>
      </c>
      <c r="I2369" s="73" t="n">
        <v>253900</v>
      </c>
      <c r="J2369" s="73" t="n">
        <v>761700</v>
      </c>
      <c r="K2369" s="73" t="n">
        <v>462594</v>
      </c>
    </row>
    <row r="2370">
      <c r="A2370" t="n">
        <v>12371</v>
      </c>
      <c r="B2370" s="72" t="n">
        <v>45916.54027777778</v>
      </c>
      <c r="C2370" t="inlineStr">
        <is>
          <t>Nariño</t>
        </is>
      </c>
      <c r="D2370" t="inlineStr">
        <is>
          <t>Pasto</t>
        </is>
      </c>
      <c r="E2370" t="inlineStr">
        <is>
          <t>Hogar</t>
        </is>
      </c>
      <c r="F2370" t="inlineStr">
        <is>
          <t>Tienda física</t>
        </is>
      </c>
      <c r="G2370" t="inlineStr">
        <is>
          <t>1. Visita</t>
        </is>
      </c>
      <c r="H2370" t="n">
        <v>2</v>
      </c>
      <c r="I2370" s="73" t="n">
        <v>160500</v>
      </c>
      <c r="J2370" s="73" t="n">
        <v>321000</v>
      </c>
      <c r="K2370" s="73" t="n">
        <v>213837</v>
      </c>
    </row>
    <row r="2371">
      <c r="A2371" t="n">
        <v>11887</v>
      </c>
      <c r="B2371" s="72" t="n">
        <v>45916.78680555556</v>
      </c>
      <c r="C2371" t="inlineStr">
        <is>
          <t>Antioquia</t>
        </is>
      </c>
      <c r="D2371" t="inlineStr">
        <is>
          <t>Medellín</t>
        </is>
      </c>
      <c r="E2371" t="inlineStr">
        <is>
          <t>Juguetes</t>
        </is>
      </c>
      <c r="F2371" t="inlineStr">
        <is>
          <t>Marketplace</t>
        </is>
      </c>
      <c r="G2371" t="inlineStr">
        <is>
          <t>1. Visita</t>
        </is>
      </c>
      <c r="H2371" t="n">
        <v>2</v>
      </c>
      <c r="I2371" s="73" t="n">
        <v>95400</v>
      </c>
      <c r="J2371" s="73" t="n">
        <v>190800</v>
      </c>
      <c r="K2371" s="73" t="n">
        <v>106177</v>
      </c>
    </row>
    <row r="2372">
      <c r="A2372" t="n">
        <v>11912</v>
      </c>
      <c r="B2372" s="72" t="n">
        <v>45916.89166666667</v>
      </c>
      <c r="C2372" t="inlineStr">
        <is>
          <t>Bogotá D.C.</t>
        </is>
      </c>
      <c r="D2372" t="inlineStr">
        <is>
          <t>Bogotá</t>
        </is>
      </c>
      <c r="E2372" t="inlineStr">
        <is>
          <t>Belleza</t>
        </is>
      </c>
      <c r="F2372" t="inlineStr">
        <is>
          <t>Web</t>
        </is>
      </c>
      <c r="G2372" t="inlineStr">
        <is>
          <t>1. Visita</t>
        </is>
      </c>
      <c r="H2372" t="n">
        <v>2</v>
      </c>
      <c r="I2372" s="73" t="n">
        <v>82500</v>
      </c>
      <c r="J2372" s="73" t="n">
        <v>165000</v>
      </c>
      <c r="K2372" s="73" t="n">
        <v>100217</v>
      </c>
    </row>
    <row r="2373">
      <c r="A2373" t="n">
        <v>12133</v>
      </c>
      <c r="B2373" s="72" t="n">
        <v>45917.72013888889</v>
      </c>
      <c r="C2373" t="inlineStr">
        <is>
          <t>Antioquia</t>
        </is>
      </c>
      <c r="D2373" t="inlineStr">
        <is>
          <t>Medellín</t>
        </is>
      </c>
      <c r="E2373" t="inlineStr">
        <is>
          <t>Deportes</t>
        </is>
      </c>
      <c r="F2373" t="inlineStr">
        <is>
          <t>Marketplace</t>
        </is>
      </c>
      <c r="G2373" t="inlineStr">
        <is>
          <t>1. Visita</t>
        </is>
      </c>
      <c r="H2373" t="n">
        <v>1</v>
      </c>
      <c r="I2373" s="73" t="n">
        <v>188100</v>
      </c>
      <c r="J2373" s="73" t="n">
        <v>188100</v>
      </c>
      <c r="K2373" s="73" t="n">
        <v>129988</v>
      </c>
    </row>
    <row r="2374">
      <c r="A2374" t="n">
        <v>11745</v>
      </c>
      <c r="B2374" s="72" t="n">
        <v>45917.72777777778</v>
      </c>
      <c r="C2374" t="inlineStr">
        <is>
          <t>Bogotá D.C.</t>
        </is>
      </c>
      <c r="D2374" t="inlineStr">
        <is>
          <t>Bogotá</t>
        </is>
      </c>
      <c r="E2374" t="inlineStr">
        <is>
          <t>Moda</t>
        </is>
      </c>
      <c r="F2374" t="inlineStr">
        <is>
          <t>Marketplace</t>
        </is>
      </c>
      <c r="G2374" t="inlineStr">
        <is>
          <t>1. Visita</t>
        </is>
      </c>
      <c r="H2374" t="n">
        <v>2</v>
      </c>
      <c r="I2374" s="73" t="n">
        <v>148700</v>
      </c>
      <c r="J2374" s="73" t="n">
        <v>297400</v>
      </c>
      <c r="K2374" s="73" t="n">
        <v>175673</v>
      </c>
    </row>
    <row r="2375">
      <c r="A2375" t="n">
        <v>12272</v>
      </c>
      <c r="B2375" s="72" t="n">
        <v>45918.43680555555</v>
      </c>
      <c r="C2375" t="inlineStr">
        <is>
          <t>Bogotá D.C.</t>
        </is>
      </c>
      <c r="D2375" t="inlineStr">
        <is>
          <t>Bogotá</t>
        </is>
      </c>
      <c r="E2375" t="inlineStr">
        <is>
          <t>Moda</t>
        </is>
      </c>
      <c r="F2375" t="inlineStr">
        <is>
          <t>Tienda física</t>
        </is>
      </c>
      <c r="G2375" t="inlineStr">
        <is>
          <t>1. Visita</t>
        </is>
      </c>
      <c r="H2375" t="n">
        <v>4</v>
      </c>
      <c r="I2375" s="73" t="n">
        <v>121200</v>
      </c>
      <c r="J2375" s="73" t="n">
        <v>484800</v>
      </c>
      <c r="K2375" s="73" t="n">
        <v>313413</v>
      </c>
    </row>
    <row r="2376">
      <c r="A2376" t="n">
        <v>11235</v>
      </c>
      <c r="B2376" s="72" t="n">
        <v>45918.57361111111</v>
      </c>
      <c r="C2376" t="inlineStr">
        <is>
          <t>Huila</t>
        </is>
      </c>
      <c r="D2376" t="inlineStr">
        <is>
          <t>Neiva</t>
        </is>
      </c>
      <c r="E2376" t="inlineStr">
        <is>
          <t>Moda</t>
        </is>
      </c>
      <c r="F2376" t="inlineStr">
        <is>
          <t>Tienda física</t>
        </is>
      </c>
      <c r="G2376" t="inlineStr">
        <is>
          <t>2. Carrito</t>
        </is>
      </c>
      <c r="H2376" t="n">
        <v>4</v>
      </c>
      <c r="I2376" s="73" t="n">
        <v>96700</v>
      </c>
      <c r="J2376" s="73" t="n">
        <v>386800</v>
      </c>
      <c r="K2376" s="73" t="n">
        <v>264599</v>
      </c>
    </row>
    <row r="2377">
      <c r="A2377" t="n">
        <v>10444</v>
      </c>
      <c r="B2377" s="72" t="n">
        <v>45918.89583333334</v>
      </c>
      <c r="C2377" t="inlineStr">
        <is>
          <t>Santander</t>
        </is>
      </c>
      <c r="D2377" t="inlineStr">
        <is>
          <t>Bucaramanga</t>
        </is>
      </c>
      <c r="E2377" t="inlineStr">
        <is>
          <t>Hogar</t>
        </is>
      </c>
      <c r="F2377" t="inlineStr">
        <is>
          <t>Tienda física</t>
        </is>
      </c>
      <c r="G2377" t="inlineStr">
        <is>
          <t>1. Visita</t>
        </is>
      </c>
      <c r="H2377" t="n">
        <v>3</v>
      </c>
      <c r="I2377" s="73" t="n">
        <v>236900</v>
      </c>
      <c r="J2377" s="73" t="n">
        <v>710700</v>
      </c>
      <c r="K2377" s="73" t="n">
        <v>435860</v>
      </c>
    </row>
    <row r="2378">
      <c r="A2378" t="n">
        <v>12127</v>
      </c>
      <c r="B2378" s="72" t="n">
        <v>45919.70208333333</v>
      </c>
      <c r="C2378" t="inlineStr">
        <is>
          <t>Bogotá D.C.</t>
        </is>
      </c>
      <c r="D2378" t="inlineStr">
        <is>
          <t>Bogotá</t>
        </is>
      </c>
      <c r="E2378" t="inlineStr">
        <is>
          <t>Tecnología</t>
        </is>
      </c>
      <c r="F2378" t="inlineStr">
        <is>
          <t>Tienda física</t>
        </is>
      </c>
      <c r="G2378" t="inlineStr">
        <is>
          <t>1. Visita</t>
        </is>
      </c>
      <c r="H2378" t="n">
        <v>3</v>
      </c>
      <c r="I2378" s="73" t="n">
        <v>993200</v>
      </c>
      <c r="J2378" s="73" t="n">
        <v>3426540</v>
      </c>
      <c r="K2378" s="73" t="n">
        <v>2019966</v>
      </c>
    </row>
    <row r="2379">
      <c r="A2379" t="n">
        <v>10522</v>
      </c>
      <c r="B2379" s="72" t="n">
        <v>45919.72986111111</v>
      </c>
      <c r="C2379" t="inlineStr">
        <is>
          <t>Bogotá D.C.</t>
        </is>
      </c>
      <c r="D2379" t="inlineStr">
        <is>
          <t>Bogotá</t>
        </is>
      </c>
      <c r="E2379" t="inlineStr">
        <is>
          <t>Tecnología</t>
        </is>
      </c>
      <c r="F2379" t="inlineStr">
        <is>
          <t>App</t>
        </is>
      </c>
      <c r="G2379" t="inlineStr">
        <is>
          <t>1. Visita</t>
        </is>
      </c>
      <c r="H2379" t="n">
        <v>3</v>
      </c>
      <c r="I2379" s="73" t="n">
        <v>841400</v>
      </c>
      <c r="J2379" s="73" t="n">
        <v>2902830</v>
      </c>
      <c r="K2379" s="73" t="n">
        <v>1945356</v>
      </c>
    </row>
    <row r="2380">
      <c r="A2380" t="n">
        <v>10969</v>
      </c>
      <c r="B2380" s="72" t="n">
        <v>45919.87847222222</v>
      </c>
      <c r="C2380" t="inlineStr">
        <is>
          <t>Antioquia</t>
        </is>
      </c>
      <c r="D2380" t="inlineStr">
        <is>
          <t>Medellín</t>
        </is>
      </c>
      <c r="E2380" t="inlineStr">
        <is>
          <t>Tecnología</t>
        </is>
      </c>
      <c r="F2380" t="inlineStr">
        <is>
          <t>Tienda física</t>
        </is>
      </c>
      <c r="G2380" t="inlineStr">
        <is>
          <t>3. Pago</t>
        </is>
      </c>
      <c r="H2380" t="n">
        <v>1</v>
      </c>
      <c r="I2380" s="73" t="n">
        <v>717400</v>
      </c>
      <c r="J2380" s="73" t="n">
        <v>825010</v>
      </c>
      <c r="K2380" s="73" t="n">
        <v>472611</v>
      </c>
    </row>
    <row r="2381">
      <c r="A2381" t="n">
        <v>10270</v>
      </c>
      <c r="B2381" s="72" t="n">
        <v>45919.91597222222</v>
      </c>
      <c r="C2381" t="inlineStr">
        <is>
          <t>Antioquia</t>
        </is>
      </c>
      <c r="D2381" t="inlineStr">
        <is>
          <t>Medellín</t>
        </is>
      </c>
      <c r="E2381" t="inlineStr">
        <is>
          <t>Juguetes</t>
        </is>
      </c>
      <c r="F2381" t="inlineStr">
        <is>
          <t>Web</t>
        </is>
      </c>
      <c r="G2381" t="inlineStr">
        <is>
          <t>4. Compra</t>
        </is>
      </c>
      <c r="H2381" t="n">
        <v>2</v>
      </c>
      <c r="I2381" s="73" t="n">
        <v>79600</v>
      </c>
      <c r="J2381" s="73" t="n">
        <v>183080</v>
      </c>
      <c r="K2381" s="73" t="n">
        <v>114998</v>
      </c>
    </row>
    <row r="2382">
      <c r="A2382" t="n">
        <v>10960</v>
      </c>
      <c r="B2382" s="72" t="n">
        <v>45920.30416666667</v>
      </c>
      <c r="C2382" t="inlineStr">
        <is>
          <t>Bogotá D.C.</t>
        </is>
      </c>
      <c r="D2382" t="inlineStr">
        <is>
          <t>Bogotá</t>
        </is>
      </c>
      <c r="E2382" t="inlineStr">
        <is>
          <t>Tecnología</t>
        </is>
      </c>
      <c r="F2382" t="inlineStr">
        <is>
          <t>Tienda física</t>
        </is>
      </c>
      <c r="G2382" t="inlineStr">
        <is>
          <t>4. Compra</t>
        </is>
      </c>
      <c r="H2382" t="n">
        <v>5</v>
      </c>
      <c r="I2382" s="73" t="n">
        <v>747800</v>
      </c>
      <c r="J2382" s="73" t="n">
        <v>4299850</v>
      </c>
      <c r="K2382" s="73" t="n">
        <v>2475818</v>
      </c>
    </row>
    <row r="2383">
      <c r="A2383" t="n">
        <v>11646</v>
      </c>
      <c r="B2383" s="72" t="n">
        <v>45920.50555555556</v>
      </c>
      <c r="C2383" t="inlineStr">
        <is>
          <t>Bogotá D.C.</t>
        </is>
      </c>
      <c r="D2383" t="inlineStr">
        <is>
          <t>Bogotá</t>
        </is>
      </c>
      <c r="E2383" t="inlineStr">
        <is>
          <t>Moda</t>
        </is>
      </c>
      <c r="F2383" t="inlineStr">
        <is>
          <t>App</t>
        </is>
      </c>
      <c r="G2383" t="inlineStr">
        <is>
          <t>2. Carrito</t>
        </is>
      </c>
      <c r="H2383" t="n">
        <v>2</v>
      </c>
      <c r="I2383" s="73" t="n">
        <v>139300</v>
      </c>
      <c r="J2383" s="73" t="n">
        <v>320390</v>
      </c>
      <c r="K2383" s="73" t="n">
        <v>234922</v>
      </c>
    </row>
    <row r="2384">
      <c r="A2384" t="n">
        <v>12150</v>
      </c>
      <c r="B2384" s="72" t="n">
        <v>45920.63958333333</v>
      </c>
      <c r="C2384" t="inlineStr">
        <is>
          <t>Bogotá D.C.</t>
        </is>
      </c>
      <c r="D2384" t="inlineStr">
        <is>
          <t>Bogotá</t>
        </is>
      </c>
      <c r="E2384" t="inlineStr">
        <is>
          <t>Tecnología</t>
        </is>
      </c>
      <c r="F2384" t="inlineStr">
        <is>
          <t>App</t>
        </is>
      </c>
      <c r="G2384" t="inlineStr">
        <is>
          <t>2. Carrito</t>
        </is>
      </c>
      <c r="H2384" t="n">
        <v>3</v>
      </c>
      <c r="I2384" s="73" t="n">
        <v>699600</v>
      </c>
      <c r="J2384" s="73" t="n">
        <v>2413620</v>
      </c>
      <c r="K2384" s="73" t="n">
        <v>1805131</v>
      </c>
    </row>
    <row r="2385">
      <c r="A2385" t="n">
        <v>11483</v>
      </c>
      <c r="B2385" s="72" t="n">
        <v>45920.84236111111</v>
      </c>
      <c r="C2385" t="inlineStr">
        <is>
          <t>Bogotá D.C.</t>
        </is>
      </c>
      <c r="D2385" t="inlineStr">
        <is>
          <t>Bogotá</t>
        </is>
      </c>
      <c r="E2385" t="inlineStr">
        <is>
          <t>Deportes</t>
        </is>
      </c>
      <c r="F2385" t="inlineStr">
        <is>
          <t>Marketplace</t>
        </is>
      </c>
      <c r="G2385" t="inlineStr">
        <is>
          <t>4. Compra</t>
        </is>
      </c>
      <c r="H2385" t="n">
        <v>4</v>
      </c>
      <c r="I2385" s="73" t="n">
        <v>202000</v>
      </c>
      <c r="J2385" s="73" t="n">
        <v>929200</v>
      </c>
      <c r="K2385" s="73" t="n">
        <v>516805</v>
      </c>
    </row>
    <row r="2386">
      <c r="A2386" t="n">
        <v>10783</v>
      </c>
      <c r="B2386" s="72" t="n">
        <v>45920.87986111111</v>
      </c>
      <c r="C2386" t="inlineStr">
        <is>
          <t>Atlántico</t>
        </is>
      </c>
      <c r="D2386" t="inlineStr">
        <is>
          <t>Barranquilla</t>
        </is>
      </c>
      <c r="E2386" t="inlineStr">
        <is>
          <t>Hogar</t>
        </is>
      </c>
      <c r="F2386" t="inlineStr">
        <is>
          <t>Web</t>
        </is>
      </c>
      <c r="G2386" t="inlineStr">
        <is>
          <t>1. Visita</t>
        </is>
      </c>
      <c r="H2386" t="n">
        <v>4</v>
      </c>
      <c r="I2386" s="73" t="n">
        <v>190500</v>
      </c>
      <c r="J2386" s="73" t="n">
        <v>876300</v>
      </c>
      <c r="K2386" s="73" t="n">
        <v>636266</v>
      </c>
    </row>
    <row r="2387">
      <c r="A2387" t="n">
        <v>12174</v>
      </c>
      <c r="B2387" s="72" t="n">
        <v>45920.9125</v>
      </c>
      <c r="C2387" t="inlineStr">
        <is>
          <t>Antioquia</t>
        </is>
      </c>
      <c r="D2387" t="inlineStr">
        <is>
          <t>Medellín</t>
        </is>
      </c>
      <c r="E2387" t="inlineStr">
        <is>
          <t>Belleza</t>
        </is>
      </c>
      <c r="F2387" t="inlineStr">
        <is>
          <t>Web</t>
        </is>
      </c>
      <c r="G2387" t="inlineStr">
        <is>
          <t>3. Pago</t>
        </is>
      </c>
      <c r="H2387" t="n">
        <v>1</v>
      </c>
      <c r="I2387" s="73" t="n">
        <v>52500</v>
      </c>
      <c r="J2387" s="73" t="n">
        <v>60375</v>
      </c>
      <c r="K2387" s="73" t="n">
        <v>43028</v>
      </c>
    </row>
    <row r="2388">
      <c r="A2388" t="n">
        <v>12275</v>
      </c>
      <c r="B2388" s="72" t="n">
        <v>45920.95069444444</v>
      </c>
      <c r="C2388" t="inlineStr">
        <is>
          <t>Bogotá D.C.</t>
        </is>
      </c>
      <c r="D2388" t="inlineStr">
        <is>
          <t>Bogotá</t>
        </is>
      </c>
      <c r="E2388" t="inlineStr">
        <is>
          <t>Tecnología</t>
        </is>
      </c>
      <c r="F2388" t="inlineStr">
        <is>
          <t>Web</t>
        </is>
      </c>
      <c r="G2388" t="inlineStr">
        <is>
          <t>3. Pago</t>
        </is>
      </c>
      <c r="H2388" t="n">
        <v>4</v>
      </c>
      <c r="I2388" s="73" t="n">
        <v>999700</v>
      </c>
      <c r="J2388" s="73" t="n">
        <v>4598620</v>
      </c>
      <c r="K2388" s="73" t="n">
        <v>2663845</v>
      </c>
    </row>
    <row r="2389">
      <c r="A2389" t="n">
        <v>12180</v>
      </c>
      <c r="B2389" s="72" t="n">
        <v>45921.25486111111</v>
      </c>
      <c r="C2389" t="inlineStr">
        <is>
          <t>Santander</t>
        </is>
      </c>
      <c r="D2389" t="inlineStr">
        <is>
          <t>Bucaramanga</t>
        </is>
      </c>
      <c r="E2389" t="inlineStr">
        <is>
          <t>Belleza</t>
        </is>
      </c>
      <c r="F2389" t="inlineStr">
        <is>
          <t>Tienda física</t>
        </is>
      </c>
      <c r="G2389" t="inlineStr">
        <is>
          <t>3. Pago</t>
        </is>
      </c>
      <c r="H2389" t="n">
        <v>5</v>
      </c>
      <c r="I2389" s="73" t="n">
        <v>88100</v>
      </c>
      <c r="J2389" s="73" t="n">
        <v>506575</v>
      </c>
      <c r="K2389" s="73" t="n">
        <v>325348</v>
      </c>
    </row>
    <row r="2390">
      <c r="A2390" t="n">
        <v>10907</v>
      </c>
      <c r="B2390" s="72" t="n">
        <v>45921.53819444445</v>
      </c>
      <c r="C2390" t="inlineStr">
        <is>
          <t>Antioquia</t>
        </is>
      </c>
      <c r="D2390" t="inlineStr">
        <is>
          <t>Medellín</t>
        </is>
      </c>
      <c r="E2390" t="inlineStr">
        <is>
          <t>Juguetes</t>
        </is>
      </c>
      <c r="F2390" t="inlineStr">
        <is>
          <t>App</t>
        </is>
      </c>
      <c r="G2390" t="inlineStr">
        <is>
          <t>3. Pago</t>
        </is>
      </c>
      <c r="H2390" t="n">
        <v>5</v>
      </c>
      <c r="I2390" s="73" t="n">
        <v>104800</v>
      </c>
      <c r="J2390" s="73" t="n">
        <v>602600</v>
      </c>
      <c r="K2390" s="73" t="n">
        <v>394715</v>
      </c>
    </row>
    <row r="2391">
      <c r="A2391" t="n">
        <v>12054</v>
      </c>
      <c r="B2391" s="72" t="n">
        <v>45921.55486111111</v>
      </c>
      <c r="C2391" t="inlineStr">
        <is>
          <t>Antioquia</t>
        </is>
      </c>
      <c r="D2391" t="inlineStr">
        <is>
          <t>Medellín</t>
        </is>
      </c>
      <c r="E2391" t="inlineStr">
        <is>
          <t>Deportes</t>
        </is>
      </c>
      <c r="F2391" t="inlineStr">
        <is>
          <t>Tienda física</t>
        </is>
      </c>
      <c r="G2391" t="inlineStr">
        <is>
          <t>2. Carrito</t>
        </is>
      </c>
      <c r="H2391" t="n">
        <v>4</v>
      </c>
      <c r="I2391" s="73" t="n">
        <v>124500</v>
      </c>
      <c r="J2391" s="73" t="n">
        <v>572700</v>
      </c>
      <c r="K2391" s="73" t="n">
        <v>342839</v>
      </c>
    </row>
    <row r="2392">
      <c r="A2392" t="n">
        <v>10273</v>
      </c>
      <c r="B2392" s="72" t="n">
        <v>45921.66527777778</v>
      </c>
      <c r="C2392" t="inlineStr">
        <is>
          <t>Bogotá D.C.</t>
        </is>
      </c>
      <c r="D2392" t="inlineStr">
        <is>
          <t>Bogotá</t>
        </is>
      </c>
      <c r="E2392" t="inlineStr">
        <is>
          <t>Tecnología</t>
        </is>
      </c>
      <c r="F2392" t="inlineStr">
        <is>
          <t>Web</t>
        </is>
      </c>
      <c r="G2392" t="inlineStr">
        <is>
          <t>1. Visita</t>
        </is>
      </c>
      <c r="H2392" t="n">
        <v>4</v>
      </c>
      <c r="I2392" s="73" t="n">
        <v>1048300</v>
      </c>
      <c r="J2392" s="73" t="n">
        <v>4822180</v>
      </c>
      <c r="K2392" s="73" t="n">
        <v>3046341</v>
      </c>
    </row>
    <row r="2393">
      <c r="A2393" t="n">
        <v>11872</v>
      </c>
      <c r="B2393" s="72" t="n">
        <v>45921.81041666667</v>
      </c>
      <c r="C2393" t="inlineStr">
        <is>
          <t>Bogotá D.C.</t>
        </is>
      </c>
      <c r="D2393" t="inlineStr">
        <is>
          <t>Bogotá</t>
        </is>
      </c>
      <c r="E2393" t="inlineStr">
        <is>
          <t>Deportes</t>
        </is>
      </c>
      <c r="F2393" t="inlineStr">
        <is>
          <t>Web</t>
        </is>
      </c>
      <c r="G2393" t="inlineStr">
        <is>
          <t>1. Visita</t>
        </is>
      </c>
      <c r="H2393" t="n">
        <v>5</v>
      </c>
      <c r="I2393" s="73" t="n">
        <v>153800</v>
      </c>
      <c r="J2393" s="73" t="n">
        <v>884350</v>
      </c>
      <c r="K2393" s="73" t="n">
        <v>639125</v>
      </c>
    </row>
    <row r="2394">
      <c r="A2394" t="n">
        <v>10159</v>
      </c>
      <c r="B2394" s="72" t="n">
        <v>45922.39375</v>
      </c>
      <c r="C2394" t="inlineStr">
        <is>
          <t>Bogotá D.C.</t>
        </is>
      </c>
      <c r="D2394" t="inlineStr">
        <is>
          <t>Bogotá</t>
        </is>
      </c>
      <c r="E2394" t="inlineStr">
        <is>
          <t>Juguetes</t>
        </is>
      </c>
      <c r="F2394" t="inlineStr">
        <is>
          <t>Web</t>
        </is>
      </c>
      <c r="G2394" t="inlineStr">
        <is>
          <t>1. Visita</t>
        </is>
      </c>
      <c r="H2394" t="n">
        <v>3</v>
      </c>
      <c r="I2394" s="73" t="n">
        <v>94400</v>
      </c>
      <c r="J2394" s="73" t="n">
        <v>283200</v>
      </c>
      <c r="K2394" s="73" t="n">
        <v>175150</v>
      </c>
    </row>
    <row r="2395">
      <c r="A2395" t="n">
        <v>11308</v>
      </c>
      <c r="B2395" s="72" t="n">
        <v>45922.57361111111</v>
      </c>
      <c r="C2395" t="inlineStr">
        <is>
          <t>Santander</t>
        </is>
      </c>
      <c r="D2395" t="inlineStr">
        <is>
          <t>Bucaramanga</t>
        </is>
      </c>
      <c r="E2395" t="inlineStr">
        <is>
          <t>Deportes</t>
        </is>
      </c>
      <c r="F2395" t="inlineStr">
        <is>
          <t>Tienda física</t>
        </is>
      </c>
      <c r="G2395" t="inlineStr">
        <is>
          <t>1. Visita</t>
        </is>
      </c>
      <c r="H2395" t="n">
        <v>1</v>
      </c>
      <c r="I2395" s="73" t="n">
        <v>135600</v>
      </c>
      <c r="J2395" s="73" t="n">
        <v>135600</v>
      </c>
      <c r="K2395" s="73" t="n">
        <v>100910</v>
      </c>
    </row>
    <row r="2396">
      <c r="A2396" t="n">
        <v>10350</v>
      </c>
      <c r="B2396" s="72" t="n">
        <v>45922.64583333334</v>
      </c>
      <c r="C2396" t="inlineStr">
        <is>
          <t>Atlántico</t>
        </is>
      </c>
      <c r="D2396" t="inlineStr">
        <is>
          <t>Barranquilla</t>
        </is>
      </c>
      <c r="E2396" t="inlineStr">
        <is>
          <t>Moda</t>
        </is>
      </c>
      <c r="F2396" t="inlineStr">
        <is>
          <t>Tienda física</t>
        </is>
      </c>
      <c r="G2396" t="inlineStr">
        <is>
          <t>3. Pago</t>
        </is>
      </c>
      <c r="H2396" t="n">
        <v>4</v>
      </c>
      <c r="I2396" s="73" t="n">
        <v>147400</v>
      </c>
      <c r="J2396" s="73" t="n">
        <v>589600</v>
      </c>
      <c r="K2396" s="73" t="n">
        <v>368549</v>
      </c>
    </row>
    <row r="2397">
      <c r="A2397" t="n">
        <v>10589</v>
      </c>
      <c r="B2397" s="72" t="n">
        <v>45922.68333333333</v>
      </c>
      <c r="C2397" t="inlineStr">
        <is>
          <t>Nariño</t>
        </is>
      </c>
      <c r="D2397" t="inlineStr">
        <is>
          <t>Pasto</t>
        </is>
      </c>
      <c r="E2397" t="inlineStr">
        <is>
          <t>Belleza</t>
        </is>
      </c>
      <c r="F2397" t="inlineStr">
        <is>
          <t>Web</t>
        </is>
      </c>
      <c r="G2397" t="inlineStr">
        <is>
          <t>1. Visita</t>
        </is>
      </c>
      <c r="H2397" t="n">
        <v>4</v>
      </c>
      <c r="I2397" s="73" t="n">
        <v>72100</v>
      </c>
      <c r="J2397" s="73" t="n">
        <v>288400</v>
      </c>
      <c r="K2397" s="73" t="n">
        <v>180509</v>
      </c>
    </row>
    <row r="2398">
      <c r="A2398" t="n">
        <v>11337</v>
      </c>
      <c r="B2398" s="72" t="n">
        <v>45922.78194444445</v>
      </c>
      <c r="C2398" t="inlineStr">
        <is>
          <t>Bogotá D.C.</t>
        </is>
      </c>
      <c r="D2398" t="inlineStr">
        <is>
          <t>Bogotá</t>
        </is>
      </c>
      <c r="E2398" t="inlineStr">
        <is>
          <t>Tecnología</t>
        </is>
      </c>
      <c r="F2398" t="inlineStr">
        <is>
          <t>Web</t>
        </is>
      </c>
      <c r="G2398" t="inlineStr">
        <is>
          <t>4. Compra</t>
        </is>
      </c>
      <c r="H2398" t="n">
        <v>1</v>
      </c>
      <c r="I2398" s="73" t="n">
        <v>1090300</v>
      </c>
      <c r="J2398" s="73" t="n">
        <v>1090300</v>
      </c>
      <c r="K2398" s="73" t="n">
        <v>667976</v>
      </c>
    </row>
    <row r="2399">
      <c r="A2399" t="n">
        <v>10603</v>
      </c>
      <c r="B2399" s="72" t="n">
        <v>45922.83958333333</v>
      </c>
      <c r="C2399" t="inlineStr">
        <is>
          <t>Antioquia</t>
        </is>
      </c>
      <c r="D2399" t="inlineStr">
        <is>
          <t>Medellín</t>
        </is>
      </c>
      <c r="E2399" t="inlineStr">
        <is>
          <t>Moda</t>
        </is>
      </c>
      <c r="F2399" t="inlineStr">
        <is>
          <t>Web</t>
        </is>
      </c>
      <c r="G2399" t="inlineStr">
        <is>
          <t>3. Pago</t>
        </is>
      </c>
      <c r="H2399" t="n">
        <v>3</v>
      </c>
      <c r="I2399" s="73" t="n">
        <v>152100</v>
      </c>
      <c r="J2399" s="73" t="n">
        <v>456300</v>
      </c>
      <c r="K2399" s="73" t="n">
        <v>296018</v>
      </c>
    </row>
    <row r="2400">
      <c r="A2400" t="n">
        <v>10693</v>
      </c>
      <c r="B2400" s="72" t="n">
        <v>45922.88194444445</v>
      </c>
      <c r="C2400" t="inlineStr">
        <is>
          <t>Atlántico</t>
        </is>
      </c>
      <c r="D2400" t="inlineStr">
        <is>
          <t>Barranquilla</t>
        </is>
      </c>
      <c r="E2400" t="inlineStr">
        <is>
          <t>Tecnología</t>
        </is>
      </c>
      <c r="F2400" t="inlineStr">
        <is>
          <t>Web</t>
        </is>
      </c>
      <c r="G2400" t="inlineStr">
        <is>
          <t>2. Carrito</t>
        </is>
      </c>
      <c r="H2400" t="n">
        <v>2</v>
      </c>
      <c r="I2400" s="73" t="n">
        <v>916700</v>
      </c>
      <c r="J2400" s="73" t="n">
        <v>1833400</v>
      </c>
      <c r="K2400" s="73" t="n">
        <v>1065204</v>
      </c>
    </row>
    <row r="2401">
      <c r="A2401" t="n">
        <v>12282</v>
      </c>
      <c r="B2401" s="72" t="n">
        <v>45922.93611111111</v>
      </c>
      <c r="C2401" t="inlineStr">
        <is>
          <t>Atlántico</t>
        </is>
      </c>
      <c r="D2401" t="inlineStr">
        <is>
          <t>Barranquilla</t>
        </is>
      </c>
      <c r="E2401" t="inlineStr">
        <is>
          <t>Juguetes</t>
        </is>
      </c>
      <c r="F2401" t="inlineStr">
        <is>
          <t>App</t>
        </is>
      </c>
      <c r="G2401" t="inlineStr">
        <is>
          <t>2. Carrito</t>
        </is>
      </c>
      <c r="H2401" t="n">
        <v>4</v>
      </c>
      <c r="I2401" s="73" t="n">
        <v>103700</v>
      </c>
      <c r="J2401" s="73" t="n">
        <v>414800</v>
      </c>
      <c r="K2401" s="73" t="n">
        <v>278656</v>
      </c>
    </row>
  </sheetData>
  <pageMargins left="0.75" right="0.75" top="1" bottom="1" header="0.5" footer="0.5"/>
</worksheet>
</file>

<file path=xl/worksheets/sheet3.xml><?xml version="1.0" encoding="utf-8"?>
<worksheet xmlns="http://schemas.openxmlformats.org/spreadsheetml/2006/main">
  <sheetPr>
    <tabColor rgb="002A78D6"/>
    <outlinePr summaryBelow="1" summaryRight="1"/>
    <pageSetUpPr/>
  </sheetPr>
  <dimension ref="A1:S79"/>
  <sheetViews>
    <sheetView workbookViewId="0">
      <pane ySplit="5" topLeftCell="A6" activePane="bottomLeft" state="frozen"/>
      <selection pane="bottomLeft" activeCell="A1" sqref="A1"/>
    </sheetView>
  </sheetViews>
  <sheetFormatPr baseColWidth="8" defaultRowHeight="15"/>
  <cols>
    <col width="3" customWidth="1" min="1" max="1"/>
    <col width="30" customWidth="1" min="2" max="2"/>
    <col width="24" customWidth="1" min="3" max="3"/>
    <col width="24" customWidth="1" min="4" max="4"/>
    <col width="24" customWidth="1" min="5" max="5"/>
    <col width="8"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s>
  <sheetData>
    <row r="1">
      <c r="B1" s="74" t="inlineStr">
        <is>
          <t>Configuración del tablero</t>
        </is>
      </c>
    </row>
    <row r="2">
      <c r="B2" s="75" t="inlineStr">
        <is>
          <t>La plantilla elige sola las columnas (columna C). Si quieres otra, escógela en la columna amarilla D; para volver a la automática, borra la celda amarilla.</t>
        </is>
      </c>
    </row>
    <row r="5">
      <c r="B5" s="76" t="inlineStr">
        <is>
          <t>Uso en el tablero</t>
        </is>
      </c>
      <c r="C5" s="76" t="inlineStr">
        <is>
          <t>Detección automática</t>
        </is>
      </c>
      <c r="D5" s="76" t="inlineStr">
        <is>
          <t>Tu elección (opcional)</t>
        </is>
      </c>
      <c r="E5" s="76" t="inlineStr">
        <is>
          <t>En uso</t>
        </is>
      </c>
      <c r="F5" s="76" t="inlineStr">
        <is>
          <t>Col.</t>
        </is>
      </c>
    </row>
    <row r="6">
      <c r="B6" s="77" t="inlineStr">
        <is>
          <t>Medida principal (lo que se suma)</t>
        </is>
      </c>
      <c r="C6" s="78" t="str">
        <f>IF(MAX($I$40:$I$79)&gt;10,INDEX($B$40:$B$79,MATCH(MAX($I$40:$I$79),$I$40:$I$79,0)),"")</f>
        <v>Ventas</v>
      </c>
      <c r="D6" s="79" t="n"/>
      <c r="E6" s="77" t="str">
        <f>IF(D6&lt;&gt;"",D6,C6)</f>
        <v>Ventas</v>
      </c>
      <c r="F6" s="80">
        <f>IF(E6="",0,IFERROR(MATCH(E6,Datos!$A$1:$AN$1,0),0))</f>
        <v>10</v>
      </c>
    </row>
    <row r="7">
      <c r="B7" s="77" t="inlineStr">
        <is>
          <t>Medida secundaria (eje X dispersión)</t>
        </is>
      </c>
      <c r="C7" s="78" t="str">
        <f>IF(MAX($P$40:$P$79)&gt;0,INDEX($B$40:$B$79,MATCH(MAX($P$40:$P$79),$P$40:$P$79,0)),"")</f>
        <v>Unidades</v>
      </c>
      <c r="D7" s="79" t="n"/>
      <c r="E7" s="77" t="str">
        <f>IF(D7&lt;&gt;"",D7,C7)</f>
        <v>Unidades</v>
      </c>
      <c r="F7" s="80">
        <f>IF(E7="",0,IFERROR(MATCH(E7,Datos!$A$1:$AN$1,0),0))</f>
        <v>8</v>
      </c>
    </row>
    <row r="8">
      <c r="B8" s="77" t="inlineStr">
        <is>
          <t>Fecha</t>
        </is>
      </c>
      <c r="C8" s="78" t="str">
        <f>IF(MAX($L$40:$L$79)&gt;0,INDEX($B$40:$B$79,MATCH(MAX($L$40:$L$79),$L$40:$L$79,0)),"")</f>
        <v>Fecha</v>
      </c>
      <c r="D8" s="79" t="n"/>
      <c r="E8" s="77" t="str">
        <f>IF(D8&lt;&gt;"",D8,C8)</f>
        <v>Fecha</v>
      </c>
      <c r="F8" s="80">
        <f>IF(E8="",0,IFERROR(MATCH(E8,Datos!$A$1:$AN$1,0),0))</f>
        <v>2</v>
      </c>
    </row>
    <row r="9">
      <c r="B9" s="77" t="inlineStr">
        <is>
          <t>Categoría principal</t>
        </is>
      </c>
      <c r="C9" s="78" t="str">
        <f>IF(MAX($J$40:$J$79)&gt;0,INDEX($B$40:$B$79,MATCH(MAX($J$40:$J$79),$J$40:$J$79,0)),"")</f>
        <v>Ciudad</v>
      </c>
      <c r="D9" s="79" t="n"/>
      <c r="E9" s="77" t="str">
        <f>IF(D9&lt;&gt;"",D9,C9)</f>
        <v>Ciudad</v>
      </c>
      <c r="F9" s="80">
        <f>IF(E9="",0,IFERROR(MATCH(E9,Datos!$A$1:$AN$1,0),0))</f>
        <v>4</v>
      </c>
    </row>
    <row r="10">
      <c r="B10" s="77" t="inlineStr">
        <is>
          <t>Categoría secundaria</t>
        </is>
      </c>
      <c r="C10" s="78" t="str">
        <f>IF(MAX($Q$40:$Q$79)&gt;0,INDEX($B$40:$B$79,MATCH(MAX($Q$40:$Q$79),$Q$40:$Q$79,0)),"")</f>
        <v>Categoría</v>
      </c>
      <c r="D10" s="79" t="n"/>
      <c r="E10" s="77" t="str">
        <f>IF(D10&lt;&gt;"",D10,C10)</f>
        <v>Categoría</v>
      </c>
      <c r="F10" s="80">
        <f>IF(E10="",0,IFERROR(MATCH(E10,Datos!$A$1:$AN$1,0),0))</f>
        <v>5</v>
      </c>
    </row>
    <row r="11">
      <c r="B11" s="77" t="inlineStr">
        <is>
          <t>Etapa (embudo)</t>
        </is>
      </c>
      <c r="C11" s="78" t="str">
        <f>IF(MAX($M$40:$M$79)&gt;0,INDEX($B$40:$B$79,MATCH(MAX($M$40:$M$79),$M$40:$M$79,0)),"")</f>
        <v>Etapa</v>
      </c>
      <c r="D11" s="79" t="n"/>
      <c r="E11" s="77" t="str">
        <f>IF(D11&lt;&gt;"",D11,C11)</f>
        <v>Etapa</v>
      </c>
      <c r="F11" s="80">
        <f>IF(E11="",0,IFERROR(MATCH(E11,Datos!$A$1:$AN$1,0),0))</f>
        <v>7</v>
      </c>
    </row>
    <row r="12">
      <c r="B12" s="77" t="inlineStr">
        <is>
          <t>Departamento (mapa)</t>
        </is>
      </c>
      <c r="C12" s="78" t="str">
        <f>IF(MAX($N$40:$N$79)&gt;0,INDEX($B$40:$B$79,MATCH(MAX($N$40:$N$79),$N$40:$N$79,0)),"")</f>
        <v>Departamento</v>
      </c>
      <c r="D12" s="79" t="n"/>
      <c r="E12" s="77" t="str">
        <f>IF(D12&lt;&gt;"",D12,C12)</f>
        <v>Departamento</v>
      </c>
      <c r="F12" s="80">
        <f>IF(E12="",0,IFERROR(MATCH(E12,Datos!$A$1:$AN$1,0),0))</f>
        <v>3</v>
      </c>
    </row>
    <row r="13">
      <c r="B13" s="77" t="inlineStr">
        <is>
          <t>Costo (para el margen)</t>
        </is>
      </c>
      <c r="C13" s="78" t="str">
        <f>IF(MAX($R$40:$R$79)&gt;0,INDEX($B$40:$B$79,MATCH(MAX($R$40:$R$79),$R$40:$R$79,0)),"")</f>
        <v>Costo</v>
      </c>
      <c r="D13" s="79" t="n"/>
      <c r="E13" s="77" t="str">
        <f>IF(D13&lt;&gt;"",D13,C13)</f>
        <v>Costo</v>
      </c>
      <c r="F13" s="80">
        <f>IF(E13="",0,IFERROR(MATCH(E13,Datos!$A$1:$AN$1,0),0))</f>
        <v>11</v>
      </c>
    </row>
    <row r="15">
      <c r="B15" s="81" t="inlineStr">
        <is>
          <t>Valores calculados</t>
        </is>
      </c>
    </row>
    <row r="16">
      <c r="B16" s="82" t="inlineStr">
        <is>
          <t>Filas de datos</t>
        </is>
      </c>
      <c r="C16" s="83">
        <f>MAX(C40:C79)</f>
        <v>2400</v>
      </c>
    </row>
    <row r="17">
      <c r="B17" s="82" t="inlineStr">
        <is>
          <t>Fecha mínima</t>
        </is>
      </c>
      <c r="C17" s="84">
        <f>IF(cFecha&gt;0,MIN(rFecha),"")</f>
        <v>45383.45625</v>
      </c>
    </row>
    <row r="18">
      <c r="B18" s="82" t="inlineStr">
        <is>
          <t>Fecha máxima</t>
        </is>
      </c>
      <c r="C18" s="84">
        <f>IF(cFecha&gt;0,MAX(rFecha),"")</f>
        <v>45922.936111111114</v>
      </c>
    </row>
    <row r="19">
      <c r="B19" s="82" t="inlineStr">
        <is>
          <t>Agrupación de la tendencia</t>
        </is>
      </c>
      <c r="C19" s="85" t="str">
        <f>IF(cFecha=0,"",IF(INT(fMax)-INT(fMin)&lt;24,"Día",IF(INT(fMax)-INT(fMin)&lt;168,"Semana",IF(INT(fMax)-INT(fMin)&lt;730,"Mes",IF(INT(fMax)-INT(fMin)&lt;2190,"Trimestre","Año")))))</f>
        <v>Mes</v>
      </c>
    </row>
    <row r="20">
      <c r="B20" s="82" t="inlineStr">
        <is>
          <t>La fecha incluye hora</t>
        </is>
      </c>
      <c r="C20" s="85" t="b">
        <f>IF(cFecha&gt;0,IFERROR(SUMPRODUCT(--(MOD(rFecha,1)&gt;0))&gt;0,FALSE),FALSE)</f>
        <v>1</v>
      </c>
    </row>
    <row r="21">
      <c r="B21" s="82" t="inlineStr">
        <is>
          <t>Total de la medida</t>
        </is>
      </c>
      <c r="C21" s="86">
        <f>IF(cMed&gt;0,SUM(rMed),nFilas)</f>
        <v>2006391920</v>
      </c>
    </row>
    <row r="22">
      <c r="B22" s="82" t="inlineStr">
        <is>
          <t>Valores distintos categoría principal</t>
        </is>
      </c>
      <c r="C22" s="85">
        <f>SUMPRODUCT(--(Motor!$B$3:$B$42&lt;&gt;""))</f>
        <v>10</v>
      </c>
    </row>
    <row r="23">
      <c r="B23" s="82" t="inlineStr">
        <is>
          <t>Valores distintos categoría secundaria</t>
        </is>
      </c>
      <c r="C23" s="85">
        <f>SUMPRODUCT(--(Motor!$K$3:$K$42&lt;&gt;""))</f>
        <v>6</v>
      </c>
    </row>
    <row r="24">
      <c r="B24" s="82" t="inlineStr">
        <is>
          <t>Dona usa la categoría secundaria</t>
        </is>
      </c>
      <c r="C24" s="85" t="b">
        <f>AND(cCat2&gt;0,n2&gt;=2,n2&lt;n1)</f>
        <v>1</v>
      </c>
    </row>
    <row r="25">
      <c r="B25" s="82" t="inlineStr">
        <is>
          <t>Inicio del último mes</t>
        </is>
      </c>
      <c r="C25" s="84">
        <f>IF(cFecha&gt;0,DATE(YEAR(fMax),MONTH(fMax),1),"")</f>
        <v>45901.0</v>
      </c>
    </row>
    <row r="26">
      <c r="B26" s="82" t="inlineStr">
        <is>
          <t>Nombre de la medida</t>
        </is>
      </c>
      <c r="C26" s="85" t="str">
        <f>IF(cMed&gt;0,$E$6,"Registros")</f>
        <v>Ventas</v>
      </c>
    </row>
    <row r="27">
      <c r="B27" s="82" t="inlineStr">
        <is>
          <t>Inicio del primer período</t>
        </is>
      </c>
      <c r="C27" s="84">
        <f>IF(cFecha=0,"",CHOOSE(gIdx,INT(fMin),INT(fMin)-WEEKDAY(fMin,2)+1,DATE(YEAR(fMin),MONTH(fMin),1),DATE(YEAR(fMin),3*INT((MONTH(fMin)-1)/3)+1,1),DATE(YEAR(fMin),1,1)))</f>
        <v>45383.0</v>
      </c>
    </row>
    <row r="28">
      <c r="B28" s="82" t="inlineStr">
        <is>
          <t>Índice de agrupación</t>
        </is>
      </c>
      <c r="C28" s="85">
        <f>IFERROR(MATCH(gran,{"Día","Semana","Mes","Trimestre","Año"},0),3)</f>
        <v>3</v>
      </c>
    </row>
    <row r="29">
      <c r="B29" s="82" t="inlineStr">
        <is>
          <t>Columna de fecha guardada como texto</t>
        </is>
      </c>
      <c r="C29" s="85" t="str">
        <f>IF(cFecha&gt;0,"",IFERROR(INDEX($B$40:$B$79,MATCH(TRUE,$S$40:$S$79,0)),""))</f>
        <v/>
      </c>
    </row>
    <row r="38">
      <c r="B38" s="81" t="inlineStr">
        <is>
          <t>Perfil automático de columnas (no editar)</t>
        </is>
      </c>
    </row>
    <row r="39">
      <c r="A39" s="87" t="inlineStr">
        <is>
          <t>#</t>
        </is>
      </c>
      <c r="B39" s="87" t="inlineStr">
        <is>
          <t>Encabezado</t>
        </is>
      </c>
      <c r="C39" s="87" t="inlineStr">
        <is>
          <t>Celdas</t>
        </is>
      </c>
      <c r="D39" s="87" t="inlineStr">
        <is>
          <t>Numéricas</t>
        </is>
      </c>
      <c r="E39" s="87" t="inlineStr">
        <is>
          <t>¿Fecha?</t>
        </is>
      </c>
      <c r="F39" s="87" t="inlineStr">
        <is>
          <t>¿Número?</t>
        </is>
      </c>
      <c r="G39" s="87" t="inlineStr">
        <is>
          <t>Texto norm.</t>
        </is>
      </c>
      <c r="H39" s="87" t="inlineStr">
        <is>
          <t>¿Texto?</t>
        </is>
      </c>
      <c r="I39" s="87" t="inlineStr">
        <is>
          <t>P. medida</t>
        </is>
      </c>
      <c r="J39" s="87" t="inlineStr">
        <is>
          <t>P. categoría</t>
        </is>
      </c>
      <c r="K39" s="87" t="inlineStr">
        <is>
          <t>Distintos (500)</t>
        </is>
      </c>
      <c r="L39" s="87" t="inlineStr">
        <is>
          <t>P. fecha</t>
        </is>
      </c>
      <c r="M39" s="87" t="inlineStr">
        <is>
          <t>P. etapa</t>
        </is>
      </c>
      <c r="N39" s="87" t="inlineStr">
        <is>
          <t>P. depto</t>
        </is>
      </c>
      <c r="O39" s="87" t="inlineStr">
        <is>
          <t>P. costo</t>
        </is>
      </c>
      <c r="P39" s="87" t="inlineStr">
        <is>
          <t>P. medida 2</t>
        </is>
      </c>
      <c r="Q39" s="87" t="inlineStr">
        <is>
          <t>P. categoría 2</t>
        </is>
      </c>
      <c r="R39" s="87" t="inlineStr">
        <is>
          <t>P. costo 2</t>
        </is>
      </c>
      <c r="S39" s="87" t="inlineStr">
        <is>
          <t>¿Fecha en texto?</t>
        </is>
      </c>
    </row>
    <row r="40">
      <c r="A40" s="88" t="n">
        <v>1</v>
      </c>
      <c r="B40" s="88" t="str">
        <f>IF(INDEX(Datos!$A$1:$AN$1,1,1)="","",INDEX(Datos!$A$1:$AN$1,1,1)&amp;"")</f>
        <v>ID Pedido</v>
      </c>
      <c r="C40" s="88">
        <f>IF(B40="",0,COUNTA(INDEX(Datos!$A$2:$AN$1048576,0,1)))</f>
        <v>2400</v>
      </c>
      <c r="D40" s="88">
        <f>IF(B40="",0,COUNT(INDEX(Datos!$A$2:$AN$1048576,0,1)))</f>
        <v>2400</v>
      </c>
      <c r="E40" s="88" t="b">
        <f>AND(C40&gt;0,D40&gt;=0.9*C40,OR(LEFT(CELL("format",INDEX(Datos!$A$2:$AN$2,1,1)),1)="D",MIN(1,SUMPRODUCT(--ISNUMBER(SEARCH({"fecha","date","periodo","timestamp"},G40))))&gt;0))</f>
        <v>0</v>
      </c>
      <c r="F40" s="88" t="b">
        <f>AND(C40&gt;0,D40&gt;=0.9*C40,NOT(E40),MIN(1,SUMPRODUCT(--ISNUMBER(SEARCH({" id "," id"," cod"," nit "," cedula"," cédula"," telefono"," teléfono"," celular"," sku"," factura"," numero"," número"," nro"," año "," ano "," year"," zip"," postal"," documento"," guia"," guía"," orden"," cuenta"," pedido"," radicado"," consecutivo"," omr"," pob "," placa"," referencia"," ref "},G40))))=0,NOT(AND(K40&gt;=20,K40&gt;=0.95*MIN(500,C40),MIN(1,SUMPRODUCT(--ISNUMBER(SEARCH({"venta","ingreso","monto","importe","total","valor","factur","revenue","sales","amount","utilidad","ganancia","gasto"},G40))))+MIN(1,SUMPRODUCT(--ISNUMBER(SEARCH({"precio","price","unit","costo","cost","promedio","tasa","%","edad","calific","rating","puntaje","porcentaje","satisf","nps","score","nota"},G40))))+MIN(1,SUMPRODUCT(--ISNUMBER(SEARCH({"costo","cost"},G40))))+MIN(1,SUMPRODUCT(--ISNUMBER(SEARCH({" dias"," días","tiempo","demora","duraci","lead"," horas"},G40))))+MIN(1,SUMPRODUCT(--ISNUMBER(SEARCH({"cantidad","unidades","qty","peso","kilos"," kg","volumen","stock","existencia","inventario"},G40))))=0)))</f>
        <v>0</v>
      </c>
      <c r="G40" s="88" t="str">
        <f>" "&amp;LOWER(SUBSTITUTE(SUBSTITUTE(SUBSTITUTE(B40,"_"," "),"-"," "),"."," "))&amp;" "</f>
        <v> id pedido </v>
      </c>
      <c r="H40" s="88" t="b">
        <f>AND(C40&gt;0,D40&lt;0.5*C40)</f>
        <v>0</v>
      </c>
      <c r="I40" s="89">
        <f>IF(F40,2+10*MIN(1,SUMPRODUCT(--ISNUMBER(SEARCH({"venta","ingreso","monto","importe","total","valor","factur","revenue","sales","amount","utilidad","ganancia","gasto"},G40))))+8*MIN(1,SUMPRODUCT(--ISNUMBER(SEARCH({"cantidad","unidades","qty","peso","kilos"," kg","volumen","stock","existencia","inventario"},G40))))*(1-MIN(1,SUMPRODUCT(--ISNUMBER(SEARCH({"venta","ingreso","monto","importe","total","valor","factur","revenue","sales","amount","utilidad","ganancia","gasto"},G40)))))-MIN(1,SUMPRODUCT(--ISNUMBER(SEARCH({"precio","price","unit","costo","cost","promedio","tasa","%","edad","calific","rating","puntaje","porcentaje","satisf","nps","score","nota"},G40))))+0.040,0)</f>
        <v>0</v>
      </c>
      <c r="J40" s="89">
        <f>IF(AND(H40,K40&gt;=2),IF(K40&lt;=40,2+10*MIN(1,SUMPRODUCT(--ISNUMBER(SEARCH({"categor","region","región","producto","linea","línea","segmento","canal","ciudad","tienda","sucursal","vendedor","cliente","tipo","marca","zona","sede","courier","transportadora","oficina","trayecto","motivo","clasifica","proceso"},G40))))+3*AND(K40&gt;=4,K40&lt;=25),0.5+MIN(1,SUMPRODUCT(--ISNUMBER(SEARCH({"categor","region","región","producto","linea","línea","segmento","canal","ciudad","tienda","sucursal","vendedor","cliente","tipo","marca","zona","sede","courier","transportadora","oficina","trayecto","motivo","clasifica","proceso"},G40)))))+0.040,0)</f>
        <v>0</v>
      </c>
      <c r="K40" s="90">
        <f>IF(C40&gt;0,SUMPRODUCT((INDEX(Datos!$A$2:$AN$501,0,1)&lt;&gt;"")/COUNTIF(INDEX(Datos!$A$2:$AN$501,0,1),INDEX(Datos!$A$2:$AN$501,0,1)&amp;"")),0)</f>
        <v>500</v>
      </c>
      <c r="L40" s="89">
        <f>IF(E40,1+MIN(1,SUMPRODUCT(--ISNUMBER(SEARCH({"fecha","date","periodo","timestamp"},G40))))+0.040,0)</f>
        <v>0</v>
      </c>
      <c r="M40" s="89">
        <f>IF(AND(H40,K40&gt;=2,K40&lt;=15),MIN(1,SUMPRODUCT(--ISNUMBER(SEARCH({"etapa","fase","estado","stage","embudo","funnel","paso","status"},G40))))*(1+0.040),0)</f>
        <v>0</v>
      </c>
      <c r="N40" s="89">
        <f>IF(H40,MIN(1,SUMPRODUCT(--ISNUMBER(SEARCH({"departamento","depto","dpto","depart"},G40))))*(1+0.040),0)</f>
        <v>0</v>
      </c>
      <c r="O40" s="89">
        <f>IF(F40,MIN(1,SUMPRODUCT(--ISNUMBER(SEARCH({"costo","cost"},G40))))*(1+0.040),0)</f>
        <v>0</v>
      </c>
      <c r="P40" s="89">
        <f>IF(B40=$E$6,0,I40+5*MIN(1,SUMPRODUCT(--ISNUMBER(SEARCH({" dias"," días","tiempo","demora","duraci","lead"," horas"},G40))))*(I40&gt;0))</f>
        <v>0</v>
      </c>
      <c r="Q40" s="89">
        <f>IF(B40=$E$9,0,J40)</f>
        <v>0</v>
      </c>
      <c r="R40" s="89">
        <f>IF(OR(B40=$E$6,INDEX($I$40:$I$79,MAX(1,$F$6))&lt;12),0,O40)</f>
        <v>0</v>
      </c>
      <c r="S40" s="88" t="b">
        <f>AND(C40&gt;0,D40&lt;0.5*C40,MIN(1,SUMPRODUCT(--ISNUMBER(SEARCH({"fecha","date","periodo","timestamp"},G40))))&gt;0)</f>
        <v>0</v>
      </c>
    </row>
    <row r="41">
      <c r="A41" s="88" t="n">
        <v>2</v>
      </c>
      <c r="B41" s="88" t="str">
        <f>IF(INDEX(Datos!$A$1:$AN$1,1,2)="","",INDEX(Datos!$A$1:$AN$1,1,2)&amp;"")</f>
        <v>Fecha</v>
      </c>
      <c r="C41" s="88">
        <f>IF(B41="",0,COUNTA(INDEX(Datos!$A$2:$AN$1048576,0,2)))</f>
        <v>2400</v>
      </c>
      <c r="D41" s="88">
        <f>IF(B41="",0,COUNT(INDEX(Datos!$A$2:$AN$1048576,0,2)))</f>
        <v>2400</v>
      </c>
      <c r="E41" s="88" t="b">
        <f>AND(C41&gt;0,D41&gt;=0.9*C41,OR(LEFT(CELL("format",INDEX(Datos!$A$2:$AN$2,1,2)),1)="D",MIN(1,SUMPRODUCT(--ISNUMBER(SEARCH({"fecha","date","periodo","timestamp"},G41))))&gt;0))</f>
        <v>1</v>
      </c>
      <c r="F41" s="88" t="b">
        <f>AND(C41&gt;0,D41&gt;=0.9*C41,NOT(E41),MIN(1,SUMPRODUCT(--ISNUMBER(SEARCH({" id "," id"," cod"," nit "," cedula"," cédula"," telefono"," teléfono"," celular"," sku"," factura"," numero"," número"," nro"," año "," ano "," year"," zip"," postal"," documento"," guia"," guía"," orden"," cuenta"," pedido"," radicado"," consecutivo"," omr"," pob "," placa"," referencia"," ref "},G41))))=0,NOT(AND(K41&gt;=20,K41&gt;=0.95*MIN(500,C41),MIN(1,SUMPRODUCT(--ISNUMBER(SEARCH({"venta","ingreso","monto","importe","total","valor","factur","revenue","sales","amount","utilidad","ganancia","gasto"},G41))))+MIN(1,SUMPRODUCT(--ISNUMBER(SEARCH({"precio","price","unit","costo","cost","promedio","tasa","%","edad","calific","rating","puntaje","porcentaje","satisf","nps","score","nota"},G41))))+MIN(1,SUMPRODUCT(--ISNUMBER(SEARCH({"costo","cost"},G41))))+MIN(1,SUMPRODUCT(--ISNUMBER(SEARCH({" dias"," días","tiempo","demora","duraci","lead"," horas"},G41))))+MIN(1,SUMPRODUCT(--ISNUMBER(SEARCH({"cantidad","unidades","qty","peso","kilos"," kg","volumen","stock","existencia","inventario"},G41))))=0)))</f>
        <v>0</v>
      </c>
      <c r="G41" s="88" t="str">
        <f>" "&amp;LOWER(SUBSTITUTE(SUBSTITUTE(SUBSTITUTE(B41,"_"," "),"-"," "),"."," "))&amp;" "</f>
        <v> fecha </v>
      </c>
      <c r="H41" s="88" t="b">
        <f>AND(C41&gt;0,D41&lt;0.5*C41)</f>
        <v>0</v>
      </c>
      <c r="I41" s="89">
        <f>IF(F41,2+10*MIN(1,SUMPRODUCT(--ISNUMBER(SEARCH({"venta","ingreso","monto","importe","total","valor","factur","revenue","sales","amount","utilidad","ganancia","gasto"},G41))))+8*MIN(1,SUMPRODUCT(--ISNUMBER(SEARCH({"cantidad","unidades","qty","peso","kilos"," kg","volumen","stock","existencia","inventario"},G41))))*(1-MIN(1,SUMPRODUCT(--ISNUMBER(SEARCH({"venta","ingreso","monto","importe","total","valor","factur","revenue","sales","amount","utilidad","ganancia","gasto"},G41)))))-MIN(1,SUMPRODUCT(--ISNUMBER(SEARCH({"precio","price","unit","costo","cost","promedio","tasa","%","edad","calific","rating","puntaje","porcentaje","satisf","nps","score","nota"},G41))))+0.039,0)</f>
        <v>0</v>
      </c>
      <c r="J41" s="89">
        <f>IF(AND(H41,K41&gt;=2),IF(K41&lt;=40,2+10*MIN(1,SUMPRODUCT(--ISNUMBER(SEARCH({"categor","region","región","producto","linea","línea","segmento","canal","ciudad","tienda","sucursal","vendedor","cliente","tipo","marca","zona","sede","courier","transportadora","oficina","trayecto","motivo","clasifica","proceso"},G41))))+3*AND(K41&gt;=4,K41&lt;=25),0.5+MIN(1,SUMPRODUCT(--ISNUMBER(SEARCH({"categor","region","región","producto","linea","línea","segmento","canal","ciudad","tienda","sucursal","vendedor","cliente","tipo","marca","zona","sede","courier","transportadora","oficina","trayecto","motivo","clasifica","proceso"},G41)))))+0.039,0)</f>
        <v>0</v>
      </c>
      <c r="K41" s="90">
        <f>IF(C41&gt;0,SUMPRODUCT((INDEX(Datos!$A$2:$AN$501,0,2)&lt;&gt;"")/COUNTIF(INDEX(Datos!$A$2:$AN$501,0,2),INDEX(Datos!$A$2:$AN$501,0,2)&amp;"")),0)</f>
        <v>500</v>
      </c>
      <c r="L41" s="89">
        <f>IF(E41,1+MIN(1,SUMPRODUCT(--ISNUMBER(SEARCH({"fecha","date","periodo","timestamp"},G41))))+0.039,0)</f>
        <v>2.039</v>
      </c>
      <c r="M41" s="89">
        <f>IF(AND(H41,K41&gt;=2,K41&lt;=15),MIN(1,SUMPRODUCT(--ISNUMBER(SEARCH({"etapa","fase","estado","stage","embudo","funnel","paso","status"},G41))))*(1+0.039),0)</f>
        <v>0</v>
      </c>
      <c r="N41" s="89">
        <f>IF(H41,MIN(1,SUMPRODUCT(--ISNUMBER(SEARCH({"departamento","depto","dpto","depart"},G41))))*(1+0.039),0)</f>
        <v>0</v>
      </c>
      <c r="O41" s="89">
        <f>IF(F41,MIN(1,SUMPRODUCT(--ISNUMBER(SEARCH({"costo","cost"},G41))))*(1+0.039),0)</f>
        <v>0</v>
      </c>
      <c r="P41" s="89">
        <f>IF(B41=$E$6,0,I41+5*MIN(1,SUMPRODUCT(--ISNUMBER(SEARCH({" dias"," días","tiempo","demora","duraci","lead"," horas"},G41))))*(I41&gt;0))</f>
        <v>0</v>
      </c>
      <c r="Q41" s="89">
        <f>IF(B41=$E$9,0,J41)</f>
        <v>0</v>
      </c>
      <c r="R41" s="89">
        <f>IF(OR(B41=$E$6,INDEX($I$40:$I$79,MAX(1,$F$6))&lt;12),0,O41)</f>
        <v>0</v>
      </c>
      <c r="S41" s="88" t="b">
        <f>AND(C41&gt;0,D41&lt;0.5*C41,MIN(1,SUMPRODUCT(--ISNUMBER(SEARCH({"fecha","date","periodo","timestamp"},G41))))&gt;0)</f>
        <v>0</v>
      </c>
    </row>
    <row r="42">
      <c r="A42" s="88" t="n">
        <v>3</v>
      </c>
      <c r="B42" s="88" t="str">
        <f>IF(INDEX(Datos!$A$1:$AN$1,1,3)="","",INDEX(Datos!$A$1:$AN$1,1,3)&amp;"")</f>
        <v>Departamento</v>
      </c>
      <c r="C42" s="88">
        <f>IF(B42="",0,COUNTA(INDEX(Datos!$A$2:$AN$1048576,0,3)))</f>
        <v>2400</v>
      </c>
      <c r="D42" s="88">
        <f>IF(B42="",0,COUNT(INDEX(Datos!$A$2:$AN$1048576,0,3)))</f>
        <v>0</v>
      </c>
      <c r="E42" s="88" t="b">
        <f>AND(C42&gt;0,D42&gt;=0.9*C42,OR(LEFT(CELL("format",INDEX(Datos!$A$2:$AN$2,1,3)),1)="D",MIN(1,SUMPRODUCT(--ISNUMBER(SEARCH({"fecha","date","periodo","timestamp"},G42))))&gt;0))</f>
        <v>0</v>
      </c>
      <c r="F42" s="88" t="b">
        <f>AND(C42&gt;0,D42&gt;=0.9*C42,NOT(E42),MIN(1,SUMPRODUCT(--ISNUMBER(SEARCH({" id "," id"," cod"," nit "," cedula"," cédula"," telefono"," teléfono"," celular"," sku"," factura"," numero"," número"," nro"," año "," ano "," year"," zip"," postal"," documento"," guia"," guía"," orden"," cuenta"," pedido"," radicado"," consecutivo"," omr"," pob "," placa"," referencia"," ref "},G42))))=0,NOT(AND(K42&gt;=20,K42&gt;=0.95*MIN(500,C42),MIN(1,SUMPRODUCT(--ISNUMBER(SEARCH({"venta","ingreso","monto","importe","total","valor","factur","revenue","sales","amount","utilidad","ganancia","gasto"},G42))))+MIN(1,SUMPRODUCT(--ISNUMBER(SEARCH({"precio","price","unit","costo","cost","promedio","tasa","%","edad","calific","rating","puntaje","porcentaje","satisf","nps","score","nota"},G42))))+MIN(1,SUMPRODUCT(--ISNUMBER(SEARCH({"costo","cost"},G42))))+MIN(1,SUMPRODUCT(--ISNUMBER(SEARCH({" dias"," días","tiempo","demora","duraci","lead"," horas"},G42))))+MIN(1,SUMPRODUCT(--ISNUMBER(SEARCH({"cantidad","unidades","qty","peso","kilos"," kg","volumen","stock","existencia","inventario"},G42))))=0)))</f>
        <v>0</v>
      </c>
      <c r="G42" s="88" t="str">
        <f>" "&amp;LOWER(SUBSTITUTE(SUBSTITUTE(SUBSTITUTE(B42,"_"," "),"-"," "),"."," "))&amp;" "</f>
        <v> departamento </v>
      </c>
      <c r="H42" s="88" t="b">
        <f>AND(C42&gt;0,D42&lt;0.5*C42)</f>
        <v>1</v>
      </c>
      <c r="I42" s="89">
        <f>IF(F42,2+10*MIN(1,SUMPRODUCT(--ISNUMBER(SEARCH({"venta","ingreso","monto","importe","total","valor","factur","revenue","sales","amount","utilidad","ganancia","gasto"},G42))))+8*MIN(1,SUMPRODUCT(--ISNUMBER(SEARCH({"cantidad","unidades","qty","peso","kilos"," kg","volumen","stock","existencia","inventario"},G42))))*(1-MIN(1,SUMPRODUCT(--ISNUMBER(SEARCH({"venta","ingreso","monto","importe","total","valor","factur","revenue","sales","amount","utilidad","ganancia","gasto"},G42)))))-MIN(1,SUMPRODUCT(--ISNUMBER(SEARCH({"precio","price","unit","costo","cost","promedio","tasa","%","edad","calific","rating","puntaje","porcentaje","satisf","nps","score","nota"},G42))))+0.038,0)</f>
        <v>0</v>
      </c>
      <c r="J42" s="89">
        <f>IF(AND(H42,K42&gt;=2),IF(K42&lt;=40,2+10*MIN(1,SUMPRODUCT(--ISNUMBER(SEARCH({"categor","region","región","producto","linea","línea","segmento","canal","ciudad","tienda","sucursal","vendedor","cliente","tipo","marca","zona","sede","courier","transportadora","oficina","trayecto","motivo","clasifica","proceso"},G42))))+3*AND(K42&gt;=4,K42&lt;=25),0.5+MIN(1,SUMPRODUCT(--ISNUMBER(SEARCH({"categor","region","región","producto","linea","línea","segmento","canal","ciudad","tienda","sucursal","vendedor","cliente","tipo","marca","zona","sede","courier","transportadora","oficina","trayecto","motivo","clasifica","proceso"},G42)))))+0.038,0)</f>
        <v>5.038</v>
      </c>
      <c r="K42" s="90">
        <f>IF(C42&gt;0,SUMPRODUCT((INDEX(Datos!$A$2:$AN$501,0,3)&lt;&gt;"")/COUNTIF(INDEX(Datos!$A$2:$AN$501,0,3),INDEX(Datos!$A$2:$AN$501,0,3)&amp;"")),0)</f>
        <v>10</v>
      </c>
      <c r="L42" s="89">
        <f>IF(E42,1+MIN(1,SUMPRODUCT(--ISNUMBER(SEARCH({"fecha","date","periodo","timestamp"},G42))))+0.038,0)</f>
        <v>0</v>
      </c>
      <c r="M42" s="89">
        <f>IF(AND(H42,K42&gt;=2,K42&lt;=15),MIN(1,SUMPRODUCT(--ISNUMBER(SEARCH({"etapa","fase","estado","stage","embudo","funnel","paso","status"},G42))))*(1+0.038),0)</f>
        <v>0</v>
      </c>
      <c r="N42" s="89">
        <f>IF(H42,MIN(1,SUMPRODUCT(--ISNUMBER(SEARCH({"departamento","depto","dpto","depart"},G42))))*(1+0.038),0)</f>
        <v>1.038</v>
      </c>
      <c r="O42" s="89">
        <f>IF(F42,MIN(1,SUMPRODUCT(--ISNUMBER(SEARCH({"costo","cost"},G42))))*(1+0.038),0)</f>
        <v>0</v>
      </c>
      <c r="P42" s="89">
        <f>IF(B42=$E$6,0,I42+5*MIN(1,SUMPRODUCT(--ISNUMBER(SEARCH({" dias"," días","tiempo","demora","duraci","lead"," horas"},G42))))*(I42&gt;0))</f>
        <v>0</v>
      </c>
      <c r="Q42" s="89">
        <f>IF(B42=$E$9,0,J42)</f>
        <v>5.038</v>
      </c>
      <c r="R42" s="89">
        <f>IF(OR(B42=$E$6,INDEX($I$40:$I$79,MAX(1,$F$6))&lt;12),0,O42)</f>
        <v>0</v>
      </c>
      <c r="S42" s="88" t="b">
        <f>AND(C42&gt;0,D42&lt;0.5*C42,MIN(1,SUMPRODUCT(--ISNUMBER(SEARCH({"fecha","date","periodo","timestamp"},G42))))&gt;0)</f>
        <v>0</v>
      </c>
    </row>
    <row r="43">
      <c r="A43" s="88" t="n">
        <v>4</v>
      </c>
      <c r="B43" s="88" t="str">
        <f>IF(INDEX(Datos!$A$1:$AN$1,1,4)="","",INDEX(Datos!$A$1:$AN$1,1,4)&amp;"")</f>
        <v>Ciudad</v>
      </c>
      <c r="C43" s="88">
        <f>IF(B43="",0,COUNTA(INDEX(Datos!$A$2:$AN$1048576,0,4)))</f>
        <v>2400</v>
      </c>
      <c r="D43" s="88">
        <f>IF(B43="",0,COUNT(INDEX(Datos!$A$2:$AN$1048576,0,4)))</f>
        <v>0</v>
      </c>
      <c r="E43" s="88" t="b">
        <f>AND(C43&gt;0,D43&gt;=0.9*C43,OR(LEFT(CELL("format",INDEX(Datos!$A$2:$AN$2,1,4)),1)="D",MIN(1,SUMPRODUCT(--ISNUMBER(SEARCH({"fecha","date","periodo","timestamp"},G43))))&gt;0))</f>
        <v>0</v>
      </c>
      <c r="F43" s="88" t="b">
        <f>AND(C43&gt;0,D43&gt;=0.9*C43,NOT(E43),MIN(1,SUMPRODUCT(--ISNUMBER(SEARCH({" id "," id"," cod"," nit "," cedula"," cédula"," telefono"," teléfono"," celular"," sku"," factura"," numero"," número"," nro"," año "," ano "," year"," zip"," postal"," documento"," guia"," guía"," orden"," cuenta"," pedido"," radicado"," consecutivo"," omr"," pob "," placa"," referencia"," ref "},G43))))=0,NOT(AND(K43&gt;=20,K43&gt;=0.95*MIN(500,C43),MIN(1,SUMPRODUCT(--ISNUMBER(SEARCH({"venta","ingreso","monto","importe","total","valor","factur","revenue","sales","amount","utilidad","ganancia","gasto"},G43))))+MIN(1,SUMPRODUCT(--ISNUMBER(SEARCH({"precio","price","unit","costo","cost","promedio","tasa","%","edad","calific","rating","puntaje","porcentaje","satisf","nps","score","nota"},G43))))+MIN(1,SUMPRODUCT(--ISNUMBER(SEARCH({"costo","cost"},G43))))+MIN(1,SUMPRODUCT(--ISNUMBER(SEARCH({" dias"," días","tiempo","demora","duraci","lead"," horas"},G43))))+MIN(1,SUMPRODUCT(--ISNUMBER(SEARCH({"cantidad","unidades","qty","peso","kilos"," kg","volumen","stock","existencia","inventario"},G43))))=0)))</f>
        <v>0</v>
      </c>
      <c r="G43" s="88" t="str">
        <f>" "&amp;LOWER(SUBSTITUTE(SUBSTITUTE(SUBSTITUTE(B43,"_"," "),"-"," "),"."," "))&amp;" "</f>
        <v> ciudad </v>
      </c>
      <c r="H43" s="88" t="b">
        <f>AND(C43&gt;0,D43&lt;0.5*C43)</f>
        <v>1</v>
      </c>
      <c r="I43" s="89">
        <f>IF(F43,2+10*MIN(1,SUMPRODUCT(--ISNUMBER(SEARCH({"venta","ingreso","monto","importe","total","valor","factur","revenue","sales","amount","utilidad","ganancia","gasto"},G43))))+8*MIN(1,SUMPRODUCT(--ISNUMBER(SEARCH({"cantidad","unidades","qty","peso","kilos"," kg","volumen","stock","existencia","inventario"},G43))))*(1-MIN(1,SUMPRODUCT(--ISNUMBER(SEARCH({"venta","ingreso","monto","importe","total","valor","factur","revenue","sales","amount","utilidad","ganancia","gasto"},G43)))))-MIN(1,SUMPRODUCT(--ISNUMBER(SEARCH({"precio","price","unit","costo","cost","promedio","tasa","%","edad","calific","rating","puntaje","porcentaje","satisf","nps","score","nota"},G43))))+0.037,0)</f>
        <v>0</v>
      </c>
      <c r="J43" s="89">
        <f>IF(AND(H43,K43&gt;=2),IF(K43&lt;=40,2+10*MIN(1,SUMPRODUCT(--ISNUMBER(SEARCH({"categor","region","región","producto","linea","línea","segmento","canal","ciudad","tienda","sucursal","vendedor","cliente","tipo","marca","zona","sede","courier","transportadora","oficina","trayecto","motivo","clasifica","proceso"},G43))))+3*AND(K43&gt;=4,K43&lt;=25),0.5+MIN(1,SUMPRODUCT(--ISNUMBER(SEARCH({"categor","region","región","producto","linea","línea","segmento","canal","ciudad","tienda","sucursal","vendedor","cliente","tipo","marca","zona","sede","courier","transportadora","oficina","trayecto","motivo","clasifica","proceso"},G43)))))+0.037,0)</f>
        <v>15.037</v>
      </c>
      <c r="K43" s="90">
        <f>IF(C43&gt;0,SUMPRODUCT((INDEX(Datos!$A$2:$AN$501,0,4)&lt;&gt;"")/COUNTIF(INDEX(Datos!$A$2:$AN$501,0,4),INDEX(Datos!$A$2:$AN$501,0,4)&amp;"")),0)</f>
        <v>10</v>
      </c>
      <c r="L43" s="89">
        <f>IF(E43,1+MIN(1,SUMPRODUCT(--ISNUMBER(SEARCH({"fecha","date","periodo","timestamp"},G43))))+0.037,0)</f>
        <v>0</v>
      </c>
      <c r="M43" s="89">
        <f>IF(AND(H43,K43&gt;=2,K43&lt;=15),MIN(1,SUMPRODUCT(--ISNUMBER(SEARCH({"etapa","fase","estado","stage","embudo","funnel","paso","status"},G43))))*(1+0.037),0)</f>
        <v>0</v>
      </c>
      <c r="N43" s="89">
        <f>IF(H43,MIN(1,SUMPRODUCT(--ISNUMBER(SEARCH({"departamento","depto","dpto","depart"},G43))))*(1+0.037),0)</f>
        <v>0</v>
      </c>
      <c r="O43" s="89">
        <f>IF(F43,MIN(1,SUMPRODUCT(--ISNUMBER(SEARCH({"costo","cost"},G43))))*(1+0.037),0)</f>
        <v>0</v>
      </c>
      <c r="P43" s="89">
        <f>IF(B43=$E$6,0,I43+5*MIN(1,SUMPRODUCT(--ISNUMBER(SEARCH({" dias"," días","tiempo","demora","duraci","lead"," horas"},G43))))*(I43&gt;0))</f>
        <v>0</v>
      </c>
      <c r="Q43" s="89">
        <f>IF(B43=$E$9,0,J43)</f>
        <v>0</v>
      </c>
      <c r="R43" s="89">
        <f>IF(OR(B43=$E$6,INDEX($I$40:$I$79,MAX(1,$F$6))&lt;12),0,O43)</f>
        <v>0</v>
      </c>
      <c r="S43" s="88" t="b">
        <f>AND(C43&gt;0,D43&lt;0.5*C43,MIN(1,SUMPRODUCT(--ISNUMBER(SEARCH({"fecha","date","periodo","timestamp"},G43))))&gt;0)</f>
        <v>0</v>
      </c>
    </row>
    <row r="44">
      <c r="A44" s="88" t="n">
        <v>5</v>
      </c>
      <c r="B44" s="88" t="str">
        <f>IF(INDEX(Datos!$A$1:$AN$1,1,5)="","",INDEX(Datos!$A$1:$AN$1,1,5)&amp;"")</f>
        <v>Categoría</v>
      </c>
      <c r="C44" s="88">
        <f>IF(B44="",0,COUNTA(INDEX(Datos!$A$2:$AN$1048576,0,5)))</f>
        <v>2400</v>
      </c>
      <c r="D44" s="88">
        <f>IF(B44="",0,COUNT(INDEX(Datos!$A$2:$AN$1048576,0,5)))</f>
        <v>0</v>
      </c>
      <c r="E44" s="88" t="b">
        <f>AND(C44&gt;0,D44&gt;=0.9*C44,OR(LEFT(CELL("format",INDEX(Datos!$A$2:$AN$2,1,5)),1)="D",MIN(1,SUMPRODUCT(--ISNUMBER(SEARCH({"fecha","date","periodo","timestamp"},G44))))&gt;0))</f>
        <v>0</v>
      </c>
      <c r="F44" s="88" t="b">
        <f>AND(C44&gt;0,D44&gt;=0.9*C44,NOT(E44),MIN(1,SUMPRODUCT(--ISNUMBER(SEARCH({" id "," id"," cod"," nit "," cedula"," cédula"," telefono"," teléfono"," celular"," sku"," factura"," numero"," número"," nro"," año "," ano "," year"," zip"," postal"," documento"," guia"," guía"," orden"," cuenta"," pedido"," radicado"," consecutivo"," omr"," pob "," placa"," referencia"," ref "},G44))))=0,NOT(AND(K44&gt;=20,K44&gt;=0.95*MIN(500,C44),MIN(1,SUMPRODUCT(--ISNUMBER(SEARCH({"venta","ingreso","monto","importe","total","valor","factur","revenue","sales","amount","utilidad","ganancia","gasto"},G44))))+MIN(1,SUMPRODUCT(--ISNUMBER(SEARCH({"precio","price","unit","costo","cost","promedio","tasa","%","edad","calific","rating","puntaje","porcentaje","satisf","nps","score","nota"},G44))))+MIN(1,SUMPRODUCT(--ISNUMBER(SEARCH({"costo","cost"},G44))))+MIN(1,SUMPRODUCT(--ISNUMBER(SEARCH({" dias"," días","tiempo","demora","duraci","lead"," horas"},G44))))+MIN(1,SUMPRODUCT(--ISNUMBER(SEARCH({"cantidad","unidades","qty","peso","kilos"," kg","volumen","stock","existencia","inventario"},G44))))=0)))</f>
        <v>0</v>
      </c>
      <c r="G44" s="88" t="str">
        <f>" "&amp;LOWER(SUBSTITUTE(SUBSTITUTE(SUBSTITUTE(B44,"_"," "),"-"," "),"."," "))&amp;" "</f>
        <v> categoría </v>
      </c>
      <c r="H44" s="88" t="b">
        <f>AND(C44&gt;0,D44&lt;0.5*C44)</f>
        <v>1</v>
      </c>
      <c r="I44" s="89">
        <f>IF(F44,2+10*MIN(1,SUMPRODUCT(--ISNUMBER(SEARCH({"venta","ingreso","monto","importe","total","valor","factur","revenue","sales","amount","utilidad","ganancia","gasto"},G44))))+8*MIN(1,SUMPRODUCT(--ISNUMBER(SEARCH({"cantidad","unidades","qty","peso","kilos"," kg","volumen","stock","existencia","inventario"},G44))))*(1-MIN(1,SUMPRODUCT(--ISNUMBER(SEARCH({"venta","ingreso","monto","importe","total","valor","factur","revenue","sales","amount","utilidad","ganancia","gasto"},G44)))))-MIN(1,SUMPRODUCT(--ISNUMBER(SEARCH({"precio","price","unit","costo","cost","promedio","tasa","%","edad","calific","rating","puntaje","porcentaje","satisf","nps","score","nota"},G44))))+0.036,0)</f>
        <v>0</v>
      </c>
      <c r="J44" s="89">
        <f>IF(AND(H44,K44&gt;=2),IF(K44&lt;=40,2+10*MIN(1,SUMPRODUCT(--ISNUMBER(SEARCH({"categor","region","región","producto","linea","línea","segmento","canal","ciudad","tienda","sucursal","vendedor","cliente","tipo","marca","zona","sede","courier","transportadora","oficina","trayecto","motivo","clasifica","proceso"},G44))))+3*AND(K44&gt;=4,K44&lt;=25),0.5+MIN(1,SUMPRODUCT(--ISNUMBER(SEARCH({"categor","region","región","producto","linea","línea","segmento","canal","ciudad","tienda","sucursal","vendedor","cliente","tipo","marca","zona","sede","courier","transportadora","oficina","trayecto","motivo","clasifica","proceso"},G44)))))+0.036,0)</f>
        <v>15.036</v>
      </c>
      <c r="K44" s="90">
        <f>IF(C44&gt;0,SUMPRODUCT((INDEX(Datos!$A$2:$AN$501,0,5)&lt;&gt;"")/COUNTIF(INDEX(Datos!$A$2:$AN$501,0,5),INDEX(Datos!$A$2:$AN$501,0,5)&amp;"")),0)</f>
        <v>6</v>
      </c>
      <c r="L44" s="89">
        <f>IF(E44,1+MIN(1,SUMPRODUCT(--ISNUMBER(SEARCH({"fecha","date","periodo","timestamp"},G44))))+0.036,0)</f>
        <v>0</v>
      </c>
      <c r="M44" s="89">
        <f>IF(AND(H44,K44&gt;=2,K44&lt;=15),MIN(1,SUMPRODUCT(--ISNUMBER(SEARCH({"etapa","fase","estado","stage","embudo","funnel","paso","status"},G44))))*(1+0.036),0)</f>
        <v>0</v>
      </c>
      <c r="N44" s="89">
        <f>IF(H44,MIN(1,SUMPRODUCT(--ISNUMBER(SEARCH({"departamento","depto","dpto","depart"},G44))))*(1+0.036),0)</f>
        <v>0</v>
      </c>
      <c r="O44" s="89">
        <f>IF(F44,MIN(1,SUMPRODUCT(--ISNUMBER(SEARCH({"costo","cost"},G44))))*(1+0.036),0)</f>
        <v>0</v>
      </c>
      <c r="P44" s="89">
        <f>IF(B44=$E$6,0,I44+5*MIN(1,SUMPRODUCT(--ISNUMBER(SEARCH({" dias"," días","tiempo","demora","duraci","lead"," horas"},G44))))*(I44&gt;0))</f>
        <v>0</v>
      </c>
      <c r="Q44" s="89">
        <f>IF(B44=$E$9,0,J44)</f>
        <v>15.036</v>
      </c>
      <c r="R44" s="89">
        <f>IF(OR(B44=$E$6,INDEX($I$40:$I$79,MAX(1,$F$6))&lt;12),0,O44)</f>
        <v>0</v>
      </c>
      <c r="S44" s="88" t="b">
        <f>AND(C44&gt;0,D44&lt;0.5*C44,MIN(1,SUMPRODUCT(--ISNUMBER(SEARCH({"fecha","date","periodo","timestamp"},G44))))&gt;0)</f>
        <v>0</v>
      </c>
    </row>
    <row r="45">
      <c r="A45" s="88" t="n">
        <v>6</v>
      </c>
      <c r="B45" s="88" t="str">
        <f>IF(INDEX(Datos!$A$1:$AN$1,1,6)="","",INDEX(Datos!$A$1:$AN$1,1,6)&amp;"")</f>
        <v>Canal</v>
      </c>
      <c r="C45" s="88">
        <f>IF(B45="",0,COUNTA(INDEX(Datos!$A$2:$AN$1048576,0,6)))</f>
        <v>2400</v>
      </c>
      <c r="D45" s="88">
        <f>IF(B45="",0,COUNT(INDEX(Datos!$A$2:$AN$1048576,0,6)))</f>
        <v>0</v>
      </c>
      <c r="E45" s="88" t="b">
        <f>AND(C45&gt;0,D45&gt;=0.9*C45,OR(LEFT(CELL("format",INDEX(Datos!$A$2:$AN$2,1,6)),1)="D",MIN(1,SUMPRODUCT(--ISNUMBER(SEARCH({"fecha","date","periodo","timestamp"},G45))))&gt;0))</f>
        <v>0</v>
      </c>
      <c r="F45" s="88" t="b">
        <f>AND(C45&gt;0,D45&gt;=0.9*C45,NOT(E45),MIN(1,SUMPRODUCT(--ISNUMBER(SEARCH({" id "," id"," cod"," nit "," cedula"," cédula"," telefono"," teléfono"," celular"," sku"," factura"," numero"," número"," nro"," año "," ano "," year"," zip"," postal"," documento"," guia"," guía"," orden"," cuenta"," pedido"," radicado"," consecutivo"," omr"," pob "," placa"," referencia"," ref "},G45))))=0,NOT(AND(K45&gt;=20,K45&gt;=0.95*MIN(500,C45),MIN(1,SUMPRODUCT(--ISNUMBER(SEARCH({"venta","ingreso","monto","importe","total","valor","factur","revenue","sales","amount","utilidad","ganancia","gasto"},G45))))+MIN(1,SUMPRODUCT(--ISNUMBER(SEARCH({"precio","price","unit","costo","cost","promedio","tasa","%","edad","calific","rating","puntaje","porcentaje","satisf","nps","score","nota"},G45))))+MIN(1,SUMPRODUCT(--ISNUMBER(SEARCH({"costo","cost"},G45))))+MIN(1,SUMPRODUCT(--ISNUMBER(SEARCH({" dias"," días","tiempo","demora","duraci","lead"," horas"},G45))))+MIN(1,SUMPRODUCT(--ISNUMBER(SEARCH({"cantidad","unidades","qty","peso","kilos"," kg","volumen","stock","existencia","inventario"},G45))))=0)))</f>
        <v>0</v>
      </c>
      <c r="G45" s="88" t="str">
        <f>" "&amp;LOWER(SUBSTITUTE(SUBSTITUTE(SUBSTITUTE(B45,"_"," "),"-"," "),"."," "))&amp;" "</f>
        <v> canal </v>
      </c>
      <c r="H45" s="88" t="b">
        <f>AND(C45&gt;0,D45&lt;0.5*C45)</f>
        <v>1</v>
      </c>
      <c r="I45" s="89">
        <f>IF(F45,2+10*MIN(1,SUMPRODUCT(--ISNUMBER(SEARCH({"venta","ingreso","monto","importe","total","valor","factur","revenue","sales","amount","utilidad","ganancia","gasto"},G45))))+8*MIN(1,SUMPRODUCT(--ISNUMBER(SEARCH({"cantidad","unidades","qty","peso","kilos"," kg","volumen","stock","existencia","inventario"},G45))))*(1-MIN(1,SUMPRODUCT(--ISNUMBER(SEARCH({"venta","ingreso","monto","importe","total","valor","factur","revenue","sales","amount","utilidad","ganancia","gasto"},G45)))))-MIN(1,SUMPRODUCT(--ISNUMBER(SEARCH({"precio","price","unit","costo","cost","promedio","tasa","%","edad","calific","rating","puntaje","porcentaje","satisf","nps","score","nota"},G45))))+0.035,0)</f>
        <v>0</v>
      </c>
      <c r="J45" s="89">
        <f>IF(AND(H45,K45&gt;=2),IF(K45&lt;=40,2+10*MIN(1,SUMPRODUCT(--ISNUMBER(SEARCH({"categor","region","región","producto","linea","línea","segmento","canal","ciudad","tienda","sucursal","vendedor","cliente","tipo","marca","zona","sede","courier","transportadora","oficina","trayecto","motivo","clasifica","proceso"},G45))))+3*AND(K45&gt;=4,K45&lt;=25),0.5+MIN(1,SUMPRODUCT(--ISNUMBER(SEARCH({"categor","region","región","producto","linea","línea","segmento","canal","ciudad","tienda","sucursal","vendedor","cliente","tipo","marca","zona","sede","courier","transportadora","oficina","trayecto","motivo","clasifica","proceso"},G45)))))+0.035,0)</f>
        <v>15.035</v>
      </c>
      <c r="K45" s="90">
        <f>IF(C45&gt;0,SUMPRODUCT((INDEX(Datos!$A$2:$AN$501,0,6)&lt;&gt;"")/COUNTIF(INDEX(Datos!$A$2:$AN$501,0,6),INDEX(Datos!$A$2:$AN$501,0,6)&amp;"")),0)</f>
        <v>4</v>
      </c>
      <c r="L45" s="89">
        <f>IF(E45,1+MIN(1,SUMPRODUCT(--ISNUMBER(SEARCH({"fecha","date","periodo","timestamp"},G45))))+0.035,0)</f>
        <v>0</v>
      </c>
      <c r="M45" s="89">
        <f>IF(AND(H45,K45&gt;=2,K45&lt;=15),MIN(1,SUMPRODUCT(--ISNUMBER(SEARCH({"etapa","fase","estado","stage","embudo","funnel","paso","status"},G45))))*(1+0.035),0)</f>
        <v>0</v>
      </c>
      <c r="N45" s="89">
        <f>IF(H45,MIN(1,SUMPRODUCT(--ISNUMBER(SEARCH({"departamento","depto","dpto","depart"},G45))))*(1+0.035),0)</f>
        <v>0</v>
      </c>
      <c r="O45" s="89">
        <f>IF(F45,MIN(1,SUMPRODUCT(--ISNUMBER(SEARCH({"costo","cost"},G45))))*(1+0.035),0)</f>
        <v>0</v>
      </c>
      <c r="P45" s="89">
        <f>IF(B45=$E$6,0,I45+5*MIN(1,SUMPRODUCT(--ISNUMBER(SEARCH({" dias"," días","tiempo","demora","duraci","lead"," horas"},G45))))*(I45&gt;0))</f>
        <v>0</v>
      </c>
      <c r="Q45" s="89">
        <f>IF(B45=$E$9,0,J45)</f>
        <v>15.035</v>
      </c>
      <c r="R45" s="89">
        <f>IF(OR(B45=$E$6,INDEX($I$40:$I$79,MAX(1,$F$6))&lt;12),0,O45)</f>
        <v>0</v>
      </c>
      <c r="S45" s="88" t="b">
        <f>AND(C45&gt;0,D45&lt;0.5*C45,MIN(1,SUMPRODUCT(--ISNUMBER(SEARCH({"fecha","date","periodo","timestamp"},G45))))&gt;0)</f>
        <v>0</v>
      </c>
    </row>
    <row r="46">
      <c r="A46" s="88" t="n">
        <v>7</v>
      </c>
      <c r="B46" s="88" t="str">
        <f>IF(INDEX(Datos!$A$1:$AN$1,1,7)="","",INDEX(Datos!$A$1:$AN$1,1,7)&amp;"")</f>
        <v>Etapa</v>
      </c>
      <c r="C46" s="88">
        <f>IF(B46="",0,COUNTA(INDEX(Datos!$A$2:$AN$1048576,0,7)))</f>
        <v>2400</v>
      </c>
      <c r="D46" s="88">
        <f>IF(B46="",0,COUNT(INDEX(Datos!$A$2:$AN$1048576,0,7)))</f>
        <v>0</v>
      </c>
      <c r="E46" s="88" t="b">
        <f>AND(C46&gt;0,D46&gt;=0.9*C46,OR(LEFT(CELL("format",INDEX(Datos!$A$2:$AN$2,1,7)),1)="D",MIN(1,SUMPRODUCT(--ISNUMBER(SEARCH({"fecha","date","periodo","timestamp"},G46))))&gt;0))</f>
        <v>0</v>
      </c>
      <c r="F46" s="88" t="b">
        <f>AND(C46&gt;0,D46&gt;=0.9*C46,NOT(E46),MIN(1,SUMPRODUCT(--ISNUMBER(SEARCH({" id "," id"," cod"," nit "," cedula"," cédula"," telefono"," teléfono"," celular"," sku"," factura"," numero"," número"," nro"," año "," ano "," year"," zip"," postal"," documento"," guia"," guía"," orden"," cuenta"," pedido"," radicado"," consecutivo"," omr"," pob "," placa"," referencia"," ref "},G46))))=0,NOT(AND(K46&gt;=20,K46&gt;=0.95*MIN(500,C46),MIN(1,SUMPRODUCT(--ISNUMBER(SEARCH({"venta","ingreso","monto","importe","total","valor","factur","revenue","sales","amount","utilidad","ganancia","gasto"},G46))))+MIN(1,SUMPRODUCT(--ISNUMBER(SEARCH({"precio","price","unit","costo","cost","promedio","tasa","%","edad","calific","rating","puntaje","porcentaje","satisf","nps","score","nota"},G46))))+MIN(1,SUMPRODUCT(--ISNUMBER(SEARCH({"costo","cost"},G46))))+MIN(1,SUMPRODUCT(--ISNUMBER(SEARCH({" dias"," días","tiempo","demora","duraci","lead"," horas"},G46))))+MIN(1,SUMPRODUCT(--ISNUMBER(SEARCH({"cantidad","unidades","qty","peso","kilos"," kg","volumen","stock","existencia","inventario"},G46))))=0)))</f>
        <v>0</v>
      </c>
      <c r="G46" s="88" t="str">
        <f>" "&amp;LOWER(SUBSTITUTE(SUBSTITUTE(SUBSTITUTE(B46,"_"," "),"-"," "),"."," "))&amp;" "</f>
        <v> etapa </v>
      </c>
      <c r="H46" s="88" t="b">
        <f>AND(C46&gt;0,D46&lt;0.5*C46)</f>
        <v>1</v>
      </c>
      <c r="I46" s="89">
        <f>IF(F46,2+10*MIN(1,SUMPRODUCT(--ISNUMBER(SEARCH({"venta","ingreso","monto","importe","total","valor","factur","revenue","sales","amount","utilidad","ganancia","gasto"},G46))))+8*MIN(1,SUMPRODUCT(--ISNUMBER(SEARCH({"cantidad","unidades","qty","peso","kilos"," kg","volumen","stock","existencia","inventario"},G46))))*(1-MIN(1,SUMPRODUCT(--ISNUMBER(SEARCH({"venta","ingreso","monto","importe","total","valor","factur","revenue","sales","amount","utilidad","ganancia","gasto"},G46)))))-MIN(1,SUMPRODUCT(--ISNUMBER(SEARCH({"precio","price","unit","costo","cost","promedio","tasa","%","edad","calific","rating","puntaje","porcentaje","satisf","nps","score","nota"},G46))))+0.034,0)</f>
        <v>0</v>
      </c>
      <c r="J46" s="89">
        <f>IF(AND(H46,K46&gt;=2),IF(K46&lt;=40,2+10*MIN(1,SUMPRODUCT(--ISNUMBER(SEARCH({"categor","region","región","producto","linea","línea","segmento","canal","ciudad","tienda","sucursal","vendedor","cliente","tipo","marca","zona","sede","courier","transportadora","oficina","trayecto","motivo","clasifica","proceso"},G46))))+3*AND(K46&gt;=4,K46&lt;=25),0.5+MIN(1,SUMPRODUCT(--ISNUMBER(SEARCH({"categor","region","región","producto","linea","línea","segmento","canal","ciudad","tienda","sucursal","vendedor","cliente","tipo","marca","zona","sede","courier","transportadora","oficina","trayecto","motivo","clasifica","proceso"},G46)))))+0.034,0)</f>
        <v>5.034</v>
      </c>
      <c r="K46" s="90">
        <f>IF(C46&gt;0,SUMPRODUCT((INDEX(Datos!$A$2:$AN$501,0,7)&lt;&gt;"")/COUNTIF(INDEX(Datos!$A$2:$AN$501,0,7),INDEX(Datos!$A$2:$AN$501,0,7)&amp;"")),0)</f>
        <v>4</v>
      </c>
      <c r="L46" s="89">
        <f>IF(E46,1+MIN(1,SUMPRODUCT(--ISNUMBER(SEARCH({"fecha","date","periodo","timestamp"},G46))))+0.034,0)</f>
        <v>0</v>
      </c>
      <c r="M46" s="89">
        <f>IF(AND(H46,K46&gt;=2,K46&lt;=15),MIN(1,SUMPRODUCT(--ISNUMBER(SEARCH({"etapa","fase","estado","stage","embudo","funnel","paso","status"},G46))))*(1+0.034),0)</f>
        <v>1.034</v>
      </c>
      <c r="N46" s="89">
        <f>IF(H46,MIN(1,SUMPRODUCT(--ISNUMBER(SEARCH({"departamento","depto","dpto","depart"},G46))))*(1+0.034),0)</f>
        <v>0</v>
      </c>
      <c r="O46" s="89">
        <f>IF(F46,MIN(1,SUMPRODUCT(--ISNUMBER(SEARCH({"costo","cost"},G46))))*(1+0.034),0)</f>
        <v>0</v>
      </c>
      <c r="P46" s="89">
        <f>IF(B46=$E$6,0,I46+5*MIN(1,SUMPRODUCT(--ISNUMBER(SEARCH({" dias"," días","tiempo","demora","duraci","lead"," horas"},G46))))*(I46&gt;0))</f>
        <v>0</v>
      </c>
      <c r="Q46" s="89">
        <f>IF(B46=$E$9,0,J46)</f>
        <v>5.034</v>
      </c>
      <c r="R46" s="89">
        <f>IF(OR(B46=$E$6,INDEX($I$40:$I$79,MAX(1,$F$6))&lt;12),0,O46)</f>
        <v>0</v>
      </c>
      <c r="S46" s="88" t="b">
        <f>AND(C46&gt;0,D46&lt;0.5*C46,MIN(1,SUMPRODUCT(--ISNUMBER(SEARCH({"fecha","date","periodo","timestamp"},G46))))&gt;0)</f>
        <v>0</v>
      </c>
    </row>
    <row r="47">
      <c r="A47" s="88" t="n">
        <v>8</v>
      </c>
      <c r="B47" s="88" t="str">
        <f>IF(INDEX(Datos!$A$1:$AN$1,1,8)="","",INDEX(Datos!$A$1:$AN$1,1,8)&amp;"")</f>
        <v>Unidades</v>
      </c>
      <c r="C47" s="88">
        <f>IF(B47="",0,COUNTA(INDEX(Datos!$A$2:$AN$1048576,0,8)))</f>
        <v>2400</v>
      </c>
      <c r="D47" s="88">
        <f>IF(B47="",0,COUNT(INDEX(Datos!$A$2:$AN$1048576,0,8)))</f>
        <v>2400</v>
      </c>
      <c r="E47" s="88" t="b">
        <f>AND(C47&gt;0,D47&gt;=0.9*C47,OR(LEFT(CELL("format",INDEX(Datos!$A$2:$AN$2,1,8)),1)="D",MIN(1,SUMPRODUCT(--ISNUMBER(SEARCH({"fecha","date","periodo","timestamp"},G47))))&gt;0))</f>
        <v>0</v>
      </c>
      <c r="F47" s="88" t="b">
        <f>AND(C47&gt;0,D47&gt;=0.9*C47,NOT(E47),MIN(1,SUMPRODUCT(--ISNUMBER(SEARCH({" id "," id"," cod"," nit "," cedula"," cédula"," telefono"," teléfono"," celular"," sku"," factura"," numero"," número"," nro"," año "," ano "," year"," zip"," postal"," documento"," guia"," guía"," orden"," cuenta"," pedido"," radicado"," consecutivo"," omr"," pob "," placa"," referencia"," ref "},G47))))=0,NOT(AND(K47&gt;=20,K47&gt;=0.95*MIN(500,C47),MIN(1,SUMPRODUCT(--ISNUMBER(SEARCH({"venta","ingreso","monto","importe","total","valor","factur","revenue","sales","amount","utilidad","ganancia","gasto"},G47))))+MIN(1,SUMPRODUCT(--ISNUMBER(SEARCH({"precio","price","unit","costo","cost","promedio","tasa","%","edad","calific","rating","puntaje","porcentaje","satisf","nps","score","nota"},G47))))+MIN(1,SUMPRODUCT(--ISNUMBER(SEARCH({"costo","cost"},G47))))+MIN(1,SUMPRODUCT(--ISNUMBER(SEARCH({" dias"," días","tiempo","demora","duraci","lead"," horas"},G47))))+MIN(1,SUMPRODUCT(--ISNUMBER(SEARCH({"cantidad","unidades","qty","peso","kilos"," kg","volumen","stock","existencia","inventario"},G47))))=0)))</f>
        <v>1</v>
      </c>
      <c r="G47" s="88" t="str">
        <f>" "&amp;LOWER(SUBSTITUTE(SUBSTITUTE(SUBSTITUTE(B47,"_"," "),"-"," "),"."," "))&amp;" "</f>
        <v> unidades </v>
      </c>
      <c r="H47" s="88" t="b">
        <f>AND(C47&gt;0,D47&lt;0.5*C47)</f>
        <v>0</v>
      </c>
      <c r="I47" s="89">
        <f>IF(F47,2+10*MIN(1,SUMPRODUCT(--ISNUMBER(SEARCH({"venta","ingreso","monto","importe","total","valor","factur","revenue","sales","amount","utilidad","ganancia","gasto"},G47))))+8*MIN(1,SUMPRODUCT(--ISNUMBER(SEARCH({"cantidad","unidades","qty","peso","kilos"," kg","volumen","stock","existencia","inventario"},G47))))*(1-MIN(1,SUMPRODUCT(--ISNUMBER(SEARCH({"venta","ingreso","monto","importe","total","valor","factur","revenue","sales","amount","utilidad","ganancia","gasto"},G47)))))-MIN(1,SUMPRODUCT(--ISNUMBER(SEARCH({"precio","price","unit","costo","cost","promedio","tasa","%","edad","calific","rating","puntaje","porcentaje","satisf","nps","score","nota"},G47))))+0.033,0)</f>
        <v>10.033</v>
      </c>
      <c r="J47" s="89">
        <f>IF(AND(H47,K47&gt;=2),IF(K47&lt;=40,2+10*MIN(1,SUMPRODUCT(--ISNUMBER(SEARCH({"categor","region","región","producto","linea","línea","segmento","canal","ciudad","tienda","sucursal","vendedor","cliente","tipo","marca","zona","sede","courier","transportadora","oficina","trayecto","motivo","clasifica","proceso"},G47))))+3*AND(K47&gt;=4,K47&lt;=25),0.5+MIN(1,SUMPRODUCT(--ISNUMBER(SEARCH({"categor","region","región","producto","linea","línea","segmento","canal","ciudad","tienda","sucursal","vendedor","cliente","tipo","marca","zona","sede","courier","transportadora","oficina","trayecto","motivo","clasifica","proceso"},G47)))))+0.033,0)</f>
        <v>0</v>
      </c>
      <c r="K47" s="90">
        <f>IF(C47&gt;0,SUMPRODUCT((INDEX(Datos!$A$2:$AN$501,0,8)&lt;&gt;"")/COUNTIF(INDEX(Datos!$A$2:$AN$501,0,8),INDEX(Datos!$A$2:$AN$501,0,8)&amp;"")),0)</f>
        <v>5</v>
      </c>
      <c r="L47" s="89">
        <f>IF(E47,1+MIN(1,SUMPRODUCT(--ISNUMBER(SEARCH({"fecha","date","periodo","timestamp"},G47))))+0.033,0)</f>
        <v>0</v>
      </c>
      <c r="M47" s="89">
        <f>IF(AND(H47,K47&gt;=2,K47&lt;=15),MIN(1,SUMPRODUCT(--ISNUMBER(SEARCH({"etapa","fase","estado","stage","embudo","funnel","paso","status"},G47))))*(1+0.033),0)</f>
        <v>0</v>
      </c>
      <c r="N47" s="89">
        <f>IF(H47,MIN(1,SUMPRODUCT(--ISNUMBER(SEARCH({"departamento","depto","dpto","depart"},G47))))*(1+0.033),0)</f>
        <v>0</v>
      </c>
      <c r="O47" s="89">
        <f>IF(F47,MIN(1,SUMPRODUCT(--ISNUMBER(SEARCH({"costo","cost"},G47))))*(1+0.033),0)</f>
        <v>0</v>
      </c>
      <c r="P47" s="89">
        <f>IF(B47=$E$6,0,I47+5*MIN(1,SUMPRODUCT(--ISNUMBER(SEARCH({" dias"," días","tiempo","demora","duraci","lead"," horas"},G47))))*(I47&gt;0))</f>
        <v>10.033</v>
      </c>
      <c r="Q47" s="89">
        <f>IF(B47=$E$9,0,J47)</f>
        <v>0</v>
      </c>
      <c r="R47" s="89">
        <f>IF(OR(B47=$E$6,INDEX($I$40:$I$79,MAX(1,$F$6))&lt;12),0,O47)</f>
        <v>0</v>
      </c>
      <c r="S47" s="88" t="b">
        <f>AND(C47&gt;0,D47&lt;0.5*C47,MIN(1,SUMPRODUCT(--ISNUMBER(SEARCH({"fecha","date","periodo","timestamp"},G47))))&gt;0)</f>
        <v>0</v>
      </c>
    </row>
    <row r="48">
      <c r="A48" s="88" t="n">
        <v>9</v>
      </c>
      <c r="B48" s="88" t="str">
        <f>IF(INDEX(Datos!$A$1:$AN$1,1,9)="","",INDEX(Datos!$A$1:$AN$1,1,9)&amp;"")</f>
        <v>Precio unitario</v>
      </c>
      <c r="C48" s="88">
        <f>IF(B48="",0,COUNTA(INDEX(Datos!$A$2:$AN$1048576,0,9)))</f>
        <v>2400</v>
      </c>
      <c r="D48" s="88">
        <f>IF(B48="",0,COUNT(INDEX(Datos!$A$2:$AN$1048576,0,9)))</f>
        <v>2400</v>
      </c>
      <c r="E48" s="88" t="b">
        <f>AND(C48&gt;0,D48&gt;=0.9*C48,OR(LEFT(CELL("format",INDEX(Datos!$A$2:$AN$2,1,9)),1)="D",MIN(1,SUMPRODUCT(--ISNUMBER(SEARCH({"fecha","date","periodo","timestamp"},G48))))&gt;0))</f>
        <v>0</v>
      </c>
      <c r="F48" s="88" t="b">
        <f>AND(C48&gt;0,D48&gt;=0.9*C48,NOT(E48),MIN(1,SUMPRODUCT(--ISNUMBER(SEARCH({" id "," id"," cod"," nit "," cedula"," cédula"," telefono"," teléfono"," celular"," sku"," factura"," numero"," número"," nro"," año "," ano "," year"," zip"," postal"," documento"," guia"," guía"," orden"," cuenta"," pedido"," radicado"," consecutivo"," omr"," pob "," placa"," referencia"," ref "},G48))))=0,NOT(AND(K48&gt;=20,K48&gt;=0.95*MIN(500,C48),MIN(1,SUMPRODUCT(--ISNUMBER(SEARCH({"venta","ingreso","monto","importe","total","valor","factur","revenue","sales","amount","utilidad","ganancia","gasto"},G48))))+MIN(1,SUMPRODUCT(--ISNUMBER(SEARCH({"precio","price","unit","costo","cost","promedio","tasa","%","edad","calific","rating","puntaje","porcentaje","satisf","nps","score","nota"},G48))))+MIN(1,SUMPRODUCT(--ISNUMBER(SEARCH({"costo","cost"},G48))))+MIN(1,SUMPRODUCT(--ISNUMBER(SEARCH({" dias"," días","tiempo","demora","duraci","lead"," horas"},G48))))+MIN(1,SUMPRODUCT(--ISNUMBER(SEARCH({"cantidad","unidades","qty","peso","kilos"," kg","volumen","stock","existencia","inventario"},G48))))=0)))</f>
        <v>1</v>
      </c>
      <c r="G48" s="88" t="str">
        <f>" "&amp;LOWER(SUBSTITUTE(SUBSTITUTE(SUBSTITUTE(B48,"_"," "),"-"," "),"."," "))&amp;" "</f>
        <v> precio unitario </v>
      </c>
      <c r="H48" s="88" t="b">
        <f>AND(C48&gt;0,D48&lt;0.5*C48)</f>
        <v>0</v>
      </c>
      <c r="I48" s="89">
        <f>IF(F48,2+10*MIN(1,SUMPRODUCT(--ISNUMBER(SEARCH({"venta","ingreso","monto","importe","total","valor","factur","revenue","sales","amount","utilidad","ganancia","gasto"},G48))))+8*MIN(1,SUMPRODUCT(--ISNUMBER(SEARCH({"cantidad","unidades","qty","peso","kilos"," kg","volumen","stock","existencia","inventario"},G48))))*(1-MIN(1,SUMPRODUCT(--ISNUMBER(SEARCH({"venta","ingreso","monto","importe","total","valor","factur","revenue","sales","amount","utilidad","ganancia","gasto"},G48)))))-MIN(1,SUMPRODUCT(--ISNUMBER(SEARCH({"precio","price","unit","costo","cost","promedio","tasa","%","edad","calific","rating","puntaje","porcentaje","satisf","nps","score","nota"},G48))))+0.032,0)</f>
        <v>1.032</v>
      </c>
      <c r="J48" s="89">
        <f>IF(AND(H48,K48&gt;=2),IF(K48&lt;=40,2+10*MIN(1,SUMPRODUCT(--ISNUMBER(SEARCH({"categor","region","región","producto","linea","línea","segmento","canal","ciudad","tienda","sucursal","vendedor","cliente","tipo","marca","zona","sede","courier","transportadora","oficina","trayecto","motivo","clasifica","proceso"},G48))))+3*AND(K48&gt;=4,K48&lt;=25),0.5+MIN(1,SUMPRODUCT(--ISNUMBER(SEARCH({"categor","region","región","producto","linea","línea","segmento","canal","ciudad","tienda","sucursal","vendedor","cliente","tipo","marca","zona","sede","courier","transportadora","oficina","trayecto","motivo","clasifica","proceso"},G48)))))+0.032,0)</f>
        <v>0</v>
      </c>
      <c r="K48" s="90">
        <f>IF(C48&gt;0,SUMPRODUCT((INDEX(Datos!$A$2:$AN$501,0,9)&lt;&gt;"")/COUNTIF(INDEX(Datos!$A$2:$AN$501,0,9),INDEX(Datos!$A$2:$AN$501,0,9)&amp;"")),0)</f>
        <v>466</v>
      </c>
      <c r="L48" s="89">
        <f>IF(E48,1+MIN(1,SUMPRODUCT(--ISNUMBER(SEARCH({"fecha","date","periodo","timestamp"},G48))))+0.032,0)</f>
        <v>0</v>
      </c>
      <c r="M48" s="89">
        <f>IF(AND(H48,K48&gt;=2,K48&lt;=15),MIN(1,SUMPRODUCT(--ISNUMBER(SEARCH({"etapa","fase","estado","stage","embudo","funnel","paso","status"},G48))))*(1+0.032),0)</f>
        <v>0</v>
      </c>
      <c r="N48" s="89">
        <f>IF(H48,MIN(1,SUMPRODUCT(--ISNUMBER(SEARCH({"departamento","depto","dpto","depart"},G48))))*(1+0.032),0)</f>
        <v>0</v>
      </c>
      <c r="O48" s="89">
        <f>IF(F48,MIN(1,SUMPRODUCT(--ISNUMBER(SEARCH({"costo","cost"},G48))))*(1+0.032),0)</f>
        <v>0</v>
      </c>
      <c r="P48" s="89">
        <f>IF(B48=$E$6,0,I48+5*MIN(1,SUMPRODUCT(--ISNUMBER(SEARCH({" dias"," días","tiempo","demora","duraci","lead"," horas"},G48))))*(I48&gt;0))</f>
        <v>1.032</v>
      </c>
      <c r="Q48" s="89">
        <f>IF(B48=$E$9,0,J48)</f>
        <v>0</v>
      </c>
      <c r="R48" s="89">
        <f>IF(OR(B48=$E$6,INDEX($I$40:$I$79,MAX(1,$F$6))&lt;12),0,O48)</f>
        <v>0</v>
      </c>
      <c r="S48" s="88" t="b">
        <f>AND(C48&gt;0,D48&lt;0.5*C48,MIN(1,SUMPRODUCT(--ISNUMBER(SEARCH({"fecha","date","periodo","timestamp"},G48))))&gt;0)</f>
        <v>0</v>
      </c>
    </row>
    <row r="49">
      <c r="A49" s="88" t="n">
        <v>10</v>
      </c>
      <c r="B49" s="88" t="str">
        <f>IF(INDEX(Datos!$A$1:$AN$1,1,10)="","",INDEX(Datos!$A$1:$AN$1,1,10)&amp;"")</f>
        <v>Ventas</v>
      </c>
      <c r="C49" s="88">
        <f>IF(B49="",0,COUNTA(INDEX(Datos!$A$2:$AN$1048576,0,10)))</f>
        <v>2400</v>
      </c>
      <c r="D49" s="88">
        <f>IF(B49="",0,COUNT(INDEX(Datos!$A$2:$AN$1048576,0,10)))</f>
        <v>2400</v>
      </c>
      <c r="E49" s="88" t="b">
        <f>AND(C49&gt;0,D49&gt;=0.9*C49,OR(LEFT(CELL("format",INDEX(Datos!$A$2:$AN$2,1,10)),1)="D",MIN(1,SUMPRODUCT(--ISNUMBER(SEARCH({"fecha","date","periodo","timestamp"},G49))))&gt;0))</f>
        <v>0</v>
      </c>
      <c r="F49" s="88" t="b">
        <f>AND(C49&gt;0,D49&gt;=0.9*C49,NOT(E49),MIN(1,SUMPRODUCT(--ISNUMBER(SEARCH({" id "," id"," cod"," nit "," cedula"," cédula"," telefono"," teléfono"," celular"," sku"," factura"," numero"," número"," nro"," año "," ano "," year"," zip"," postal"," documento"," guia"," guía"," orden"," cuenta"," pedido"," radicado"," consecutivo"," omr"," pob "," placa"," referencia"," ref "},G49))))=0,NOT(AND(K49&gt;=20,K49&gt;=0.95*MIN(500,C49),MIN(1,SUMPRODUCT(--ISNUMBER(SEARCH({"venta","ingreso","monto","importe","total","valor","factur","revenue","sales","amount","utilidad","ganancia","gasto"},G49))))+MIN(1,SUMPRODUCT(--ISNUMBER(SEARCH({"precio","price","unit","costo","cost","promedio","tasa","%","edad","calific","rating","puntaje","porcentaje","satisf","nps","score","nota"},G49))))+MIN(1,SUMPRODUCT(--ISNUMBER(SEARCH({"costo","cost"},G49))))+MIN(1,SUMPRODUCT(--ISNUMBER(SEARCH({" dias"," días","tiempo","demora","duraci","lead"," horas"},G49))))+MIN(1,SUMPRODUCT(--ISNUMBER(SEARCH({"cantidad","unidades","qty","peso","kilos"," kg","volumen","stock","existencia","inventario"},G49))))=0)))</f>
        <v>1</v>
      </c>
      <c r="G49" s="88" t="str">
        <f>" "&amp;LOWER(SUBSTITUTE(SUBSTITUTE(SUBSTITUTE(B49,"_"," "),"-"," "),"."," "))&amp;" "</f>
        <v> ventas </v>
      </c>
      <c r="H49" s="88" t="b">
        <f>AND(C49&gt;0,D49&lt;0.5*C49)</f>
        <v>0</v>
      </c>
      <c r="I49" s="89">
        <f>IF(F49,2+10*MIN(1,SUMPRODUCT(--ISNUMBER(SEARCH({"venta","ingreso","monto","importe","total","valor","factur","revenue","sales","amount","utilidad","ganancia","gasto"},G49))))+8*MIN(1,SUMPRODUCT(--ISNUMBER(SEARCH({"cantidad","unidades","qty","peso","kilos"," kg","volumen","stock","existencia","inventario"},G49))))*(1-MIN(1,SUMPRODUCT(--ISNUMBER(SEARCH({"venta","ingreso","monto","importe","total","valor","factur","revenue","sales","amount","utilidad","ganancia","gasto"},G49)))))-MIN(1,SUMPRODUCT(--ISNUMBER(SEARCH({"precio","price","unit","costo","cost","promedio","tasa","%","edad","calific","rating","puntaje","porcentaje","satisf","nps","score","nota"},G49))))+0.031,0)</f>
        <v>12.031</v>
      </c>
      <c r="J49" s="89">
        <f>IF(AND(H49,K49&gt;=2),IF(K49&lt;=40,2+10*MIN(1,SUMPRODUCT(--ISNUMBER(SEARCH({"categor","region","región","producto","linea","línea","segmento","canal","ciudad","tienda","sucursal","vendedor","cliente","tipo","marca","zona","sede","courier","transportadora","oficina","trayecto","motivo","clasifica","proceso"},G49))))+3*AND(K49&gt;=4,K49&lt;=25),0.5+MIN(1,SUMPRODUCT(--ISNUMBER(SEARCH({"categor","region","región","producto","linea","línea","segmento","canal","ciudad","tienda","sucursal","vendedor","cliente","tipo","marca","zona","sede","courier","transportadora","oficina","trayecto","motivo","clasifica","proceso"},G49)))))+0.031,0)</f>
        <v>0</v>
      </c>
      <c r="K49" s="90">
        <f>IF(C49&gt;0,SUMPRODUCT((INDEX(Datos!$A$2:$AN$501,0,10)&lt;&gt;"")/COUNTIF(INDEX(Datos!$A$2:$AN$501,0,10),INDEX(Datos!$A$2:$AN$501,0,10)&amp;"")),0)</f>
        <v>491</v>
      </c>
      <c r="L49" s="89">
        <f>IF(E49,1+MIN(1,SUMPRODUCT(--ISNUMBER(SEARCH({"fecha","date","periodo","timestamp"},G49))))+0.031,0)</f>
        <v>0</v>
      </c>
      <c r="M49" s="89">
        <f>IF(AND(H49,K49&gt;=2,K49&lt;=15),MIN(1,SUMPRODUCT(--ISNUMBER(SEARCH({"etapa","fase","estado","stage","embudo","funnel","paso","status"},G49))))*(1+0.031),0)</f>
        <v>0</v>
      </c>
      <c r="N49" s="89">
        <f>IF(H49,MIN(1,SUMPRODUCT(--ISNUMBER(SEARCH({"departamento","depto","dpto","depart"},G49))))*(1+0.031),0)</f>
        <v>0</v>
      </c>
      <c r="O49" s="89">
        <f>IF(F49,MIN(1,SUMPRODUCT(--ISNUMBER(SEARCH({"costo","cost"},G49))))*(1+0.031),0)</f>
        <v>0</v>
      </c>
      <c r="P49" s="89">
        <f>IF(B49=$E$6,0,I49+5*MIN(1,SUMPRODUCT(--ISNUMBER(SEARCH({" dias"," días","tiempo","demora","duraci","lead"," horas"},G49))))*(I49&gt;0))</f>
        <v>0</v>
      </c>
      <c r="Q49" s="89">
        <f>IF(B49=$E$9,0,J49)</f>
        <v>0</v>
      </c>
      <c r="R49" s="89">
        <f>IF(OR(B49=$E$6,INDEX($I$40:$I$79,MAX(1,$F$6))&lt;12),0,O49)</f>
        <v>0</v>
      </c>
      <c r="S49" s="88" t="b">
        <f>AND(C49&gt;0,D49&lt;0.5*C49,MIN(1,SUMPRODUCT(--ISNUMBER(SEARCH({"fecha","date","periodo","timestamp"},G49))))&gt;0)</f>
        <v>0</v>
      </c>
    </row>
    <row r="50">
      <c r="A50" s="88" t="n">
        <v>11</v>
      </c>
      <c r="B50" s="88" t="str">
        <f>IF(INDEX(Datos!$A$1:$AN$1,1,11)="","",INDEX(Datos!$A$1:$AN$1,1,11)&amp;"")</f>
        <v>Costo</v>
      </c>
      <c r="C50" s="88">
        <f>IF(B50="",0,COUNTA(INDEX(Datos!$A$2:$AN$1048576,0,11)))</f>
        <v>2400</v>
      </c>
      <c r="D50" s="88">
        <f>IF(B50="",0,COUNT(INDEX(Datos!$A$2:$AN$1048576,0,11)))</f>
        <v>2400</v>
      </c>
      <c r="E50" s="88" t="b">
        <f>AND(C50&gt;0,D50&gt;=0.9*C50,OR(LEFT(CELL("format",INDEX(Datos!$A$2:$AN$2,1,11)),1)="D",MIN(1,SUMPRODUCT(--ISNUMBER(SEARCH({"fecha","date","periodo","timestamp"},G50))))&gt;0))</f>
        <v>0</v>
      </c>
      <c r="F50" s="88" t="b">
        <f>AND(C50&gt;0,D50&gt;=0.9*C50,NOT(E50),MIN(1,SUMPRODUCT(--ISNUMBER(SEARCH({" id "," id"," cod"," nit "," cedula"," cédula"," telefono"," teléfono"," celular"," sku"," factura"," numero"," número"," nro"," año "," ano "," year"," zip"," postal"," documento"," guia"," guía"," orden"," cuenta"," pedido"," radicado"," consecutivo"," omr"," pob "," placa"," referencia"," ref "},G50))))=0,NOT(AND(K50&gt;=20,K50&gt;=0.95*MIN(500,C50),MIN(1,SUMPRODUCT(--ISNUMBER(SEARCH({"venta","ingreso","monto","importe","total","valor","factur","revenue","sales","amount","utilidad","ganancia","gasto"},G50))))+MIN(1,SUMPRODUCT(--ISNUMBER(SEARCH({"precio","price","unit","costo","cost","promedio","tasa","%","edad","calific","rating","puntaje","porcentaje","satisf","nps","score","nota"},G50))))+MIN(1,SUMPRODUCT(--ISNUMBER(SEARCH({"costo","cost"},G50))))+MIN(1,SUMPRODUCT(--ISNUMBER(SEARCH({" dias"," días","tiempo","demora","duraci","lead"," horas"},G50))))+MIN(1,SUMPRODUCT(--ISNUMBER(SEARCH({"cantidad","unidades","qty","peso","kilos"," kg","volumen","stock","existencia","inventario"},G50))))=0)))</f>
        <v>1</v>
      </c>
      <c r="G50" s="88" t="str">
        <f>" "&amp;LOWER(SUBSTITUTE(SUBSTITUTE(SUBSTITUTE(B50,"_"," "),"-"," "),"."," "))&amp;" "</f>
        <v> costo </v>
      </c>
      <c r="H50" s="88" t="b">
        <f>AND(C50&gt;0,D50&lt;0.5*C50)</f>
        <v>0</v>
      </c>
      <c r="I50" s="89">
        <f>IF(F50,2+10*MIN(1,SUMPRODUCT(--ISNUMBER(SEARCH({"venta","ingreso","monto","importe","total","valor","factur","revenue","sales","amount","utilidad","ganancia","gasto"},G50))))+8*MIN(1,SUMPRODUCT(--ISNUMBER(SEARCH({"cantidad","unidades","qty","peso","kilos"," kg","volumen","stock","existencia","inventario"},G50))))*(1-MIN(1,SUMPRODUCT(--ISNUMBER(SEARCH({"venta","ingreso","monto","importe","total","valor","factur","revenue","sales","amount","utilidad","ganancia","gasto"},G50)))))-MIN(1,SUMPRODUCT(--ISNUMBER(SEARCH({"precio","price","unit","costo","cost","promedio","tasa","%","edad","calific","rating","puntaje","porcentaje","satisf","nps","score","nota"},G50))))+0.030,0)</f>
        <v>1.03</v>
      </c>
      <c r="J50" s="89">
        <f>IF(AND(H50,K50&gt;=2),IF(K50&lt;=40,2+10*MIN(1,SUMPRODUCT(--ISNUMBER(SEARCH({"categor","region","región","producto","linea","línea","segmento","canal","ciudad","tienda","sucursal","vendedor","cliente","tipo","marca","zona","sede","courier","transportadora","oficina","trayecto","motivo","clasifica","proceso"},G50))))+3*AND(K50&gt;=4,K50&lt;=25),0.5+MIN(1,SUMPRODUCT(--ISNUMBER(SEARCH({"categor","region","región","producto","linea","línea","segmento","canal","ciudad","tienda","sucursal","vendedor","cliente","tipo","marca","zona","sede","courier","transportadora","oficina","trayecto","motivo","clasifica","proceso"},G50)))))+0.030,0)</f>
        <v>0</v>
      </c>
      <c r="K50" s="90">
        <f>IF(C50&gt;0,SUMPRODUCT((INDEX(Datos!$A$2:$AN$501,0,11)&lt;&gt;"")/COUNTIF(INDEX(Datos!$A$2:$AN$501,0,11),INDEX(Datos!$A$2:$AN$501,0,11)&amp;"")),0)</f>
        <v>500</v>
      </c>
      <c r="L50" s="89">
        <f>IF(E50,1+MIN(1,SUMPRODUCT(--ISNUMBER(SEARCH({"fecha","date","periodo","timestamp"},G50))))+0.030,0)</f>
        <v>0</v>
      </c>
      <c r="M50" s="89">
        <f>IF(AND(H50,K50&gt;=2,K50&lt;=15),MIN(1,SUMPRODUCT(--ISNUMBER(SEARCH({"etapa","fase","estado","stage","embudo","funnel","paso","status"},G50))))*(1+0.030),0)</f>
        <v>0</v>
      </c>
      <c r="N50" s="89">
        <f>IF(H50,MIN(1,SUMPRODUCT(--ISNUMBER(SEARCH({"departamento","depto","dpto","depart"},G50))))*(1+0.030),0)</f>
        <v>0</v>
      </c>
      <c r="O50" s="89">
        <f>IF(F50,MIN(1,SUMPRODUCT(--ISNUMBER(SEARCH({"costo","cost"},G50))))*(1+0.030),0)</f>
        <v>1.03</v>
      </c>
      <c r="P50" s="89">
        <f>IF(B50=$E$6,0,I50+5*MIN(1,SUMPRODUCT(--ISNUMBER(SEARCH({" dias"," días","tiempo","demora","duraci","lead"," horas"},G50))))*(I50&gt;0))</f>
        <v>1.03</v>
      </c>
      <c r="Q50" s="89">
        <f>IF(B50=$E$9,0,J50)</f>
        <v>0</v>
      </c>
      <c r="R50" s="89">
        <f>IF(OR(B50=$E$6,INDEX($I$40:$I$79,MAX(1,$F$6))&lt;12),0,O50)</f>
        <v>1.03</v>
      </c>
      <c r="S50" s="88" t="b">
        <f>AND(C50&gt;0,D50&lt;0.5*C50,MIN(1,SUMPRODUCT(--ISNUMBER(SEARCH({"fecha","date","periodo","timestamp"},G50))))&gt;0)</f>
        <v>0</v>
      </c>
    </row>
    <row r="51">
      <c r="A51" s="88" t="n">
        <v>12</v>
      </c>
      <c r="B51" s="88" t="str">
        <f>IF(INDEX(Datos!$A$1:$AN$1,1,12)="","",INDEX(Datos!$A$1:$AN$1,1,12)&amp;"")</f>
        <v/>
      </c>
      <c r="C51" s="88">
        <f>IF(B51="",0,COUNTA(INDEX(Datos!$A$2:$AN$1048576,0,12)))</f>
        <v>0</v>
      </c>
      <c r="D51" s="88">
        <f>IF(B51="",0,COUNT(INDEX(Datos!$A$2:$AN$1048576,0,12)))</f>
        <v>0</v>
      </c>
      <c r="E51" s="88" t="b">
        <f>AND(C51&gt;0,D51&gt;=0.9*C51,OR(LEFT(CELL("format",INDEX(Datos!$A$2:$AN$2,1,12)),1)="D",MIN(1,SUMPRODUCT(--ISNUMBER(SEARCH({"fecha","date","periodo","timestamp"},G51))))&gt;0))</f>
        <v>0</v>
      </c>
      <c r="F51" s="88" t="b">
        <f>AND(C51&gt;0,D51&gt;=0.9*C51,NOT(E51),MIN(1,SUMPRODUCT(--ISNUMBER(SEARCH({" id "," id"," cod"," nit "," cedula"," cédula"," telefono"," teléfono"," celular"," sku"," factura"," numero"," número"," nro"," año "," ano "," year"," zip"," postal"," documento"," guia"," guía"," orden"," cuenta"," pedido"," radicado"," consecutivo"," omr"," pob "," placa"," referencia"," ref "},G51))))=0,NOT(AND(K51&gt;=20,K51&gt;=0.95*MIN(500,C51),MIN(1,SUMPRODUCT(--ISNUMBER(SEARCH({"venta","ingreso","monto","importe","total","valor","factur","revenue","sales","amount","utilidad","ganancia","gasto"},G51))))+MIN(1,SUMPRODUCT(--ISNUMBER(SEARCH({"precio","price","unit","costo","cost","promedio","tasa","%","edad","calific","rating","puntaje","porcentaje","satisf","nps","score","nota"},G51))))+MIN(1,SUMPRODUCT(--ISNUMBER(SEARCH({"costo","cost"},G51))))+MIN(1,SUMPRODUCT(--ISNUMBER(SEARCH({" dias"," días","tiempo","demora","duraci","lead"," horas"},G51))))+MIN(1,SUMPRODUCT(--ISNUMBER(SEARCH({"cantidad","unidades","qty","peso","kilos"," kg","volumen","stock","existencia","inventario"},G51))))=0)))</f>
        <v>0</v>
      </c>
      <c r="G51" s="88" t="str">
        <f>" "&amp;LOWER(SUBSTITUTE(SUBSTITUTE(SUBSTITUTE(B51,"_"," "),"-"," "),"."," "))&amp;" "</f>
        <v>  </v>
      </c>
      <c r="H51" s="88" t="b">
        <f>AND(C51&gt;0,D51&lt;0.5*C51)</f>
        <v>0</v>
      </c>
      <c r="I51" s="89">
        <f>IF(F51,2+10*MIN(1,SUMPRODUCT(--ISNUMBER(SEARCH({"venta","ingreso","monto","importe","total","valor","factur","revenue","sales","amount","utilidad","ganancia","gasto"},G51))))+8*MIN(1,SUMPRODUCT(--ISNUMBER(SEARCH({"cantidad","unidades","qty","peso","kilos"," kg","volumen","stock","existencia","inventario"},G51))))*(1-MIN(1,SUMPRODUCT(--ISNUMBER(SEARCH({"venta","ingreso","monto","importe","total","valor","factur","revenue","sales","amount","utilidad","ganancia","gasto"},G51)))))-MIN(1,SUMPRODUCT(--ISNUMBER(SEARCH({"precio","price","unit","costo","cost","promedio","tasa","%","edad","calific","rating","puntaje","porcentaje","satisf","nps","score","nota"},G51))))+0.029,0)</f>
        <v>0</v>
      </c>
      <c r="J51" s="89">
        <f>IF(AND(H51,K51&gt;=2),IF(K51&lt;=40,2+10*MIN(1,SUMPRODUCT(--ISNUMBER(SEARCH({"categor","region","región","producto","linea","línea","segmento","canal","ciudad","tienda","sucursal","vendedor","cliente","tipo","marca","zona","sede","courier","transportadora","oficina","trayecto","motivo","clasifica","proceso"},G51))))+3*AND(K51&gt;=4,K51&lt;=25),0.5+MIN(1,SUMPRODUCT(--ISNUMBER(SEARCH({"categor","region","región","producto","linea","línea","segmento","canal","ciudad","tienda","sucursal","vendedor","cliente","tipo","marca","zona","sede","courier","transportadora","oficina","trayecto","motivo","clasifica","proceso"},G51)))))+0.029,0)</f>
        <v>0</v>
      </c>
      <c r="K51" s="90">
        <f>IF(C51&gt;0,SUMPRODUCT((INDEX(Datos!$A$2:$AN$501,0,12)&lt;&gt;"")/COUNTIF(INDEX(Datos!$A$2:$AN$501,0,12),INDEX(Datos!$A$2:$AN$501,0,12)&amp;"")),0)</f>
        <v>0</v>
      </c>
      <c r="L51" s="89">
        <f>IF(E51,1+MIN(1,SUMPRODUCT(--ISNUMBER(SEARCH({"fecha","date","periodo","timestamp"},G51))))+0.029,0)</f>
        <v>0</v>
      </c>
      <c r="M51" s="89">
        <f>IF(AND(H51,K51&gt;=2,K51&lt;=15),MIN(1,SUMPRODUCT(--ISNUMBER(SEARCH({"etapa","fase","estado","stage","embudo","funnel","paso","status"},G51))))*(1+0.029),0)</f>
        <v>0</v>
      </c>
      <c r="N51" s="89">
        <f>IF(H51,MIN(1,SUMPRODUCT(--ISNUMBER(SEARCH({"departamento","depto","dpto","depart"},G51))))*(1+0.029),0)</f>
        <v>0</v>
      </c>
      <c r="O51" s="89">
        <f>IF(F51,MIN(1,SUMPRODUCT(--ISNUMBER(SEARCH({"costo","cost"},G51))))*(1+0.029),0)</f>
        <v>0</v>
      </c>
      <c r="P51" s="89">
        <f>IF(B51=$E$6,0,I51+5*MIN(1,SUMPRODUCT(--ISNUMBER(SEARCH({" dias"," días","tiempo","demora","duraci","lead"," horas"},G51))))*(I51&gt;0))</f>
        <v>0</v>
      </c>
      <c r="Q51" s="89">
        <f>IF(B51=$E$9,0,J51)</f>
        <v>0</v>
      </c>
      <c r="R51" s="89">
        <f>IF(OR(B51=$E$6,INDEX($I$40:$I$79,MAX(1,$F$6))&lt;12),0,O51)</f>
        <v>0</v>
      </c>
      <c r="S51" s="88" t="b">
        <f>AND(C51&gt;0,D51&lt;0.5*C51,MIN(1,SUMPRODUCT(--ISNUMBER(SEARCH({"fecha","date","periodo","timestamp"},G51))))&gt;0)</f>
        <v>0</v>
      </c>
    </row>
    <row r="52">
      <c r="A52" s="88" t="n">
        <v>13</v>
      </c>
      <c r="B52" s="88" t="str">
        <f>IF(INDEX(Datos!$A$1:$AN$1,1,13)="","",INDEX(Datos!$A$1:$AN$1,1,13)&amp;"")</f>
        <v/>
      </c>
      <c r="C52" s="88">
        <f>IF(B52="",0,COUNTA(INDEX(Datos!$A$2:$AN$1048576,0,13)))</f>
        <v>0</v>
      </c>
      <c r="D52" s="88">
        <f>IF(B52="",0,COUNT(INDEX(Datos!$A$2:$AN$1048576,0,13)))</f>
        <v>0</v>
      </c>
      <c r="E52" s="88" t="b">
        <f>AND(C52&gt;0,D52&gt;=0.9*C52,OR(LEFT(CELL("format",INDEX(Datos!$A$2:$AN$2,1,13)),1)="D",MIN(1,SUMPRODUCT(--ISNUMBER(SEARCH({"fecha","date","periodo","timestamp"},G52))))&gt;0))</f>
        <v>0</v>
      </c>
      <c r="F52" s="88" t="b">
        <f>AND(C52&gt;0,D52&gt;=0.9*C52,NOT(E52),MIN(1,SUMPRODUCT(--ISNUMBER(SEARCH({" id "," id"," cod"," nit "," cedula"," cédula"," telefono"," teléfono"," celular"," sku"," factura"," numero"," número"," nro"," año "," ano "," year"," zip"," postal"," documento"," guia"," guía"," orden"," cuenta"," pedido"," radicado"," consecutivo"," omr"," pob "," placa"," referencia"," ref "},G52))))=0,NOT(AND(K52&gt;=20,K52&gt;=0.95*MIN(500,C52),MIN(1,SUMPRODUCT(--ISNUMBER(SEARCH({"venta","ingreso","monto","importe","total","valor","factur","revenue","sales","amount","utilidad","ganancia","gasto"},G52))))+MIN(1,SUMPRODUCT(--ISNUMBER(SEARCH({"precio","price","unit","costo","cost","promedio","tasa","%","edad","calific","rating","puntaje","porcentaje","satisf","nps","score","nota"},G52))))+MIN(1,SUMPRODUCT(--ISNUMBER(SEARCH({"costo","cost"},G52))))+MIN(1,SUMPRODUCT(--ISNUMBER(SEARCH({" dias"," días","tiempo","demora","duraci","lead"," horas"},G52))))+MIN(1,SUMPRODUCT(--ISNUMBER(SEARCH({"cantidad","unidades","qty","peso","kilos"," kg","volumen","stock","existencia","inventario"},G52))))=0)))</f>
        <v>0</v>
      </c>
      <c r="G52" s="88" t="str">
        <f>" "&amp;LOWER(SUBSTITUTE(SUBSTITUTE(SUBSTITUTE(B52,"_"," "),"-"," "),"."," "))&amp;" "</f>
        <v>  </v>
      </c>
      <c r="H52" s="88" t="b">
        <f>AND(C52&gt;0,D52&lt;0.5*C52)</f>
        <v>0</v>
      </c>
      <c r="I52" s="89">
        <f>IF(F52,2+10*MIN(1,SUMPRODUCT(--ISNUMBER(SEARCH({"venta","ingreso","monto","importe","total","valor","factur","revenue","sales","amount","utilidad","ganancia","gasto"},G52))))+8*MIN(1,SUMPRODUCT(--ISNUMBER(SEARCH({"cantidad","unidades","qty","peso","kilos"," kg","volumen","stock","existencia","inventario"},G52))))*(1-MIN(1,SUMPRODUCT(--ISNUMBER(SEARCH({"venta","ingreso","monto","importe","total","valor","factur","revenue","sales","amount","utilidad","ganancia","gasto"},G52)))))-MIN(1,SUMPRODUCT(--ISNUMBER(SEARCH({"precio","price","unit","costo","cost","promedio","tasa","%","edad","calific","rating","puntaje","porcentaje","satisf","nps","score","nota"},G52))))+0.028,0)</f>
        <v>0</v>
      </c>
      <c r="J52" s="89">
        <f>IF(AND(H52,K52&gt;=2),IF(K52&lt;=40,2+10*MIN(1,SUMPRODUCT(--ISNUMBER(SEARCH({"categor","region","región","producto","linea","línea","segmento","canal","ciudad","tienda","sucursal","vendedor","cliente","tipo","marca","zona","sede","courier","transportadora","oficina","trayecto","motivo","clasifica","proceso"},G52))))+3*AND(K52&gt;=4,K52&lt;=25),0.5+MIN(1,SUMPRODUCT(--ISNUMBER(SEARCH({"categor","region","región","producto","linea","línea","segmento","canal","ciudad","tienda","sucursal","vendedor","cliente","tipo","marca","zona","sede","courier","transportadora","oficina","trayecto","motivo","clasifica","proceso"},G52)))))+0.028,0)</f>
        <v>0</v>
      </c>
      <c r="K52" s="90">
        <f>IF(C52&gt;0,SUMPRODUCT((INDEX(Datos!$A$2:$AN$501,0,13)&lt;&gt;"")/COUNTIF(INDEX(Datos!$A$2:$AN$501,0,13),INDEX(Datos!$A$2:$AN$501,0,13)&amp;"")),0)</f>
        <v>0</v>
      </c>
      <c r="L52" s="89">
        <f>IF(E52,1+MIN(1,SUMPRODUCT(--ISNUMBER(SEARCH({"fecha","date","periodo","timestamp"},G52))))+0.028,0)</f>
        <v>0</v>
      </c>
      <c r="M52" s="89">
        <f>IF(AND(H52,K52&gt;=2,K52&lt;=15),MIN(1,SUMPRODUCT(--ISNUMBER(SEARCH({"etapa","fase","estado","stage","embudo","funnel","paso","status"},G52))))*(1+0.028),0)</f>
        <v>0</v>
      </c>
      <c r="N52" s="89">
        <f>IF(H52,MIN(1,SUMPRODUCT(--ISNUMBER(SEARCH({"departamento","depto","dpto","depart"},G52))))*(1+0.028),0)</f>
        <v>0</v>
      </c>
      <c r="O52" s="89">
        <f>IF(F52,MIN(1,SUMPRODUCT(--ISNUMBER(SEARCH({"costo","cost"},G52))))*(1+0.028),0)</f>
        <v>0</v>
      </c>
      <c r="P52" s="89">
        <f>IF(B52=$E$6,0,I52+5*MIN(1,SUMPRODUCT(--ISNUMBER(SEARCH({" dias"," días","tiempo","demora","duraci","lead"," horas"},G52))))*(I52&gt;0))</f>
        <v>0</v>
      </c>
      <c r="Q52" s="89">
        <f>IF(B52=$E$9,0,J52)</f>
        <v>0</v>
      </c>
      <c r="R52" s="89">
        <f>IF(OR(B52=$E$6,INDEX($I$40:$I$79,MAX(1,$F$6))&lt;12),0,O52)</f>
        <v>0</v>
      </c>
      <c r="S52" s="88" t="b">
        <f>AND(C52&gt;0,D52&lt;0.5*C52,MIN(1,SUMPRODUCT(--ISNUMBER(SEARCH({"fecha","date","periodo","timestamp"},G52))))&gt;0)</f>
        <v>0</v>
      </c>
    </row>
    <row r="53">
      <c r="A53" s="88" t="n">
        <v>14</v>
      </c>
      <c r="B53" s="88" t="str">
        <f>IF(INDEX(Datos!$A$1:$AN$1,1,14)="","",INDEX(Datos!$A$1:$AN$1,1,14)&amp;"")</f>
        <v/>
      </c>
      <c r="C53" s="88">
        <f>IF(B53="",0,COUNTA(INDEX(Datos!$A$2:$AN$1048576,0,14)))</f>
        <v>0</v>
      </c>
      <c r="D53" s="88">
        <f>IF(B53="",0,COUNT(INDEX(Datos!$A$2:$AN$1048576,0,14)))</f>
        <v>0</v>
      </c>
      <c r="E53" s="88" t="b">
        <f>AND(C53&gt;0,D53&gt;=0.9*C53,OR(LEFT(CELL("format",INDEX(Datos!$A$2:$AN$2,1,14)),1)="D",MIN(1,SUMPRODUCT(--ISNUMBER(SEARCH({"fecha","date","periodo","timestamp"},G53))))&gt;0))</f>
        <v>0</v>
      </c>
      <c r="F53" s="88" t="b">
        <f>AND(C53&gt;0,D53&gt;=0.9*C53,NOT(E53),MIN(1,SUMPRODUCT(--ISNUMBER(SEARCH({" id "," id"," cod"," nit "," cedula"," cédula"," telefono"," teléfono"," celular"," sku"," factura"," numero"," número"," nro"," año "," ano "," year"," zip"," postal"," documento"," guia"," guía"," orden"," cuenta"," pedido"," radicado"," consecutivo"," omr"," pob "," placa"," referencia"," ref "},G53))))=0,NOT(AND(K53&gt;=20,K53&gt;=0.95*MIN(500,C53),MIN(1,SUMPRODUCT(--ISNUMBER(SEARCH({"venta","ingreso","monto","importe","total","valor","factur","revenue","sales","amount","utilidad","ganancia","gasto"},G53))))+MIN(1,SUMPRODUCT(--ISNUMBER(SEARCH({"precio","price","unit","costo","cost","promedio","tasa","%","edad","calific","rating","puntaje","porcentaje","satisf","nps","score","nota"},G53))))+MIN(1,SUMPRODUCT(--ISNUMBER(SEARCH({"costo","cost"},G53))))+MIN(1,SUMPRODUCT(--ISNUMBER(SEARCH({" dias"," días","tiempo","demora","duraci","lead"," horas"},G53))))+MIN(1,SUMPRODUCT(--ISNUMBER(SEARCH({"cantidad","unidades","qty","peso","kilos"," kg","volumen","stock","existencia","inventario"},G53))))=0)))</f>
        <v>0</v>
      </c>
      <c r="G53" s="88" t="str">
        <f>" "&amp;LOWER(SUBSTITUTE(SUBSTITUTE(SUBSTITUTE(B53,"_"," "),"-"," "),"."," "))&amp;" "</f>
        <v>  </v>
      </c>
      <c r="H53" s="88" t="b">
        <f>AND(C53&gt;0,D53&lt;0.5*C53)</f>
        <v>0</v>
      </c>
      <c r="I53" s="89">
        <f>IF(F53,2+10*MIN(1,SUMPRODUCT(--ISNUMBER(SEARCH({"venta","ingreso","monto","importe","total","valor","factur","revenue","sales","amount","utilidad","ganancia","gasto"},G53))))+8*MIN(1,SUMPRODUCT(--ISNUMBER(SEARCH({"cantidad","unidades","qty","peso","kilos"," kg","volumen","stock","existencia","inventario"},G53))))*(1-MIN(1,SUMPRODUCT(--ISNUMBER(SEARCH({"venta","ingreso","monto","importe","total","valor","factur","revenue","sales","amount","utilidad","ganancia","gasto"},G53)))))-MIN(1,SUMPRODUCT(--ISNUMBER(SEARCH({"precio","price","unit","costo","cost","promedio","tasa","%","edad","calific","rating","puntaje","porcentaje","satisf","nps","score","nota"},G53))))+0.027,0)</f>
        <v>0</v>
      </c>
      <c r="J53" s="89">
        <f>IF(AND(H53,K53&gt;=2),IF(K53&lt;=40,2+10*MIN(1,SUMPRODUCT(--ISNUMBER(SEARCH({"categor","region","región","producto","linea","línea","segmento","canal","ciudad","tienda","sucursal","vendedor","cliente","tipo","marca","zona","sede","courier","transportadora","oficina","trayecto","motivo","clasifica","proceso"},G53))))+3*AND(K53&gt;=4,K53&lt;=25),0.5+MIN(1,SUMPRODUCT(--ISNUMBER(SEARCH({"categor","region","región","producto","linea","línea","segmento","canal","ciudad","tienda","sucursal","vendedor","cliente","tipo","marca","zona","sede","courier","transportadora","oficina","trayecto","motivo","clasifica","proceso"},G53)))))+0.027,0)</f>
        <v>0</v>
      </c>
      <c r="K53" s="90">
        <f>IF(C53&gt;0,SUMPRODUCT((INDEX(Datos!$A$2:$AN$501,0,14)&lt;&gt;"")/COUNTIF(INDEX(Datos!$A$2:$AN$501,0,14),INDEX(Datos!$A$2:$AN$501,0,14)&amp;"")),0)</f>
        <v>0</v>
      </c>
      <c r="L53" s="89">
        <f>IF(E53,1+MIN(1,SUMPRODUCT(--ISNUMBER(SEARCH({"fecha","date","periodo","timestamp"},G53))))+0.027,0)</f>
        <v>0</v>
      </c>
      <c r="M53" s="89">
        <f>IF(AND(H53,K53&gt;=2,K53&lt;=15),MIN(1,SUMPRODUCT(--ISNUMBER(SEARCH({"etapa","fase","estado","stage","embudo","funnel","paso","status"},G53))))*(1+0.027),0)</f>
        <v>0</v>
      </c>
      <c r="N53" s="89">
        <f>IF(H53,MIN(1,SUMPRODUCT(--ISNUMBER(SEARCH({"departamento","depto","dpto","depart"},G53))))*(1+0.027),0)</f>
        <v>0</v>
      </c>
      <c r="O53" s="89">
        <f>IF(F53,MIN(1,SUMPRODUCT(--ISNUMBER(SEARCH({"costo","cost"},G53))))*(1+0.027),0)</f>
        <v>0</v>
      </c>
      <c r="P53" s="89">
        <f>IF(B53=$E$6,0,I53+5*MIN(1,SUMPRODUCT(--ISNUMBER(SEARCH({" dias"," días","tiempo","demora","duraci","lead"," horas"},G53))))*(I53&gt;0))</f>
        <v>0</v>
      </c>
      <c r="Q53" s="89">
        <f>IF(B53=$E$9,0,J53)</f>
        <v>0</v>
      </c>
      <c r="R53" s="89">
        <f>IF(OR(B53=$E$6,INDEX($I$40:$I$79,MAX(1,$F$6))&lt;12),0,O53)</f>
        <v>0</v>
      </c>
      <c r="S53" s="88" t="b">
        <f>AND(C53&gt;0,D53&lt;0.5*C53,MIN(1,SUMPRODUCT(--ISNUMBER(SEARCH({"fecha","date","periodo","timestamp"},G53))))&gt;0)</f>
        <v>0</v>
      </c>
    </row>
    <row r="54">
      <c r="A54" s="88" t="n">
        <v>15</v>
      </c>
      <c r="B54" s="88" t="str">
        <f>IF(INDEX(Datos!$A$1:$AN$1,1,15)="","",INDEX(Datos!$A$1:$AN$1,1,15)&amp;"")</f>
        <v/>
      </c>
      <c r="C54" s="88">
        <f>IF(B54="",0,COUNTA(INDEX(Datos!$A$2:$AN$1048576,0,15)))</f>
        <v>0</v>
      </c>
      <c r="D54" s="88">
        <f>IF(B54="",0,COUNT(INDEX(Datos!$A$2:$AN$1048576,0,15)))</f>
        <v>0</v>
      </c>
      <c r="E54" s="88" t="b">
        <f>AND(C54&gt;0,D54&gt;=0.9*C54,OR(LEFT(CELL("format",INDEX(Datos!$A$2:$AN$2,1,15)),1)="D",MIN(1,SUMPRODUCT(--ISNUMBER(SEARCH({"fecha","date","periodo","timestamp"},G54))))&gt;0))</f>
        <v>0</v>
      </c>
      <c r="F54" s="88" t="b">
        <f>AND(C54&gt;0,D54&gt;=0.9*C54,NOT(E54),MIN(1,SUMPRODUCT(--ISNUMBER(SEARCH({" id "," id"," cod"," nit "," cedula"," cédula"," telefono"," teléfono"," celular"," sku"," factura"," numero"," número"," nro"," año "," ano "," year"," zip"," postal"," documento"," guia"," guía"," orden"," cuenta"," pedido"," radicado"," consecutivo"," omr"," pob "," placa"," referencia"," ref "},G54))))=0,NOT(AND(K54&gt;=20,K54&gt;=0.95*MIN(500,C54),MIN(1,SUMPRODUCT(--ISNUMBER(SEARCH({"venta","ingreso","monto","importe","total","valor","factur","revenue","sales","amount","utilidad","ganancia","gasto"},G54))))+MIN(1,SUMPRODUCT(--ISNUMBER(SEARCH({"precio","price","unit","costo","cost","promedio","tasa","%","edad","calific","rating","puntaje","porcentaje","satisf","nps","score","nota"},G54))))+MIN(1,SUMPRODUCT(--ISNUMBER(SEARCH({"costo","cost"},G54))))+MIN(1,SUMPRODUCT(--ISNUMBER(SEARCH({" dias"," días","tiempo","demora","duraci","lead"," horas"},G54))))+MIN(1,SUMPRODUCT(--ISNUMBER(SEARCH({"cantidad","unidades","qty","peso","kilos"," kg","volumen","stock","existencia","inventario"},G54))))=0)))</f>
        <v>0</v>
      </c>
      <c r="G54" s="88" t="str">
        <f>" "&amp;LOWER(SUBSTITUTE(SUBSTITUTE(SUBSTITUTE(B54,"_"," "),"-"," "),"."," "))&amp;" "</f>
        <v>  </v>
      </c>
      <c r="H54" s="88" t="b">
        <f>AND(C54&gt;0,D54&lt;0.5*C54)</f>
        <v>0</v>
      </c>
      <c r="I54" s="89">
        <f>IF(F54,2+10*MIN(1,SUMPRODUCT(--ISNUMBER(SEARCH({"venta","ingreso","monto","importe","total","valor","factur","revenue","sales","amount","utilidad","ganancia","gasto"},G54))))+8*MIN(1,SUMPRODUCT(--ISNUMBER(SEARCH({"cantidad","unidades","qty","peso","kilos"," kg","volumen","stock","existencia","inventario"},G54))))*(1-MIN(1,SUMPRODUCT(--ISNUMBER(SEARCH({"venta","ingreso","monto","importe","total","valor","factur","revenue","sales","amount","utilidad","ganancia","gasto"},G54)))))-MIN(1,SUMPRODUCT(--ISNUMBER(SEARCH({"precio","price","unit","costo","cost","promedio","tasa","%","edad","calific","rating","puntaje","porcentaje","satisf","nps","score","nota"},G54))))+0.026,0)</f>
        <v>0</v>
      </c>
      <c r="J54" s="89">
        <f>IF(AND(H54,K54&gt;=2),IF(K54&lt;=40,2+10*MIN(1,SUMPRODUCT(--ISNUMBER(SEARCH({"categor","region","región","producto","linea","línea","segmento","canal","ciudad","tienda","sucursal","vendedor","cliente","tipo","marca","zona","sede","courier","transportadora","oficina","trayecto","motivo","clasifica","proceso"},G54))))+3*AND(K54&gt;=4,K54&lt;=25),0.5+MIN(1,SUMPRODUCT(--ISNUMBER(SEARCH({"categor","region","región","producto","linea","línea","segmento","canal","ciudad","tienda","sucursal","vendedor","cliente","tipo","marca","zona","sede","courier","transportadora","oficina","trayecto","motivo","clasifica","proceso"},G54)))))+0.026,0)</f>
        <v>0</v>
      </c>
      <c r="K54" s="90">
        <f>IF(C54&gt;0,SUMPRODUCT((INDEX(Datos!$A$2:$AN$501,0,15)&lt;&gt;"")/COUNTIF(INDEX(Datos!$A$2:$AN$501,0,15),INDEX(Datos!$A$2:$AN$501,0,15)&amp;"")),0)</f>
        <v>0</v>
      </c>
      <c r="L54" s="89">
        <f>IF(E54,1+MIN(1,SUMPRODUCT(--ISNUMBER(SEARCH({"fecha","date","periodo","timestamp"},G54))))+0.026,0)</f>
        <v>0</v>
      </c>
      <c r="M54" s="89">
        <f>IF(AND(H54,K54&gt;=2,K54&lt;=15),MIN(1,SUMPRODUCT(--ISNUMBER(SEARCH({"etapa","fase","estado","stage","embudo","funnel","paso","status"},G54))))*(1+0.026),0)</f>
        <v>0</v>
      </c>
      <c r="N54" s="89">
        <f>IF(H54,MIN(1,SUMPRODUCT(--ISNUMBER(SEARCH({"departamento","depto","dpto","depart"},G54))))*(1+0.026),0)</f>
        <v>0</v>
      </c>
      <c r="O54" s="89">
        <f>IF(F54,MIN(1,SUMPRODUCT(--ISNUMBER(SEARCH({"costo","cost"},G54))))*(1+0.026),0)</f>
        <v>0</v>
      </c>
      <c r="P54" s="89">
        <f>IF(B54=$E$6,0,I54+5*MIN(1,SUMPRODUCT(--ISNUMBER(SEARCH({" dias"," días","tiempo","demora","duraci","lead"," horas"},G54))))*(I54&gt;0))</f>
        <v>0</v>
      </c>
      <c r="Q54" s="89">
        <f>IF(B54=$E$9,0,J54)</f>
        <v>0</v>
      </c>
      <c r="R54" s="89">
        <f>IF(OR(B54=$E$6,INDEX($I$40:$I$79,MAX(1,$F$6))&lt;12),0,O54)</f>
        <v>0</v>
      </c>
      <c r="S54" s="88" t="b">
        <f>AND(C54&gt;0,D54&lt;0.5*C54,MIN(1,SUMPRODUCT(--ISNUMBER(SEARCH({"fecha","date","periodo","timestamp"},G54))))&gt;0)</f>
        <v>0</v>
      </c>
    </row>
    <row r="55">
      <c r="A55" s="88" t="n">
        <v>16</v>
      </c>
      <c r="B55" s="88" t="str">
        <f>IF(INDEX(Datos!$A$1:$AN$1,1,16)="","",INDEX(Datos!$A$1:$AN$1,1,16)&amp;"")</f>
        <v/>
      </c>
      <c r="C55" s="88">
        <f>IF(B55="",0,COUNTA(INDEX(Datos!$A$2:$AN$1048576,0,16)))</f>
        <v>0</v>
      </c>
      <c r="D55" s="88">
        <f>IF(B55="",0,COUNT(INDEX(Datos!$A$2:$AN$1048576,0,16)))</f>
        <v>0</v>
      </c>
      <c r="E55" s="88" t="b">
        <f>AND(C55&gt;0,D55&gt;=0.9*C55,OR(LEFT(CELL("format",INDEX(Datos!$A$2:$AN$2,1,16)),1)="D",MIN(1,SUMPRODUCT(--ISNUMBER(SEARCH({"fecha","date","periodo","timestamp"},G55))))&gt;0))</f>
        <v>0</v>
      </c>
      <c r="F55" s="88" t="b">
        <f>AND(C55&gt;0,D55&gt;=0.9*C55,NOT(E55),MIN(1,SUMPRODUCT(--ISNUMBER(SEARCH({" id "," id"," cod"," nit "," cedula"," cédula"," telefono"," teléfono"," celular"," sku"," factura"," numero"," número"," nro"," año "," ano "," year"," zip"," postal"," documento"," guia"," guía"," orden"," cuenta"," pedido"," radicado"," consecutivo"," omr"," pob "," placa"," referencia"," ref "},G55))))=0,NOT(AND(K55&gt;=20,K55&gt;=0.95*MIN(500,C55),MIN(1,SUMPRODUCT(--ISNUMBER(SEARCH({"venta","ingreso","monto","importe","total","valor","factur","revenue","sales","amount","utilidad","ganancia","gasto"},G55))))+MIN(1,SUMPRODUCT(--ISNUMBER(SEARCH({"precio","price","unit","costo","cost","promedio","tasa","%","edad","calific","rating","puntaje","porcentaje","satisf","nps","score","nota"},G55))))+MIN(1,SUMPRODUCT(--ISNUMBER(SEARCH({"costo","cost"},G55))))+MIN(1,SUMPRODUCT(--ISNUMBER(SEARCH({" dias"," días","tiempo","demora","duraci","lead"," horas"},G55))))+MIN(1,SUMPRODUCT(--ISNUMBER(SEARCH({"cantidad","unidades","qty","peso","kilos"," kg","volumen","stock","existencia","inventario"},G55))))=0)))</f>
        <v>0</v>
      </c>
      <c r="G55" s="88" t="str">
        <f>" "&amp;LOWER(SUBSTITUTE(SUBSTITUTE(SUBSTITUTE(B55,"_"," "),"-"," "),"."," "))&amp;" "</f>
        <v>  </v>
      </c>
      <c r="H55" s="88" t="b">
        <f>AND(C55&gt;0,D55&lt;0.5*C55)</f>
        <v>0</v>
      </c>
      <c r="I55" s="89">
        <f>IF(F55,2+10*MIN(1,SUMPRODUCT(--ISNUMBER(SEARCH({"venta","ingreso","monto","importe","total","valor","factur","revenue","sales","amount","utilidad","ganancia","gasto"},G55))))+8*MIN(1,SUMPRODUCT(--ISNUMBER(SEARCH({"cantidad","unidades","qty","peso","kilos"," kg","volumen","stock","existencia","inventario"},G55))))*(1-MIN(1,SUMPRODUCT(--ISNUMBER(SEARCH({"venta","ingreso","monto","importe","total","valor","factur","revenue","sales","amount","utilidad","ganancia","gasto"},G55)))))-MIN(1,SUMPRODUCT(--ISNUMBER(SEARCH({"precio","price","unit","costo","cost","promedio","tasa","%","edad","calific","rating","puntaje","porcentaje","satisf","nps","score","nota"},G55))))+0.025,0)</f>
        <v>0</v>
      </c>
      <c r="J55" s="89">
        <f>IF(AND(H55,K55&gt;=2),IF(K55&lt;=40,2+10*MIN(1,SUMPRODUCT(--ISNUMBER(SEARCH({"categor","region","región","producto","linea","línea","segmento","canal","ciudad","tienda","sucursal","vendedor","cliente","tipo","marca","zona","sede","courier","transportadora","oficina","trayecto","motivo","clasifica","proceso"},G55))))+3*AND(K55&gt;=4,K55&lt;=25),0.5+MIN(1,SUMPRODUCT(--ISNUMBER(SEARCH({"categor","region","región","producto","linea","línea","segmento","canal","ciudad","tienda","sucursal","vendedor","cliente","tipo","marca","zona","sede","courier","transportadora","oficina","trayecto","motivo","clasifica","proceso"},G55)))))+0.025,0)</f>
        <v>0</v>
      </c>
      <c r="K55" s="90">
        <f>IF(C55&gt;0,SUMPRODUCT((INDEX(Datos!$A$2:$AN$501,0,16)&lt;&gt;"")/COUNTIF(INDEX(Datos!$A$2:$AN$501,0,16),INDEX(Datos!$A$2:$AN$501,0,16)&amp;"")),0)</f>
        <v>0</v>
      </c>
      <c r="L55" s="89">
        <f>IF(E55,1+MIN(1,SUMPRODUCT(--ISNUMBER(SEARCH({"fecha","date","periodo","timestamp"},G55))))+0.025,0)</f>
        <v>0</v>
      </c>
      <c r="M55" s="89">
        <f>IF(AND(H55,K55&gt;=2,K55&lt;=15),MIN(1,SUMPRODUCT(--ISNUMBER(SEARCH({"etapa","fase","estado","stage","embudo","funnel","paso","status"},G55))))*(1+0.025),0)</f>
        <v>0</v>
      </c>
      <c r="N55" s="89">
        <f>IF(H55,MIN(1,SUMPRODUCT(--ISNUMBER(SEARCH({"departamento","depto","dpto","depart"},G55))))*(1+0.025),0)</f>
        <v>0</v>
      </c>
      <c r="O55" s="89">
        <f>IF(F55,MIN(1,SUMPRODUCT(--ISNUMBER(SEARCH({"costo","cost"},G55))))*(1+0.025),0)</f>
        <v>0</v>
      </c>
      <c r="P55" s="89">
        <f>IF(B55=$E$6,0,I55+5*MIN(1,SUMPRODUCT(--ISNUMBER(SEARCH({" dias"," días","tiempo","demora","duraci","lead"," horas"},G55))))*(I55&gt;0))</f>
        <v>0</v>
      </c>
      <c r="Q55" s="89">
        <f>IF(B55=$E$9,0,J55)</f>
        <v>0</v>
      </c>
      <c r="R55" s="89">
        <f>IF(OR(B55=$E$6,INDEX($I$40:$I$79,MAX(1,$F$6))&lt;12),0,O55)</f>
        <v>0</v>
      </c>
      <c r="S55" s="88" t="b">
        <f>AND(C55&gt;0,D55&lt;0.5*C55,MIN(1,SUMPRODUCT(--ISNUMBER(SEARCH({"fecha","date","periodo","timestamp"},G55))))&gt;0)</f>
        <v>0</v>
      </c>
    </row>
    <row r="56">
      <c r="A56" s="88" t="n">
        <v>17</v>
      </c>
      <c r="B56" s="88" t="str">
        <f>IF(INDEX(Datos!$A$1:$AN$1,1,17)="","",INDEX(Datos!$A$1:$AN$1,1,17)&amp;"")</f>
        <v/>
      </c>
      <c r="C56" s="88">
        <f>IF(B56="",0,COUNTA(INDEX(Datos!$A$2:$AN$1048576,0,17)))</f>
        <v>0</v>
      </c>
      <c r="D56" s="88">
        <f>IF(B56="",0,COUNT(INDEX(Datos!$A$2:$AN$1048576,0,17)))</f>
        <v>0</v>
      </c>
      <c r="E56" s="88" t="b">
        <f>AND(C56&gt;0,D56&gt;=0.9*C56,OR(LEFT(CELL("format",INDEX(Datos!$A$2:$AN$2,1,17)),1)="D",MIN(1,SUMPRODUCT(--ISNUMBER(SEARCH({"fecha","date","periodo","timestamp"},G56))))&gt;0))</f>
        <v>0</v>
      </c>
      <c r="F56" s="88" t="b">
        <f>AND(C56&gt;0,D56&gt;=0.9*C56,NOT(E56),MIN(1,SUMPRODUCT(--ISNUMBER(SEARCH({" id "," id"," cod"," nit "," cedula"," cédula"," telefono"," teléfono"," celular"," sku"," factura"," numero"," número"," nro"," año "," ano "," year"," zip"," postal"," documento"," guia"," guía"," orden"," cuenta"," pedido"," radicado"," consecutivo"," omr"," pob "," placa"," referencia"," ref "},G56))))=0,NOT(AND(K56&gt;=20,K56&gt;=0.95*MIN(500,C56),MIN(1,SUMPRODUCT(--ISNUMBER(SEARCH({"venta","ingreso","monto","importe","total","valor","factur","revenue","sales","amount","utilidad","ganancia","gasto"},G56))))+MIN(1,SUMPRODUCT(--ISNUMBER(SEARCH({"precio","price","unit","costo","cost","promedio","tasa","%","edad","calific","rating","puntaje","porcentaje","satisf","nps","score","nota"},G56))))+MIN(1,SUMPRODUCT(--ISNUMBER(SEARCH({"costo","cost"},G56))))+MIN(1,SUMPRODUCT(--ISNUMBER(SEARCH({" dias"," días","tiempo","demora","duraci","lead"," horas"},G56))))+MIN(1,SUMPRODUCT(--ISNUMBER(SEARCH({"cantidad","unidades","qty","peso","kilos"," kg","volumen","stock","existencia","inventario"},G56))))=0)))</f>
        <v>0</v>
      </c>
      <c r="G56" s="88" t="str">
        <f>" "&amp;LOWER(SUBSTITUTE(SUBSTITUTE(SUBSTITUTE(B56,"_"," "),"-"," "),"."," "))&amp;" "</f>
        <v>  </v>
      </c>
      <c r="H56" s="88" t="b">
        <f>AND(C56&gt;0,D56&lt;0.5*C56)</f>
        <v>0</v>
      </c>
      <c r="I56" s="89">
        <f>IF(F56,2+10*MIN(1,SUMPRODUCT(--ISNUMBER(SEARCH({"venta","ingreso","monto","importe","total","valor","factur","revenue","sales","amount","utilidad","ganancia","gasto"},G56))))+8*MIN(1,SUMPRODUCT(--ISNUMBER(SEARCH({"cantidad","unidades","qty","peso","kilos"," kg","volumen","stock","existencia","inventario"},G56))))*(1-MIN(1,SUMPRODUCT(--ISNUMBER(SEARCH({"venta","ingreso","monto","importe","total","valor","factur","revenue","sales","amount","utilidad","ganancia","gasto"},G56)))))-MIN(1,SUMPRODUCT(--ISNUMBER(SEARCH({"precio","price","unit","costo","cost","promedio","tasa","%","edad","calific","rating","puntaje","porcentaje","satisf","nps","score","nota"},G56))))+0.024,0)</f>
        <v>0</v>
      </c>
      <c r="J56" s="89">
        <f>IF(AND(H56,K56&gt;=2),IF(K56&lt;=40,2+10*MIN(1,SUMPRODUCT(--ISNUMBER(SEARCH({"categor","region","región","producto","linea","línea","segmento","canal","ciudad","tienda","sucursal","vendedor","cliente","tipo","marca","zona","sede","courier","transportadora","oficina","trayecto","motivo","clasifica","proceso"},G56))))+3*AND(K56&gt;=4,K56&lt;=25),0.5+MIN(1,SUMPRODUCT(--ISNUMBER(SEARCH({"categor","region","región","producto","linea","línea","segmento","canal","ciudad","tienda","sucursal","vendedor","cliente","tipo","marca","zona","sede","courier","transportadora","oficina","trayecto","motivo","clasifica","proceso"},G56)))))+0.024,0)</f>
        <v>0</v>
      </c>
      <c r="K56" s="90">
        <f>IF(C56&gt;0,SUMPRODUCT((INDEX(Datos!$A$2:$AN$501,0,17)&lt;&gt;"")/COUNTIF(INDEX(Datos!$A$2:$AN$501,0,17),INDEX(Datos!$A$2:$AN$501,0,17)&amp;"")),0)</f>
        <v>0</v>
      </c>
      <c r="L56" s="89">
        <f>IF(E56,1+MIN(1,SUMPRODUCT(--ISNUMBER(SEARCH({"fecha","date","periodo","timestamp"},G56))))+0.024,0)</f>
        <v>0</v>
      </c>
      <c r="M56" s="89">
        <f>IF(AND(H56,K56&gt;=2,K56&lt;=15),MIN(1,SUMPRODUCT(--ISNUMBER(SEARCH({"etapa","fase","estado","stage","embudo","funnel","paso","status"},G56))))*(1+0.024),0)</f>
        <v>0</v>
      </c>
      <c r="N56" s="89">
        <f>IF(H56,MIN(1,SUMPRODUCT(--ISNUMBER(SEARCH({"departamento","depto","dpto","depart"},G56))))*(1+0.024),0)</f>
        <v>0</v>
      </c>
      <c r="O56" s="89">
        <f>IF(F56,MIN(1,SUMPRODUCT(--ISNUMBER(SEARCH({"costo","cost"},G56))))*(1+0.024),0)</f>
        <v>0</v>
      </c>
      <c r="P56" s="89">
        <f>IF(B56=$E$6,0,I56+5*MIN(1,SUMPRODUCT(--ISNUMBER(SEARCH({" dias"," días","tiempo","demora","duraci","lead"," horas"},G56))))*(I56&gt;0))</f>
        <v>0</v>
      </c>
      <c r="Q56" s="89">
        <f>IF(B56=$E$9,0,J56)</f>
        <v>0</v>
      </c>
      <c r="R56" s="89">
        <f>IF(OR(B56=$E$6,INDEX($I$40:$I$79,MAX(1,$F$6))&lt;12),0,O56)</f>
        <v>0</v>
      </c>
      <c r="S56" s="88" t="b">
        <f>AND(C56&gt;0,D56&lt;0.5*C56,MIN(1,SUMPRODUCT(--ISNUMBER(SEARCH({"fecha","date","periodo","timestamp"},G56))))&gt;0)</f>
        <v>0</v>
      </c>
    </row>
    <row r="57">
      <c r="A57" s="88" t="n">
        <v>18</v>
      </c>
      <c r="B57" s="88" t="str">
        <f>IF(INDEX(Datos!$A$1:$AN$1,1,18)="","",INDEX(Datos!$A$1:$AN$1,1,18)&amp;"")</f>
        <v/>
      </c>
      <c r="C57" s="88">
        <f>IF(B57="",0,COUNTA(INDEX(Datos!$A$2:$AN$1048576,0,18)))</f>
        <v>0</v>
      </c>
      <c r="D57" s="88">
        <f>IF(B57="",0,COUNT(INDEX(Datos!$A$2:$AN$1048576,0,18)))</f>
        <v>0</v>
      </c>
      <c r="E57" s="88" t="b">
        <f>AND(C57&gt;0,D57&gt;=0.9*C57,OR(LEFT(CELL("format",INDEX(Datos!$A$2:$AN$2,1,18)),1)="D",MIN(1,SUMPRODUCT(--ISNUMBER(SEARCH({"fecha","date","periodo","timestamp"},G57))))&gt;0))</f>
        <v>0</v>
      </c>
      <c r="F57" s="88" t="b">
        <f>AND(C57&gt;0,D57&gt;=0.9*C57,NOT(E57),MIN(1,SUMPRODUCT(--ISNUMBER(SEARCH({" id "," id"," cod"," nit "," cedula"," cédula"," telefono"," teléfono"," celular"," sku"," factura"," numero"," número"," nro"," año "," ano "," year"," zip"," postal"," documento"," guia"," guía"," orden"," cuenta"," pedido"," radicado"," consecutivo"," omr"," pob "," placa"," referencia"," ref "},G57))))=0,NOT(AND(K57&gt;=20,K57&gt;=0.95*MIN(500,C57),MIN(1,SUMPRODUCT(--ISNUMBER(SEARCH({"venta","ingreso","monto","importe","total","valor","factur","revenue","sales","amount","utilidad","ganancia","gasto"},G57))))+MIN(1,SUMPRODUCT(--ISNUMBER(SEARCH({"precio","price","unit","costo","cost","promedio","tasa","%","edad","calific","rating","puntaje","porcentaje","satisf","nps","score","nota"},G57))))+MIN(1,SUMPRODUCT(--ISNUMBER(SEARCH({"costo","cost"},G57))))+MIN(1,SUMPRODUCT(--ISNUMBER(SEARCH({" dias"," días","tiempo","demora","duraci","lead"," horas"},G57))))+MIN(1,SUMPRODUCT(--ISNUMBER(SEARCH({"cantidad","unidades","qty","peso","kilos"," kg","volumen","stock","existencia","inventario"},G57))))=0)))</f>
        <v>0</v>
      </c>
      <c r="G57" s="88" t="str">
        <f>" "&amp;LOWER(SUBSTITUTE(SUBSTITUTE(SUBSTITUTE(B57,"_"," "),"-"," "),"."," "))&amp;" "</f>
        <v>  </v>
      </c>
      <c r="H57" s="88" t="b">
        <f>AND(C57&gt;0,D57&lt;0.5*C57)</f>
        <v>0</v>
      </c>
      <c r="I57" s="89">
        <f>IF(F57,2+10*MIN(1,SUMPRODUCT(--ISNUMBER(SEARCH({"venta","ingreso","monto","importe","total","valor","factur","revenue","sales","amount","utilidad","ganancia","gasto"},G57))))+8*MIN(1,SUMPRODUCT(--ISNUMBER(SEARCH({"cantidad","unidades","qty","peso","kilos"," kg","volumen","stock","existencia","inventario"},G57))))*(1-MIN(1,SUMPRODUCT(--ISNUMBER(SEARCH({"venta","ingreso","monto","importe","total","valor","factur","revenue","sales","amount","utilidad","ganancia","gasto"},G57)))))-MIN(1,SUMPRODUCT(--ISNUMBER(SEARCH({"precio","price","unit","costo","cost","promedio","tasa","%","edad","calific","rating","puntaje","porcentaje","satisf","nps","score","nota"},G57))))+0.023,0)</f>
        <v>0</v>
      </c>
      <c r="J57" s="89">
        <f>IF(AND(H57,K57&gt;=2),IF(K57&lt;=40,2+10*MIN(1,SUMPRODUCT(--ISNUMBER(SEARCH({"categor","region","región","producto","linea","línea","segmento","canal","ciudad","tienda","sucursal","vendedor","cliente","tipo","marca","zona","sede","courier","transportadora","oficina","trayecto","motivo","clasifica","proceso"},G57))))+3*AND(K57&gt;=4,K57&lt;=25),0.5+MIN(1,SUMPRODUCT(--ISNUMBER(SEARCH({"categor","region","región","producto","linea","línea","segmento","canal","ciudad","tienda","sucursal","vendedor","cliente","tipo","marca","zona","sede","courier","transportadora","oficina","trayecto","motivo","clasifica","proceso"},G57)))))+0.023,0)</f>
        <v>0</v>
      </c>
      <c r="K57" s="90">
        <f>IF(C57&gt;0,SUMPRODUCT((INDEX(Datos!$A$2:$AN$501,0,18)&lt;&gt;"")/COUNTIF(INDEX(Datos!$A$2:$AN$501,0,18),INDEX(Datos!$A$2:$AN$501,0,18)&amp;"")),0)</f>
        <v>0</v>
      </c>
      <c r="L57" s="89">
        <f>IF(E57,1+MIN(1,SUMPRODUCT(--ISNUMBER(SEARCH({"fecha","date","periodo","timestamp"},G57))))+0.023,0)</f>
        <v>0</v>
      </c>
      <c r="M57" s="89">
        <f>IF(AND(H57,K57&gt;=2,K57&lt;=15),MIN(1,SUMPRODUCT(--ISNUMBER(SEARCH({"etapa","fase","estado","stage","embudo","funnel","paso","status"},G57))))*(1+0.023),0)</f>
        <v>0</v>
      </c>
      <c r="N57" s="89">
        <f>IF(H57,MIN(1,SUMPRODUCT(--ISNUMBER(SEARCH({"departamento","depto","dpto","depart"},G57))))*(1+0.023),0)</f>
        <v>0</v>
      </c>
      <c r="O57" s="89">
        <f>IF(F57,MIN(1,SUMPRODUCT(--ISNUMBER(SEARCH({"costo","cost"},G57))))*(1+0.023),0)</f>
        <v>0</v>
      </c>
      <c r="P57" s="89">
        <f>IF(B57=$E$6,0,I57+5*MIN(1,SUMPRODUCT(--ISNUMBER(SEARCH({" dias"," días","tiempo","demora","duraci","lead"," horas"},G57))))*(I57&gt;0))</f>
        <v>0</v>
      </c>
      <c r="Q57" s="89">
        <f>IF(B57=$E$9,0,J57)</f>
        <v>0</v>
      </c>
      <c r="R57" s="89">
        <f>IF(OR(B57=$E$6,INDEX($I$40:$I$79,MAX(1,$F$6))&lt;12),0,O57)</f>
        <v>0</v>
      </c>
      <c r="S57" s="88" t="b">
        <f>AND(C57&gt;0,D57&lt;0.5*C57,MIN(1,SUMPRODUCT(--ISNUMBER(SEARCH({"fecha","date","periodo","timestamp"},G57))))&gt;0)</f>
        <v>0</v>
      </c>
    </row>
    <row r="58">
      <c r="A58" s="88" t="n">
        <v>19</v>
      </c>
      <c r="B58" s="88" t="str">
        <f>IF(INDEX(Datos!$A$1:$AN$1,1,19)="","",INDEX(Datos!$A$1:$AN$1,1,19)&amp;"")</f>
        <v/>
      </c>
      <c r="C58" s="88">
        <f>IF(B58="",0,COUNTA(INDEX(Datos!$A$2:$AN$1048576,0,19)))</f>
        <v>0</v>
      </c>
      <c r="D58" s="88">
        <f>IF(B58="",0,COUNT(INDEX(Datos!$A$2:$AN$1048576,0,19)))</f>
        <v>0</v>
      </c>
      <c r="E58" s="88" t="b">
        <f>AND(C58&gt;0,D58&gt;=0.9*C58,OR(LEFT(CELL("format",INDEX(Datos!$A$2:$AN$2,1,19)),1)="D",MIN(1,SUMPRODUCT(--ISNUMBER(SEARCH({"fecha","date","periodo","timestamp"},G58))))&gt;0))</f>
        <v>0</v>
      </c>
      <c r="F58" s="88" t="b">
        <f>AND(C58&gt;0,D58&gt;=0.9*C58,NOT(E58),MIN(1,SUMPRODUCT(--ISNUMBER(SEARCH({" id "," id"," cod"," nit "," cedula"," cédula"," telefono"," teléfono"," celular"," sku"," factura"," numero"," número"," nro"," año "," ano "," year"," zip"," postal"," documento"," guia"," guía"," orden"," cuenta"," pedido"," radicado"," consecutivo"," omr"," pob "," placa"," referencia"," ref "},G58))))=0,NOT(AND(K58&gt;=20,K58&gt;=0.95*MIN(500,C58),MIN(1,SUMPRODUCT(--ISNUMBER(SEARCH({"venta","ingreso","monto","importe","total","valor","factur","revenue","sales","amount","utilidad","ganancia","gasto"},G58))))+MIN(1,SUMPRODUCT(--ISNUMBER(SEARCH({"precio","price","unit","costo","cost","promedio","tasa","%","edad","calific","rating","puntaje","porcentaje","satisf","nps","score","nota"},G58))))+MIN(1,SUMPRODUCT(--ISNUMBER(SEARCH({"costo","cost"},G58))))+MIN(1,SUMPRODUCT(--ISNUMBER(SEARCH({" dias"," días","tiempo","demora","duraci","lead"," horas"},G58))))+MIN(1,SUMPRODUCT(--ISNUMBER(SEARCH({"cantidad","unidades","qty","peso","kilos"," kg","volumen","stock","existencia","inventario"},G58))))=0)))</f>
        <v>0</v>
      </c>
      <c r="G58" s="88" t="str">
        <f>" "&amp;LOWER(SUBSTITUTE(SUBSTITUTE(SUBSTITUTE(B58,"_"," "),"-"," "),"."," "))&amp;" "</f>
        <v>  </v>
      </c>
      <c r="H58" s="88" t="b">
        <f>AND(C58&gt;0,D58&lt;0.5*C58)</f>
        <v>0</v>
      </c>
      <c r="I58" s="89">
        <f>IF(F58,2+10*MIN(1,SUMPRODUCT(--ISNUMBER(SEARCH({"venta","ingreso","monto","importe","total","valor","factur","revenue","sales","amount","utilidad","ganancia","gasto"},G58))))+8*MIN(1,SUMPRODUCT(--ISNUMBER(SEARCH({"cantidad","unidades","qty","peso","kilos"," kg","volumen","stock","existencia","inventario"},G58))))*(1-MIN(1,SUMPRODUCT(--ISNUMBER(SEARCH({"venta","ingreso","monto","importe","total","valor","factur","revenue","sales","amount","utilidad","ganancia","gasto"},G58)))))-MIN(1,SUMPRODUCT(--ISNUMBER(SEARCH({"precio","price","unit","costo","cost","promedio","tasa","%","edad","calific","rating","puntaje","porcentaje","satisf","nps","score","nota"},G58))))+0.022,0)</f>
        <v>0</v>
      </c>
      <c r="J58" s="89">
        <f>IF(AND(H58,K58&gt;=2),IF(K58&lt;=40,2+10*MIN(1,SUMPRODUCT(--ISNUMBER(SEARCH({"categor","region","región","producto","linea","línea","segmento","canal","ciudad","tienda","sucursal","vendedor","cliente","tipo","marca","zona","sede","courier","transportadora","oficina","trayecto","motivo","clasifica","proceso"},G58))))+3*AND(K58&gt;=4,K58&lt;=25),0.5+MIN(1,SUMPRODUCT(--ISNUMBER(SEARCH({"categor","region","región","producto","linea","línea","segmento","canal","ciudad","tienda","sucursal","vendedor","cliente","tipo","marca","zona","sede","courier","transportadora","oficina","trayecto","motivo","clasifica","proceso"},G58)))))+0.022,0)</f>
        <v>0</v>
      </c>
      <c r="K58" s="90">
        <f>IF(C58&gt;0,SUMPRODUCT((INDEX(Datos!$A$2:$AN$501,0,19)&lt;&gt;"")/COUNTIF(INDEX(Datos!$A$2:$AN$501,0,19),INDEX(Datos!$A$2:$AN$501,0,19)&amp;"")),0)</f>
        <v>0</v>
      </c>
      <c r="L58" s="89">
        <f>IF(E58,1+MIN(1,SUMPRODUCT(--ISNUMBER(SEARCH({"fecha","date","periodo","timestamp"},G58))))+0.022,0)</f>
        <v>0</v>
      </c>
      <c r="M58" s="89">
        <f>IF(AND(H58,K58&gt;=2,K58&lt;=15),MIN(1,SUMPRODUCT(--ISNUMBER(SEARCH({"etapa","fase","estado","stage","embudo","funnel","paso","status"},G58))))*(1+0.022),0)</f>
        <v>0</v>
      </c>
      <c r="N58" s="89">
        <f>IF(H58,MIN(1,SUMPRODUCT(--ISNUMBER(SEARCH({"departamento","depto","dpto","depart"},G58))))*(1+0.022),0)</f>
        <v>0</v>
      </c>
      <c r="O58" s="89">
        <f>IF(F58,MIN(1,SUMPRODUCT(--ISNUMBER(SEARCH({"costo","cost"},G58))))*(1+0.022),0)</f>
        <v>0</v>
      </c>
      <c r="P58" s="89">
        <f>IF(B58=$E$6,0,I58+5*MIN(1,SUMPRODUCT(--ISNUMBER(SEARCH({" dias"," días","tiempo","demora","duraci","lead"," horas"},G58))))*(I58&gt;0))</f>
        <v>0</v>
      </c>
      <c r="Q58" s="89">
        <f>IF(B58=$E$9,0,J58)</f>
        <v>0</v>
      </c>
      <c r="R58" s="89">
        <f>IF(OR(B58=$E$6,INDEX($I$40:$I$79,MAX(1,$F$6))&lt;12),0,O58)</f>
        <v>0</v>
      </c>
      <c r="S58" s="88" t="b">
        <f>AND(C58&gt;0,D58&lt;0.5*C58,MIN(1,SUMPRODUCT(--ISNUMBER(SEARCH({"fecha","date","periodo","timestamp"},G58))))&gt;0)</f>
        <v>0</v>
      </c>
    </row>
    <row r="59">
      <c r="A59" s="88" t="n">
        <v>20</v>
      </c>
      <c r="B59" s="88" t="str">
        <f>IF(INDEX(Datos!$A$1:$AN$1,1,20)="","",INDEX(Datos!$A$1:$AN$1,1,20)&amp;"")</f>
        <v/>
      </c>
      <c r="C59" s="88">
        <f>IF(B59="",0,COUNTA(INDEX(Datos!$A$2:$AN$1048576,0,20)))</f>
        <v>0</v>
      </c>
      <c r="D59" s="88">
        <f>IF(B59="",0,COUNT(INDEX(Datos!$A$2:$AN$1048576,0,20)))</f>
        <v>0</v>
      </c>
      <c r="E59" s="88" t="b">
        <f>AND(C59&gt;0,D59&gt;=0.9*C59,OR(LEFT(CELL("format",INDEX(Datos!$A$2:$AN$2,1,20)),1)="D",MIN(1,SUMPRODUCT(--ISNUMBER(SEARCH({"fecha","date","periodo","timestamp"},G59))))&gt;0))</f>
        <v>0</v>
      </c>
      <c r="F59" s="88" t="b">
        <f>AND(C59&gt;0,D59&gt;=0.9*C59,NOT(E59),MIN(1,SUMPRODUCT(--ISNUMBER(SEARCH({" id "," id"," cod"," nit "," cedula"," cédula"," telefono"," teléfono"," celular"," sku"," factura"," numero"," número"," nro"," año "," ano "," year"," zip"," postal"," documento"," guia"," guía"," orden"," cuenta"," pedido"," radicado"," consecutivo"," omr"," pob "," placa"," referencia"," ref "},G59))))=0,NOT(AND(K59&gt;=20,K59&gt;=0.95*MIN(500,C59),MIN(1,SUMPRODUCT(--ISNUMBER(SEARCH({"venta","ingreso","monto","importe","total","valor","factur","revenue","sales","amount","utilidad","ganancia","gasto"},G59))))+MIN(1,SUMPRODUCT(--ISNUMBER(SEARCH({"precio","price","unit","costo","cost","promedio","tasa","%","edad","calific","rating","puntaje","porcentaje","satisf","nps","score","nota"},G59))))+MIN(1,SUMPRODUCT(--ISNUMBER(SEARCH({"costo","cost"},G59))))+MIN(1,SUMPRODUCT(--ISNUMBER(SEARCH({" dias"," días","tiempo","demora","duraci","lead"," horas"},G59))))+MIN(1,SUMPRODUCT(--ISNUMBER(SEARCH({"cantidad","unidades","qty","peso","kilos"," kg","volumen","stock","existencia","inventario"},G59))))=0)))</f>
        <v>0</v>
      </c>
      <c r="G59" s="88" t="str">
        <f>" "&amp;LOWER(SUBSTITUTE(SUBSTITUTE(SUBSTITUTE(B59,"_"," "),"-"," "),"."," "))&amp;" "</f>
        <v>  </v>
      </c>
      <c r="H59" s="88" t="b">
        <f>AND(C59&gt;0,D59&lt;0.5*C59)</f>
        <v>0</v>
      </c>
      <c r="I59" s="89">
        <f>IF(F59,2+10*MIN(1,SUMPRODUCT(--ISNUMBER(SEARCH({"venta","ingreso","monto","importe","total","valor","factur","revenue","sales","amount","utilidad","ganancia","gasto"},G59))))+8*MIN(1,SUMPRODUCT(--ISNUMBER(SEARCH({"cantidad","unidades","qty","peso","kilos"," kg","volumen","stock","existencia","inventario"},G59))))*(1-MIN(1,SUMPRODUCT(--ISNUMBER(SEARCH({"venta","ingreso","monto","importe","total","valor","factur","revenue","sales","amount","utilidad","ganancia","gasto"},G59)))))-MIN(1,SUMPRODUCT(--ISNUMBER(SEARCH({"precio","price","unit","costo","cost","promedio","tasa","%","edad","calific","rating","puntaje","porcentaje","satisf","nps","score","nota"},G59))))+0.021,0)</f>
        <v>0</v>
      </c>
      <c r="J59" s="89">
        <f>IF(AND(H59,K59&gt;=2),IF(K59&lt;=40,2+10*MIN(1,SUMPRODUCT(--ISNUMBER(SEARCH({"categor","region","región","producto","linea","línea","segmento","canal","ciudad","tienda","sucursal","vendedor","cliente","tipo","marca","zona","sede","courier","transportadora","oficina","trayecto","motivo","clasifica","proceso"},G59))))+3*AND(K59&gt;=4,K59&lt;=25),0.5+MIN(1,SUMPRODUCT(--ISNUMBER(SEARCH({"categor","region","región","producto","linea","línea","segmento","canal","ciudad","tienda","sucursal","vendedor","cliente","tipo","marca","zona","sede","courier","transportadora","oficina","trayecto","motivo","clasifica","proceso"},G59)))))+0.021,0)</f>
        <v>0</v>
      </c>
      <c r="K59" s="90">
        <f>IF(C59&gt;0,SUMPRODUCT((INDEX(Datos!$A$2:$AN$501,0,20)&lt;&gt;"")/COUNTIF(INDEX(Datos!$A$2:$AN$501,0,20),INDEX(Datos!$A$2:$AN$501,0,20)&amp;"")),0)</f>
        <v>0</v>
      </c>
      <c r="L59" s="89">
        <f>IF(E59,1+MIN(1,SUMPRODUCT(--ISNUMBER(SEARCH({"fecha","date","periodo","timestamp"},G59))))+0.021,0)</f>
        <v>0</v>
      </c>
      <c r="M59" s="89">
        <f>IF(AND(H59,K59&gt;=2,K59&lt;=15),MIN(1,SUMPRODUCT(--ISNUMBER(SEARCH({"etapa","fase","estado","stage","embudo","funnel","paso","status"},G59))))*(1+0.021),0)</f>
        <v>0</v>
      </c>
      <c r="N59" s="89">
        <f>IF(H59,MIN(1,SUMPRODUCT(--ISNUMBER(SEARCH({"departamento","depto","dpto","depart"},G59))))*(1+0.021),0)</f>
        <v>0</v>
      </c>
      <c r="O59" s="89">
        <f>IF(F59,MIN(1,SUMPRODUCT(--ISNUMBER(SEARCH({"costo","cost"},G59))))*(1+0.021),0)</f>
        <v>0</v>
      </c>
      <c r="P59" s="89">
        <f>IF(B59=$E$6,0,I59+5*MIN(1,SUMPRODUCT(--ISNUMBER(SEARCH({" dias"," días","tiempo","demora","duraci","lead"," horas"},G59))))*(I59&gt;0))</f>
        <v>0</v>
      </c>
      <c r="Q59" s="89">
        <f>IF(B59=$E$9,0,J59)</f>
        <v>0</v>
      </c>
      <c r="R59" s="89">
        <f>IF(OR(B59=$E$6,INDEX($I$40:$I$79,MAX(1,$F$6))&lt;12),0,O59)</f>
        <v>0</v>
      </c>
      <c r="S59" s="88" t="b">
        <f>AND(C59&gt;0,D59&lt;0.5*C59,MIN(1,SUMPRODUCT(--ISNUMBER(SEARCH({"fecha","date","periodo","timestamp"},G59))))&gt;0)</f>
        <v>0</v>
      </c>
    </row>
    <row r="60">
      <c r="A60" s="88" t="n">
        <v>21</v>
      </c>
      <c r="B60" s="88" t="str">
        <f>IF(INDEX(Datos!$A$1:$AN$1,1,21)="","",INDEX(Datos!$A$1:$AN$1,1,21)&amp;"")</f>
        <v/>
      </c>
      <c r="C60" s="88">
        <f>IF(B60="",0,COUNTA(INDEX(Datos!$A$2:$AN$1048576,0,21)))</f>
        <v>0</v>
      </c>
      <c r="D60" s="88">
        <f>IF(B60="",0,COUNT(INDEX(Datos!$A$2:$AN$1048576,0,21)))</f>
        <v>0</v>
      </c>
      <c r="E60" s="88" t="b">
        <f>AND(C60&gt;0,D60&gt;=0.9*C60,OR(LEFT(CELL("format",INDEX(Datos!$A$2:$AN$2,1,21)),1)="D",MIN(1,SUMPRODUCT(--ISNUMBER(SEARCH({"fecha","date","periodo","timestamp"},G60))))&gt;0))</f>
        <v>0</v>
      </c>
      <c r="F60" s="88" t="b">
        <f>AND(C60&gt;0,D60&gt;=0.9*C60,NOT(E60),MIN(1,SUMPRODUCT(--ISNUMBER(SEARCH({" id "," id"," cod"," nit "," cedula"," cédula"," telefono"," teléfono"," celular"," sku"," factura"," numero"," número"," nro"," año "," ano "," year"," zip"," postal"," documento"," guia"," guía"," orden"," cuenta"," pedido"," radicado"," consecutivo"," omr"," pob "," placa"," referencia"," ref "},G60))))=0,NOT(AND(K60&gt;=20,K60&gt;=0.95*MIN(500,C60),MIN(1,SUMPRODUCT(--ISNUMBER(SEARCH({"venta","ingreso","monto","importe","total","valor","factur","revenue","sales","amount","utilidad","ganancia","gasto"},G60))))+MIN(1,SUMPRODUCT(--ISNUMBER(SEARCH({"precio","price","unit","costo","cost","promedio","tasa","%","edad","calific","rating","puntaje","porcentaje","satisf","nps","score","nota"},G60))))+MIN(1,SUMPRODUCT(--ISNUMBER(SEARCH({"costo","cost"},G60))))+MIN(1,SUMPRODUCT(--ISNUMBER(SEARCH({" dias"," días","tiempo","demora","duraci","lead"," horas"},G60))))+MIN(1,SUMPRODUCT(--ISNUMBER(SEARCH({"cantidad","unidades","qty","peso","kilos"," kg","volumen","stock","existencia","inventario"},G60))))=0)))</f>
        <v>0</v>
      </c>
      <c r="G60" s="88" t="str">
        <f>" "&amp;LOWER(SUBSTITUTE(SUBSTITUTE(SUBSTITUTE(B60,"_"," "),"-"," "),"."," "))&amp;" "</f>
        <v>  </v>
      </c>
      <c r="H60" s="88" t="b">
        <f>AND(C60&gt;0,D60&lt;0.5*C60)</f>
        <v>0</v>
      </c>
      <c r="I60" s="89">
        <f>IF(F60,2+10*MIN(1,SUMPRODUCT(--ISNUMBER(SEARCH({"venta","ingreso","monto","importe","total","valor","factur","revenue","sales","amount","utilidad","ganancia","gasto"},G60))))+8*MIN(1,SUMPRODUCT(--ISNUMBER(SEARCH({"cantidad","unidades","qty","peso","kilos"," kg","volumen","stock","existencia","inventario"},G60))))*(1-MIN(1,SUMPRODUCT(--ISNUMBER(SEARCH({"venta","ingreso","monto","importe","total","valor","factur","revenue","sales","amount","utilidad","ganancia","gasto"},G60)))))-MIN(1,SUMPRODUCT(--ISNUMBER(SEARCH({"precio","price","unit","costo","cost","promedio","tasa","%","edad","calific","rating","puntaje","porcentaje","satisf","nps","score","nota"},G60))))+0.020,0)</f>
        <v>0</v>
      </c>
      <c r="J60" s="89">
        <f>IF(AND(H60,K60&gt;=2),IF(K60&lt;=40,2+10*MIN(1,SUMPRODUCT(--ISNUMBER(SEARCH({"categor","region","región","producto","linea","línea","segmento","canal","ciudad","tienda","sucursal","vendedor","cliente","tipo","marca","zona","sede","courier","transportadora","oficina","trayecto","motivo","clasifica","proceso"},G60))))+3*AND(K60&gt;=4,K60&lt;=25),0.5+MIN(1,SUMPRODUCT(--ISNUMBER(SEARCH({"categor","region","región","producto","linea","línea","segmento","canal","ciudad","tienda","sucursal","vendedor","cliente","tipo","marca","zona","sede","courier","transportadora","oficina","trayecto","motivo","clasifica","proceso"},G60)))))+0.020,0)</f>
        <v>0</v>
      </c>
      <c r="K60" s="90">
        <f>IF(C60&gt;0,SUMPRODUCT((INDEX(Datos!$A$2:$AN$501,0,21)&lt;&gt;"")/COUNTIF(INDEX(Datos!$A$2:$AN$501,0,21),INDEX(Datos!$A$2:$AN$501,0,21)&amp;"")),0)</f>
        <v>0</v>
      </c>
      <c r="L60" s="89">
        <f>IF(E60,1+MIN(1,SUMPRODUCT(--ISNUMBER(SEARCH({"fecha","date","periodo","timestamp"},G60))))+0.020,0)</f>
        <v>0</v>
      </c>
      <c r="M60" s="89">
        <f>IF(AND(H60,K60&gt;=2,K60&lt;=15),MIN(1,SUMPRODUCT(--ISNUMBER(SEARCH({"etapa","fase","estado","stage","embudo","funnel","paso","status"},G60))))*(1+0.020),0)</f>
        <v>0</v>
      </c>
      <c r="N60" s="89">
        <f>IF(H60,MIN(1,SUMPRODUCT(--ISNUMBER(SEARCH({"departamento","depto","dpto","depart"},G60))))*(1+0.020),0)</f>
        <v>0</v>
      </c>
      <c r="O60" s="89">
        <f>IF(F60,MIN(1,SUMPRODUCT(--ISNUMBER(SEARCH({"costo","cost"},G60))))*(1+0.020),0)</f>
        <v>0</v>
      </c>
      <c r="P60" s="89">
        <f>IF(B60=$E$6,0,I60+5*MIN(1,SUMPRODUCT(--ISNUMBER(SEARCH({" dias"," días","tiempo","demora","duraci","lead"," horas"},G60))))*(I60&gt;0))</f>
        <v>0</v>
      </c>
      <c r="Q60" s="89">
        <f>IF(B60=$E$9,0,J60)</f>
        <v>0</v>
      </c>
      <c r="R60" s="89">
        <f>IF(OR(B60=$E$6,INDEX($I$40:$I$79,MAX(1,$F$6))&lt;12),0,O60)</f>
        <v>0</v>
      </c>
      <c r="S60" s="88" t="b">
        <f>AND(C60&gt;0,D60&lt;0.5*C60,MIN(1,SUMPRODUCT(--ISNUMBER(SEARCH({"fecha","date","periodo","timestamp"},G60))))&gt;0)</f>
        <v>0</v>
      </c>
    </row>
    <row r="61">
      <c r="A61" s="88" t="n">
        <v>22</v>
      </c>
      <c r="B61" s="88" t="str">
        <f>IF(INDEX(Datos!$A$1:$AN$1,1,22)="","",INDEX(Datos!$A$1:$AN$1,1,22)&amp;"")</f>
        <v/>
      </c>
      <c r="C61" s="88">
        <f>IF(B61="",0,COUNTA(INDEX(Datos!$A$2:$AN$1048576,0,22)))</f>
        <v>0</v>
      </c>
      <c r="D61" s="88">
        <f>IF(B61="",0,COUNT(INDEX(Datos!$A$2:$AN$1048576,0,22)))</f>
        <v>0</v>
      </c>
      <c r="E61" s="88" t="b">
        <f>AND(C61&gt;0,D61&gt;=0.9*C61,OR(LEFT(CELL("format",INDEX(Datos!$A$2:$AN$2,1,22)),1)="D",MIN(1,SUMPRODUCT(--ISNUMBER(SEARCH({"fecha","date","periodo","timestamp"},G61))))&gt;0))</f>
        <v>0</v>
      </c>
      <c r="F61" s="88" t="b">
        <f>AND(C61&gt;0,D61&gt;=0.9*C61,NOT(E61),MIN(1,SUMPRODUCT(--ISNUMBER(SEARCH({" id "," id"," cod"," nit "," cedula"," cédula"," telefono"," teléfono"," celular"," sku"," factura"," numero"," número"," nro"," año "," ano "," year"," zip"," postal"," documento"," guia"," guía"," orden"," cuenta"," pedido"," radicado"," consecutivo"," omr"," pob "," placa"," referencia"," ref "},G61))))=0,NOT(AND(K61&gt;=20,K61&gt;=0.95*MIN(500,C61),MIN(1,SUMPRODUCT(--ISNUMBER(SEARCH({"venta","ingreso","monto","importe","total","valor","factur","revenue","sales","amount","utilidad","ganancia","gasto"},G61))))+MIN(1,SUMPRODUCT(--ISNUMBER(SEARCH({"precio","price","unit","costo","cost","promedio","tasa","%","edad","calific","rating","puntaje","porcentaje","satisf","nps","score","nota"},G61))))+MIN(1,SUMPRODUCT(--ISNUMBER(SEARCH({"costo","cost"},G61))))+MIN(1,SUMPRODUCT(--ISNUMBER(SEARCH({" dias"," días","tiempo","demora","duraci","lead"," horas"},G61))))+MIN(1,SUMPRODUCT(--ISNUMBER(SEARCH({"cantidad","unidades","qty","peso","kilos"," kg","volumen","stock","existencia","inventario"},G61))))=0)))</f>
        <v>0</v>
      </c>
      <c r="G61" s="88" t="str">
        <f>" "&amp;LOWER(SUBSTITUTE(SUBSTITUTE(SUBSTITUTE(B61,"_"," "),"-"," "),"."," "))&amp;" "</f>
        <v>  </v>
      </c>
      <c r="H61" s="88" t="b">
        <f>AND(C61&gt;0,D61&lt;0.5*C61)</f>
        <v>0</v>
      </c>
      <c r="I61" s="89">
        <f>IF(F61,2+10*MIN(1,SUMPRODUCT(--ISNUMBER(SEARCH({"venta","ingreso","monto","importe","total","valor","factur","revenue","sales","amount","utilidad","ganancia","gasto"},G61))))+8*MIN(1,SUMPRODUCT(--ISNUMBER(SEARCH({"cantidad","unidades","qty","peso","kilos"," kg","volumen","stock","existencia","inventario"},G61))))*(1-MIN(1,SUMPRODUCT(--ISNUMBER(SEARCH({"venta","ingreso","monto","importe","total","valor","factur","revenue","sales","amount","utilidad","ganancia","gasto"},G61)))))-MIN(1,SUMPRODUCT(--ISNUMBER(SEARCH({"precio","price","unit","costo","cost","promedio","tasa","%","edad","calific","rating","puntaje","porcentaje","satisf","nps","score","nota"},G61))))+0.019,0)</f>
        <v>0</v>
      </c>
      <c r="J61" s="89">
        <f>IF(AND(H61,K61&gt;=2),IF(K61&lt;=40,2+10*MIN(1,SUMPRODUCT(--ISNUMBER(SEARCH({"categor","region","región","producto","linea","línea","segmento","canal","ciudad","tienda","sucursal","vendedor","cliente","tipo","marca","zona","sede","courier","transportadora","oficina","trayecto","motivo","clasifica","proceso"},G61))))+3*AND(K61&gt;=4,K61&lt;=25),0.5+MIN(1,SUMPRODUCT(--ISNUMBER(SEARCH({"categor","region","región","producto","linea","línea","segmento","canal","ciudad","tienda","sucursal","vendedor","cliente","tipo","marca","zona","sede","courier","transportadora","oficina","trayecto","motivo","clasifica","proceso"},G61)))))+0.019,0)</f>
        <v>0</v>
      </c>
      <c r="K61" s="90">
        <f>IF(C61&gt;0,SUMPRODUCT((INDEX(Datos!$A$2:$AN$501,0,22)&lt;&gt;"")/COUNTIF(INDEX(Datos!$A$2:$AN$501,0,22),INDEX(Datos!$A$2:$AN$501,0,22)&amp;"")),0)</f>
        <v>0</v>
      </c>
      <c r="L61" s="89">
        <f>IF(E61,1+MIN(1,SUMPRODUCT(--ISNUMBER(SEARCH({"fecha","date","periodo","timestamp"},G61))))+0.019,0)</f>
        <v>0</v>
      </c>
      <c r="M61" s="89">
        <f>IF(AND(H61,K61&gt;=2,K61&lt;=15),MIN(1,SUMPRODUCT(--ISNUMBER(SEARCH({"etapa","fase","estado","stage","embudo","funnel","paso","status"},G61))))*(1+0.019),0)</f>
        <v>0</v>
      </c>
      <c r="N61" s="89">
        <f>IF(H61,MIN(1,SUMPRODUCT(--ISNUMBER(SEARCH({"departamento","depto","dpto","depart"},G61))))*(1+0.019),0)</f>
        <v>0</v>
      </c>
      <c r="O61" s="89">
        <f>IF(F61,MIN(1,SUMPRODUCT(--ISNUMBER(SEARCH({"costo","cost"},G61))))*(1+0.019),0)</f>
        <v>0</v>
      </c>
      <c r="P61" s="89">
        <f>IF(B61=$E$6,0,I61+5*MIN(1,SUMPRODUCT(--ISNUMBER(SEARCH({" dias"," días","tiempo","demora","duraci","lead"," horas"},G61))))*(I61&gt;0))</f>
        <v>0</v>
      </c>
      <c r="Q61" s="89">
        <f>IF(B61=$E$9,0,J61)</f>
        <v>0</v>
      </c>
      <c r="R61" s="89">
        <f>IF(OR(B61=$E$6,INDEX($I$40:$I$79,MAX(1,$F$6))&lt;12),0,O61)</f>
        <v>0</v>
      </c>
      <c r="S61" s="88" t="b">
        <f>AND(C61&gt;0,D61&lt;0.5*C61,MIN(1,SUMPRODUCT(--ISNUMBER(SEARCH({"fecha","date","periodo","timestamp"},G61))))&gt;0)</f>
        <v>0</v>
      </c>
    </row>
    <row r="62">
      <c r="A62" s="88" t="n">
        <v>23</v>
      </c>
      <c r="B62" s="88" t="str">
        <f>IF(INDEX(Datos!$A$1:$AN$1,1,23)="","",INDEX(Datos!$A$1:$AN$1,1,23)&amp;"")</f>
        <v/>
      </c>
      <c r="C62" s="88">
        <f>IF(B62="",0,COUNTA(INDEX(Datos!$A$2:$AN$1048576,0,23)))</f>
        <v>0</v>
      </c>
      <c r="D62" s="88">
        <f>IF(B62="",0,COUNT(INDEX(Datos!$A$2:$AN$1048576,0,23)))</f>
        <v>0</v>
      </c>
      <c r="E62" s="88" t="b">
        <f>AND(C62&gt;0,D62&gt;=0.9*C62,OR(LEFT(CELL("format",INDEX(Datos!$A$2:$AN$2,1,23)),1)="D",MIN(1,SUMPRODUCT(--ISNUMBER(SEARCH({"fecha","date","periodo","timestamp"},G62))))&gt;0))</f>
        <v>0</v>
      </c>
      <c r="F62" s="88" t="b">
        <f>AND(C62&gt;0,D62&gt;=0.9*C62,NOT(E62),MIN(1,SUMPRODUCT(--ISNUMBER(SEARCH({" id "," id"," cod"," nit "," cedula"," cédula"," telefono"," teléfono"," celular"," sku"," factura"," numero"," número"," nro"," año "," ano "," year"," zip"," postal"," documento"," guia"," guía"," orden"," cuenta"," pedido"," radicado"," consecutivo"," omr"," pob "," placa"," referencia"," ref "},G62))))=0,NOT(AND(K62&gt;=20,K62&gt;=0.95*MIN(500,C62),MIN(1,SUMPRODUCT(--ISNUMBER(SEARCH({"venta","ingreso","monto","importe","total","valor","factur","revenue","sales","amount","utilidad","ganancia","gasto"},G62))))+MIN(1,SUMPRODUCT(--ISNUMBER(SEARCH({"precio","price","unit","costo","cost","promedio","tasa","%","edad","calific","rating","puntaje","porcentaje","satisf","nps","score","nota"},G62))))+MIN(1,SUMPRODUCT(--ISNUMBER(SEARCH({"costo","cost"},G62))))+MIN(1,SUMPRODUCT(--ISNUMBER(SEARCH({" dias"," días","tiempo","demora","duraci","lead"," horas"},G62))))+MIN(1,SUMPRODUCT(--ISNUMBER(SEARCH({"cantidad","unidades","qty","peso","kilos"," kg","volumen","stock","existencia","inventario"},G62))))=0)))</f>
        <v>0</v>
      </c>
      <c r="G62" s="88" t="str">
        <f>" "&amp;LOWER(SUBSTITUTE(SUBSTITUTE(SUBSTITUTE(B62,"_"," "),"-"," "),"."," "))&amp;" "</f>
        <v>  </v>
      </c>
      <c r="H62" s="88" t="b">
        <f>AND(C62&gt;0,D62&lt;0.5*C62)</f>
        <v>0</v>
      </c>
      <c r="I62" s="89">
        <f>IF(F62,2+10*MIN(1,SUMPRODUCT(--ISNUMBER(SEARCH({"venta","ingreso","monto","importe","total","valor","factur","revenue","sales","amount","utilidad","ganancia","gasto"},G62))))+8*MIN(1,SUMPRODUCT(--ISNUMBER(SEARCH({"cantidad","unidades","qty","peso","kilos"," kg","volumen","stock","existencia","inventario"},G62))))*(1-MIN(1,SUMPRODUCT(--ISNUMBER(SEARCH({"venta","ingreso","monto","importe","total","valor","factur","revenue","sales","amount","utilidad","ganancia","gasto"},G62)))))-MIN(1,SUMPRODUCT(--ISNUMBER(SEARCH({"precio","price","unit","costo","cost","promedio","tasa","%","edad","calific","rating","puntaje","porcentaje","satisf","nps","score","nota"},G62))))+0.018,0)</f>
        <v>0</v>
      </c>
      <c r="J62" s="89">
        <f>IF(AND(H62,K62&gt;=2),IF(K62&lt;=40,2+10*MIN(1,SUMPRODUCT(--ISNUMBER(SEARCH({"categor","region","región","producto","linea","línea","segmento","canal","ciudad","tienda","sucursal","vendedor","cliente","tipo","marca","zona","sede","courier","transportadora","oficina","trayecto","motivo","clasifica","proceso"},G62))))+3*AND(K62&gt;=4,K62&lt;=25),0.5+MIN(1,SUMPRODUCT(--ISNUMBER(SEARCH({"categor","region","región","producto","linea","línea","segmento","canal","ciudad","tienda","sucursal","vendedor","cliente","tipo","marca","zona","sede","courier","transportadora","oficina","trayecto","motivo","clasifica","proceso"},G62)))))+0.018,0)</f>
        <v>0</v>
      </c>
      <c r="K62" s="90">
        <f>IF(C62&gt;0,SUMPRODUCT((INDEX(Datos!$A$2:$AN$501,0,23)&lt;&gt;"")/COUNTIF(INDEX(Datos!$A$2:$AN$501,0,23),INDEX(Datos!$A$2:$AN$501,0,23)&amp;"")),0)</f>
        <v>0</v>
      </c>
      <c r="L62" s="89">
        <f>IF(E62,1+MIN(1,SUMPRODUCT(--ISNUMBER(SEARCH({"fecha","date","periodo","timestamp"},G62))))+0.018,0)</f>
        <v>0</v>
      </c>
      <c r="M62" s="89">
        <f>IF(AND(H62,K62&gt;=2,K62&lt;=15),MIN(1,SUMPRODUCT(--ISNUMBER(SEARCH({"etapa","fase","estado","stage","embudo","funnel","paso","status"},G62))))*(1+0.018),0)</f>
        <v>0</v>
      </c>
      <c r="N62" s="89">
        <f>IF(H62,MIN(1,SUMPRODUCT(--ISNUMBER(SEARCH({"departamento","depto","dpto","depart"},G62))))*(1+0.018),0)</f>
        <v>0</v>
      </c>
      <c r="O62" s="89">
        <f>IF(F62,MIN(1,SUMPRODUCT(--ISNUMBER(SEARCH({"costo","cost"},G62))))*(1+0.018),0)</f>
        <v>0</v>
      </c>
      <c r="P62" s="89">
        <f>IF(B62=$E$6,0,I62+5*MIN(1,SUMPRODUCT(--ISNUMBER(SEARCH({" dias"," días","tiempo","demora","duraci","lead"," horas"},G62))))*(I62&gt;0))</f>
        <v>0</v>
      </c>
      <c r="Q62" s="89">
        <f>IF(B62=$E$9,0,J62)</f>
        <v>0</v>
      </c>
      <c r="R62" s="89">
        <f>IF(OR(B62=$E$6,INDEX($I$40:$I$79,MAX(1,$F$6))&lt;12),0,O62)</f>
        <v>0</v>
      </c>
      <c r="S62" s="88" t="b">
        <f>AND(C62&gt;0,D62&lt;0.5*C62,MIN(1,SUMPRODUCT(--ISNUMBER(SEARCH({"fecha","date","periodo","timestamp"},G62))))&gt;0)</f>
        <v>0</v>
      </c>
    </row>
    <row r="63">
      <c r="A63" s="88" t="n">
        <v>24</v>
      </c>
      <c r="B63" s="88" t="str">
        <f>IF(INDEX(Datos!$A$1:$AN$1,1,24)="","",INDEX(Datos!$A$1:$AN$1,1,24)&amp;"")</f>
        <v/>
      </c>
      <c r="C63" s="88">
        <f>IF(B63="",0,COUNTA(INDEX(Datos!$A$2:$AN$1048576,0,24)))</f>
        <v>0</v>
      </c>
      <c r="D63" s="88">
        <f>IF(B63="",0,COUNT(INDEX(Datos!$A$2:$AN$1048576,0,24)))</f>
        <v>0</v>
      </c>
      <c r="E63" s="88" t="b">
        <f>AND(C63&gt;0,D63&gt;=0.9*C63,OR(LEFT(CELL("format",INDEX(Datos!$A$2:$AN$2,1,24)),1)="D",MIN(1,SUMPRODUCT(--ISNUMBER(SEARCH({"fecha","date","periodo","timestamp"},G63))))&gt;0))</f>
        <v>0</v>
      </c>
      <c r="F63" s="88" t="b">
        <f>AND(C63&gt;0,D63&gt;=0.9*C63,NOT(E63),MIN(1,SUMPRODUCT(--ISNUMBER(SEARCH({" id "," id"," cod"," nit "," cedula"," cédula"," telefono"," teléfono"," celular"," sku"," factura"," numero"," número"," nro"," año "," ano "," year"," zip"," postal"," documento"," guia"," guía"," orden"," cuenta"," pedido"," radicado"," consecutivo"," omr"," pob "," placa"," referencia"," ref "},G63))))=0,NOT(AND(K63&gt;=20,K63&gt;=0.95*MIN(500,C63),MIN(1,SUMPRODUCT(--ISNUMBER(SEARCH({"venta","ingreso","monto","importe","total","valor","factur","revenue","sales","amount","utilidad","ganancia","gasto"},G63))))+MIN(1,SUMPRODUCT(--ISNUMBER(SEARCH({"precio","price","unit","costo","cost","promedio","tasa","%","edad","calific","rating","puntaje","porcentaje","satisf","nps","score","nota"},G63))))+MIN(1,SUMPRODUCT(--ISNUMBER(SEARCH({"costo","cost"},G63))))+MIN(1,SUMPRODUCT(--ISNUMBER(SEARCH({" dias"," días","tiempo","demora","duraci","lead"," horas"},G63))))+MIN(1,SUMPRODUCT(--ISNUMBER(SEARCH({"cantidad","unidades","qty","peso","kilos"," kg","volumen","stock","existencia","inventario"},G63))))=0)))</f>
        <v>0</v>
      </c>
      <c r="G63" s="88" t="str">
        <f>" "&amp;LOWER(SUBSTITUTE(SUBSTITUTE(SUBSTITUTE(B63,"_"," "),"-"," "),"."," "))&amp;" "</f>
        <v>  </v>
      </c>
      <c r="H63" s="88" t="b">
        <f>AND(C63&gt;0,D63&lt;0.5*C63)</f>
        <v>0</v>
      </c>
      <c r="I63" s="89">
        <f>IF(F63,2+10*MIN(1,SUMPRODUCT(--ISNUMBER(SEARCH({"venta","ingreso","monto","importe","total","valor","factur","revenue","sales","amount","utilidad","ganancia","gasto"},G63))))+8*MIN(1,SUMPRODUCT(--ISNUMBER(SEARCH({"cantidad","unidades","qty","peso","kilos"," kg","volumen","stock","existencia","inventario"},G63))))*(1-MIN(1,SUMPRODUCT(--ISNUMBER(SEARCH({"venta","ingreso","monto","importe","total","valor","factur","revenue","sales","amount","utilidad","ganancia","gasto"},G63)))))-MIN(1,SUMPRODUCT(--ISNUMBER(SEARCH({"precio","price","unit","costo","cost","promedio","tasa","%","edad","calific","rating","puntaje","porcentaje","satisf","nps","score","nota"},G63))))+0.017,0)</f>
        <v>0</v>
      </c>
      <c r="J63" s="89">
        <f>IF(AND(H63,K63&gt;=2),IF(K63&lt;=40,2+10*MIN(1,SUMPRODUCT(--ISNUMBER(SEARCH({"categor","region","región","producto","linea","línea","segmento","canal","ciudad","tienda","sucursal","vendedor","cliente","tipo","marca","zona","sede","courier","transportadora","oficina","trayecto","motivo","clasifica","proceso"},G63))))+3*AND(K63&gt;=4,K63&lt;=25),0.5+MIN(1,SUMPRODUCT(--ISNUMBER(SEARCH({"categor","region","región","producto","linea","línea","segmento","canal","ciudad","tienda","sucursal","vendedor","cliente","tipo","marca","zona","sede","courier","transportadora","oficina","trayecto","motivo","clasifica","proceso"},G63)))))+0.017,0)</f>
        <v>0</v>
      </c>
      <c r="K63" s="90">
        <f>IF(C63&gt;0,SUMPRODUCT((INDEX(Datos!$A$2:$AN$501,0,24)&lt;&gt;"")/COUNTIF(INDEX(Datos!$A$2:$AN$501,0,24),INDEX(Datos!$A$2:$AN$501,0,24)&amp;"")),0)</f>
        <v>0</v>
      </c>
      <c r="L63" s="89">
        <f>IF(E63,1+MIN(1,SUMPRODUCT(--ISNUMBER(SEARCH({"fecha","date","periodo","timestamp"},G63))))+0.017,0)</f>
        <v>0</v>
      </c>
      <c r="M63" s="89">
        <f>IF(AND(H63,K63&gt;=2,K63&lt;=15),MIN(1,SUMPRODUCT(--ISNUMBER(SEARCH({"etapa","fase","estado","stage","embudo","funnel","paso","status"},G63))))*(1+0.017),0)</f>
        <v>0</v>
      </c>
      <c r="N63" s="89">
        <f>IF(H63,MIN(1,SUMPRODUCT(--ISNUMBER(SEARCH({"departamento","depto","dpto","depart"},G63))))*(1+0.017),0)</f>
        <v>0</v>
      </c>
      <c r="O63" s="89">
        <f>IF(F63,MIN(1,SUMPRODUCT(--ISNUMBER(SEARCH({"costo","cost"},G63))))*(1+0.017),0)</f>
        <v>0</v>
      </c>
      <c r="P63" s="89">
        <f>IF(B63=$E$6,0,I63+5*MIN(1,SUMPRODUCT(--ISNUMBER(SEARCH({" dias"," días","tiempo","demora","duraci","lead"," horas"},G63))))*(I63&gt;0))</f>
        <v>0</v>
      </c>
      <c r="Q63" s="89">
        <f>IF(B63=$E$9,0,J63)</f>
        <v>0</v>
      </c>
      <c r="R63" s="89">
        <f>IF(OR(B63=$E$6,INDEX($I$40:$I$79,MAX(1,$F$6))&lt;12),0,O63)</f>
        <v>0</v>
      </c>
      <c r="S63" s="88" t="b">
        <f>AND(C63&gt;0,D63&lt;0.5*C63,MIN(1,SUMPRODUCT(--ISNUMBER(SEARCH({"fecha","date","periodo","timestamp"},G63))))&gt;0)</f>
        <v>0</v>
      </c>
    </row>
    <row r="64">
      <c r="A64" s="88" t="n">
        <v>25</v>
      </c>
      <c r="B64" s="88" t="str">
        <f>IF(INDEX(Datos!$A$1:$AN$1,1,25)="","",INDEX(Datos!$A$1:$AN$1,1,25)&amp;"")</f>
        <v/>
      </c>
      <c r="C64" s="88">
        <f>IF(B64="",0,COUNTA(INDEX(Datos!$A$2:$AN$1048576,0,25)))</f>
        <v>0</v>
      </c>
      <c r="D64" s="88">
        <f>IF(B64="",0,COUNT(INDEX(Datos!$A$2:$AN$1048576,0,25)))</f>
        <v>0</v>
      </c>
      <c r="E64" s="88" t="b">
        <f>AND(C64&gt;0,D64&gt;=0.9*C64,OR(LEFT(CELL("format",INDEX(Datos!$A$2:$AN$2,1,25)),1)="D",MIN(1,SUMPRODUCT(--ISNUMBER(SEARCH({"fecha","date","periodo","timestamp"},G64))))&gt;0))</f>
        <v>0</v>
      </c>
      <c r="F64" s="88" t="b">
        <f>AND(C64&gt;0,D64&gt;=0.9*C64,NOT(E64),MIN(1,SUMPRODUCT(--ISNUMBER(SEARCH({" id "," id"," cod"," nit "," cedula"," cédula"," telefono"," teléfono"," celular"," sku"," factura"," numero"," número"," nro"," año "," ano "," year"," zip"," postal"," documento"," guia"," guía"," orden"," cuenta"," pedido"," radicado"," consecutivo"," omr"," pob "," placa"," referencia"," ref "},G64))))=0,NOT(AND(K64&gt;=20,K64&gt;=0.95*MIN(500,C64),MIN(1,SUMPRODUCT(--ISNUMBER(SEARCH({"venta","ingreso","monto","importe","total","valor","factur","revenue","sales","amount","utilidad","ganancia","gasto"},G64))))+MIN(1,SUMPRODUCT(--ISNUMBER(SEARCH({"precio","price","unit","costo","cost","promedio","tasa","%","edad","calific","rating","puntaje","porcentaje","satisf","nps","score","nota"},G64))))+MIN(1,SUMPRODUCT(--ISNUMBER(SEARCH({"costo","cost"},G64))))+MIN(1,SUMPRODUCT(--ISNUMBER(SEARCH({" dias"," días","tiempo","demora","duraci","lead"," horas"},G64))))+MIN(1,SUMPRODUCT(--ISNUMBER(SEARCH({"cantidad","unidades","qty","peso","kilos"," kg","volumen","stock","existencia","inventario"},G64))))=0)))</f>
        <v>0</v>
      </c>
      <c r="G64" s="88" t="str">
        <f>" "&amp;LOWER(SUBSTITUTE(SUBSTITUTE(SUBSTITUTE(B64,"_"," "),"-"," "),"."," "))&amp;" "</f>
        <v>  </v>
      </c>
      <c r="H64" s="88" t="b">
        <f>AND(C64&gt;0,D64&lt;0.5*C64)</f>
        <v>0</v>
      </c>
      <c r="I64" s="89">
        <f>IF(F64,2+10*MIN(1,SUMPRODUCT(--ISNUMBER(SEARCH({"venta","ingreso","monto","importe","total","valor","factur","revenue","sales","amount","utilidad","ganancia","gasto"},G64))))+8*MIN(1,SUMPRODUCT(--ISNUMBER(SEARCH({"cantidad","unidades","qty","peso","kilos"," kg","volumen","stock","existencia","inventario"},G64))))*(1-MIN(1,SUMPRODUCT(--ISNUMBER(SEARCH({"venta","ingreso","monto","importe","total","valor","factur","revenue","sales","amount","utilidad","ganancia","gasto"},G64)))))-MIN(1,SUMPRODUCT(--ISNUMBER(SEARCH({"precio","price","unit","costo","cost","promedio","tasa","%","edad","calific","rating","puntaje","porcentaje","satisf","nps","score","nota"},G64))))+0.016,0)</f>
        <v>0</v>
      </c>
      <c r="J64" s="89">
        <f>IF(AND(H64,K64&gt;=2),IF(K64&lt;=40,2+10*MIN(1,SUMPRODUCT(--ISNUMBER(SEARCH({"categor","region","región","producto","linea","línea","segmento","canal","ciudad","tienda","sucursal","vendedor","cliente","tipo","marca","zona","sede","courier","transportadora","oficina","trayecto","motivo","clasifica","proceso"},G64))))+3*AND(K64&gt;=4,K64&lt;=25),0.5+MIN(1,SUMPRODUCT(--ISNUMBER(SEARCH({"categor","region","región","producto","linea","línea","segmento","canal","ciudad","tienda","sucursal","vendedor","cliente","tipo","marca","zona","sede","courier","transportadora","oficina","trayecto","motivo","clasifica","proceso"},G64)))))+0.016,0)</f>
        <v>0</v>
      </c>
      <c r="K64" s="90">
        <f>IF(C64&gt;0,SUMPRODUCT((INDEX(Datos!$A$2:$AN$501,0,25)&lt;&gt;"")/COUNTIF(INDEX(Datos!$A$2:$AN$501,0,25),INDEX(Datos!$A$2:$AN$501,0,25)&amp;"")),0)</f>
        <v>0</v>
      </c>
      <c r="L64" s="89">
        <f>IF(E64,1+MIN(1,SUMPRODUCT(--ISNUMBER(SEARCH({"fecha","date","periodo","timestamp"},G64))))+0.016,0)</f>
        <v>0</v>
      </c>
      <c r="M64" s="89">
        <f>IF(AND(H64,K64&gt;=2,K64&lt;=15),MIN(1,SUMPRODUCT(--ISNUMBER(SEARCH({"etapa","fase","estado","stage","embudo","funnel","paso","status"},G64))))*(1+0.016),0)</f>
        <v>0</v>
      </c>
      <c r="N64" s="89">
        <f>IF(H64,MIN(1,SUMPRODUCT(--ISNUMBER(SEARCH({"departamento","depto","dpto","depart"},G64))))*(1+0.016),0)</f>
        <v>0</v>
      </c>
      <c r="O64" s="89">
        <f>IF(F64,MIN(1,SUMPRODUCT(--ISNUMBER(SEARCH({"costo","cost"},G64))))*(1+0.016),0)</f>
        <v>0</v>
      </c>
      <c r="P64" s="89">
        <f>IF(B64=$E$6,0,I64+5*MIN(1,SUMPRODUCT(--ISNUMBER(SEARCH({" dias"," días","tiempo","demora","duraci","lead"," horas"},G64))))*(I64&gt;0))</f>
        <v>0</v>
      </c>
      <c r="Q64" s="89">
        <f>IF(B64=$E$9,0,J64)</f>
        <v>0</v>
      </c>
      <c r="R64" s="89">
        <f>IF(OR(B64=$E$6,INDEX($I$40:$I$79,MAX(1,$F$6))&lt;12),0,O64)</f>
        <v>0</v>
      </c>
      <c r="S64" s="88" t="b">
        <f>AND(C64&gt;0,D64&lt;0.5*C64,MIN(1,SUMPRODUCT(--ISNUMBER(SEARCH({"fecha","date","periodo","timestamp"},G64))))&gt;0)</f>
        <v>0</v>
      </c>
    </row>
    <row r="65">
      <c r="A65" s="88" t="n">
        <v>26</v>
      </c>
      <c r="B65" s="88" t="str">
        <f>IF(INDEX(Datos!$A$1:$AN$1,1,26)="","",INDEX(Datos!$A$1:$AN$1,1,26)&amp;"")</f>
        <v/>
      </c>
      <c r="C65" s="88">
        <f>IF(B65="",0,COUNTA(INDEX(Datos!$A$2:$AN$1048576,0,26)))</f>
        <v>0</v>
      </c>
      <c r="D65" s="88">
        <f>IF(B65="",0,COUNT(INDEX(Datos!$A$2:$AN$1048576,0,26)))</f>
        <v>0</v>
      </c>
      <c r="E65" s="88" t="b">
        <f>AND(C65&gt;0,D65&gt;=0.9*C65,OR(LEFT(CELL("format",INDEX(Datos!$A$2:$AN$2,1,26)),1)="D",MIN(1,SUMPRODUCT(--ISNUMBER(SEARCH({"fecha","date","periodo","timestamp"},G65))))&gt;0))</f>
        <v>0</v>
      </c>
      <c r="F65" s="88" t="b">
        <f>AND(C65&gt;0,D65&gt;=0.9*C65,NOT(E65),MIN(1,SUMPRODUCT(--ISNUMBER(SEARCH({" id "," id"," cod"," nit "," cedula"," cédula"," telefono"," teléfono"," celular"," sku"," factura"," numero"," número"," nro"," año "," ano "," year"," zip"," postal"," documento"," guia"," guía"," orden"," cuenta"," pedido"," radicado"," consecutivo"," omr"," pob "," placa"," referencia"," ref "},G65))))=0,NOT(AND(K65&gt;=20,K65&gt;=0.95*MIN(500,C65),MIN(1,SUMPRODUCT(--ISNUMBER(SEARCH({"venta","ingreso","monto","importe","total","valor","factur","revenue","sales","amount","utilidad","ganancia","gasto"},G65))))+MIN(1,SUMPRODUCT(--ISNUMBER(SEARCH({"precio","price","unit","costo","cost","promedio","tasa","%","edad","calific","rating","puntaje","porcentaje","satisf","nps","score","nota"},G65))))+MIN(1,SUMPRODUCT(--ISNUMBER(SEARCH({"costo","cost"},G65))))+MIN(1,SUMPRODUCT(--ISNUMBER(SEARCH({" dias"," días","tiempo","demora","duraci","lead"," horas"},G65))))+MIN(1,SUMPRODUCT(--ISNUMBER(SEARCH({"cantidad","unidades","qty","peso","kilos"," kg","volumen","stock","existencia","inventario"},G65))))=0)))</f>
        <v>0</v>
      </c>
      <c r="G65" s="88" t="str">
        <f>" "&amp;LOWER(SUBSTITUTE(SUBSTITUTE(SUBSTITUTE(B65,"_"," "),"-"," "),"."," "))&amp;" "</f>
        <v>  </v>
      </c>
      <c r="H65" s="88" t="b">
        <f>AND(C65&gt;0,D65&lt;0.5*C65)</f>
        <v>0</v>
      </c>
      <c r="I65" s="89">
        <f>IF(F65,2+10*MIN(1,SUMPRODUCT(--ISNUMBER(SEARCH({"venta","ingreso","monto","importe","total","valor","factur","revenue","sales","amount","utilidad","ganancia","gasto"},G65))))+8*MIN(1,SUMPRODUCT(--ISNUMBER(SEARCH({"cantidad","unidades","qty","peso","kilos"," kg","volumen","stock","existencia","inventario"},G65))))*(1-MIN(1,SUMPRODUCT(--ISNUMBER(SEARCH({"venta","ingreso","monto","importe","total","valor","factur","revenue","sales","amount","utilidad","ganancia","gasto"},G65)))))-MIN(1,SUMPRODUCT(--ISNUMBER(SEARCH({"precio","price","unit","costo","cost","promedio","tasa","%","edad","calific","rating","puntaje","porcentaje","satisf","nps","score","nota"},G65))))+0.015,0)</f>
        <v>0</v>
      </c>
      <c r="J65" s="89">
        <f>IF(AND(H65,K65&gt;=2),IF(K65&lt;=40,2+10*MIN(1,SUMPRODUCT(--ISNUMBER(SEARCH({"categor","region","región","producto","linea","línea","segmento","canal","ciudad","tienda","sucursal","vendedor","cliente","tipo","marca","zona","sede","courier","transportadora","oficina","trayecto","motivo","clasifica","proceso"},G65))))+3*AND(K65&gt;=4,K65&lt;=25),0.5+MIN(1,SUMPRODUCT(--ISNUMBER(SEARCH({"categor","region","región","producto","linea","línea","segmento","canal","ciudad","tienda","sucursal","vendedor","cliente","tipo","marca","zona","sede","courier","transportadora","oficina","trayecto","motivo","clasifica","proceso"},G65)))))+0.015,0)</f>
        <v>0</v>
      </c>
      <c r="K65" s="90">
        <f>IF(C65&gt;0,SUMPRODUCT((INDEX(Datos!$A$2:$AN$501,0,26)&lt;&gt;"")/COUNTIF(INDEX(Datos!$A$2:$AN$501,0,26),INDEX(Datos!$A$2:$AN$501,0,26)&amp;"")),0)</f>
        <v>0</v>
      </c>
      <c r="L65" s="89">
        <f>IF(E65,1+MIN(1,SUMPRODUCT(--ISNUMBER(SEARCH({"fecha","date","periodo","timestamp"},G65))))+0.015,0)</f>
        <v>0</v>
      </c>
      <c r="M65" s="89">
        <f>IF(AND(H65,K65&gt;=2,K65&lt;=15),MIN(1,SUMPRODUCT(--ISNUMBER(SEARCH({"etapa","fase","estado","stage","embudo","funnel","paso","status"},G65))))*(1+0.015),0)</f>
        <v>0</v>
      </c>
      <c r="N65" s="89">
        <f>IF(H65,MIN(1,SUMPRODUCT(--ISNUMBER(SEARCH({"departamento","depto","dpto","depart"},G65))))*(1+0.015),0)</f>
        <v>0</v>
      </c>
      <c r="O65" s="89">
        <f>IF(F65,MIN(1,SUMPRODUCT(--ISNUMBER(SEARCH({"costo","cost"},G65))))*(1+0.015),0)</f>
        <v>0</v>
      </c>
      <c r="P65" s="89">
        <f>IF(B65=$E$6,0,I65+5*MIN(1,SUMPRODUCT(--ISNUMBER(SEARCH({" dias"," días","tiempo","demora","duraci","lead"," horas"},G65))))*(I65&gt;0))</f>
        <v>0</v>
      </c>
      <c r="Q65" s="89">
        <f>IF(B65=$E$9,0,J65)</f>
        <v>0</v>
      </c>
      <c r="R65" s="89">
        <f>IF(OR(B65=$E$6,INDEX($I$40:$I$79,MAX(1,$F$6))&lt;12),0,O65)</f>
        <v>0</v>
      </c>
      <c r="S65" s="88" t="b">
        <f>AND(C65&gt;0,D65&lt;0.5*C65,MIN(1,SUMPRODUCT(--ISNUMBER(SEARCH({"fecha","date","periodo","timestamp"},G65))))&gt;0)</f>
        <v>0</v>
      </c>
    </row>
    <row r="66">
      <c r="A66" s="88" t="n">
        <v>27</v>
      </c>
      <c r="B66" s="88" t="str">
        <f>IF(INDEX(Datos!$A$1:$AN$1,1,27)="","",INDEX(Datos!$A$1:$AN$1,1,27)&amp;"")</f>
        <v/>
      </c>
      <c r="C66" s="88">
        <f>IF(B66="",0,COUNTA(INDEX(Datos!$A$2:$AN$1048576,0,27)))</f>
        <v>0</v>
      </c>
      <c r="D66" s="88">
        <f>IF(B66="",0,COUNT(INDEX(Datos!$A$2:$AN$1048576,0,27)))</f>
        <v>0</v>
      </c>
      <c r="E66" s="88" t="b">
        <f>AND(C66&gt;0,D66&gt;=0.9*C66,OR(LEFT(CELL("format",INDEX(Datos!$A$2:$AN$2,1,27)),1)="D",MIN(1,SUMPRODUCT(--ISNUMBER(SEARCH({"fecha","date","periodo","timestamp"},G66))))&gt;0))</f>
        <v>0</v>
      </c>
      <c r="F66" s="88" t="b">
        <f>AND(C66&gt;0,D66&gt;=0.9*C66,NOT(E66),MIN(1,SUMPRODUCT(--ISNUMBER(SEARCH({" id "," id"," cod"," nit "," cedula"," cédula"," telefono"," teléfono"," celular"," sku"," factura"," numero"," número"," nro"," año "," ano "," year"," zip"," postal"," documento"," guia"," guía"," orden"," cuenta"," pedido"," radicado"," consecutivo"," omr"," pob "," placa"," referencia"," ref "},G66))))=0,NOT(AND(K66&gt;=20,K66&gt;=0.95*MIN(500,C66),MIN(1,SUMPRODUCT(--ISNUMBER(SEARCH({"venta","ingreso","monto","importe","total","valor","factur","revenue","sales","amount","utilidad","ganancia","gasto"},G66))))+MIN(1,SUMPRODUCT(--ISNUMBER(SEARCH({"precio","price","unit","costo","cost","promedio","tasa","%","edad","calific","rating","puntaje","porcentaje","satisf","nps","score","nota"},G66))))+MIN(1,SUMPRODUCT(--ISNUMBER(SEARCH({"costo","cost"},G66))))+MIN(1,SUMPRODUCT(--ISNUMBER(SEARCH({" dias"," días","tiempo","demora","duraci","lead"," horas"},G66))))+MIN(1,SUMPRODUCT(--ISNUMBER(SEARCH({"cantidad","unidades","qty","peso","kilos"," kg","volumen","stock","existencia","inventario"},G66))))=0)))</f>
        <v>0</v>
      </c>
      <c r="G66" s="88" t="str">
        <f>" "&amp;LOWER(SUBSTITUTE(SUBSTITUTE(SUBSTITUTE(B66,"_"," "),"-"," "),"."," "))&amp;" "</f>
        <v>  </v>
      </c>
      <c r="H66" s="88" t="b">
        <f>AND(C66&gt;0,D66&lt;0.5*C66)</f>
        <v>0</v>
      </c>
      <c r="I66" s="89">
        <f>IF(F66,2+10*MIN(1,SUMPRODUCT(--ISNUMBER(SEARCH({"venta","ingreso","monto","importe","total","valor","factur","revenue","sales","amount","utilidad","ganancia","gasto"},G66))))+8*MIN(1,SUMPRODUCT(--ISNUMBER(SEARCH({"cantidad","unidades","qty","peso","kilos"," kg","volumen","stock","existencia","inventario"},G66))))*(1-MIN(1,SUMPRODUCT(--ISNUMBER(SEARCH({"venta","ingreso","monto","importe","total","valor","factur","revenue","sales","amount","utilidad","ganancia","gasto"},G66)))))-MIN(1,SUMPRODUCT(--ISNUMBER(SEARCH({"precio","price","unit","costo","cost","promedio","tasa","%","edad","calific","rating","puntaje","porcentaje","satisf","nps","score","nota"},G66))))+0.014,0)</f>
        <v>0</v>
      </c>
      <c r="J66" s="89">
        <f>IF(AND(H66,K66&gt;=2),IF(K66&lt;=40,2+10*MIN(1,SUMPRODUCT(--ISNUMBER(SEARCH({"categor","region","región","producto","linea","línea","segmento","canal","ciudad","tienda","sucursal","vendedor","cliente","tipo","marca","zona","sede","courier","transportadora","oficina","trayecto","motivo","clasifica","proceso"},G66))))+3*AND(K66&gt;=4,K66&lt;=25),0.5+MIN(1,SUMPRODUCT(--ISNUMBER(SEARCH({"categor","region","región","producto","linea","línea","segmento","canal","ciudad","tienda","sucursal","vendedor","cliente","tipo","marca","zona","sede","courier","transportadora","oficina","trayecto","motivo","clasifica","proceso"},G66)))))+0.014,0)</f>
        <v>0</v>
      </c>
      <c r="K66" s="90">
        <f>IF(C66&gt;0,SUMPRODUCT((INDEX(Datos!$A$2:$AN$501,0,27)&lt;&gt;"")/COUNTIF(INDEX(Datos!$A$2:$AN$501,0,27),INDEX(Datos!$A$2:$AN$501,0,27)&amp;"")),0)</f>
        <v>0</v>
      </c>
      <c r="L66" s="89">
        <f>IF(E66,1+MIN(1,SUMPRODUCT(--ISNUMBER(SEARCH({"fecha","date","periodo","timestamp"},G66))))+0.014,0)</f>
        <v>0</v>
      </c>
      <c r="M66" s="89">
        <f>IF(AND(H66,K66&gt;=2,K66&lt;=15),MIN(1,SUMPRODUCT(--ISNUMBER(SEARCH({"etapa","fase","estado","stage","embudo","funnel","paso","status"},G66))))*(1+0.014),0)</f>
        <v>0</v>
      </c>
      <c r="N66" s="89">
        <f>IF(H66,MIN(1,SUMPRODUCT(--ISNUMBER(SEARCH({"departamento","depto","dpto","depart"},G66))))*(1+0.014),0)</f>
        <v>0</v>
      </c>
      <c r="O66" s="89">
        <f>IF(F66,MIN(1,SUMPRODUCT(--ISNUMBER(SEARCH({"costo","cost"},G66))))*(1+0.014),0)</f>
        <v>0</v>
      </c>
      <c r="P66" s="89">
        <f>IF(B66=$E$6,0,I66+5*MIN(1,SUMPRODUCT(--ISNUMBER(SEARCH({" dias"," días","tiempo","demora","duraci","lead"," horas"},G66))))*(I66&gt;0))</f>
        <v>0</v>
      </c>
      <c r="Q66" s="89">
        <f>IF(B66=$E$9,0,J66)</f>
        <v>0</v>
      </c>
      <c r="R66" s="89">
        <f>IF(OR(B66=$E$6,INDEX($I$40:$I$79,MAX(1,$F$6))&lt;12),0,O66)</f>
        <v>0</v>
      </c>
      <c r="S66" s="88" t="b">
        <f>AND(C66&gt;0,D66&lt;0.5*C66,MIN(1,SUMPRODUCT(--ISNUMBER(SEARCH({"fecha","date","periodo","timestamp"},G66))))&gt;0)</f>
        <v>0</v>
      </c>
    </row>
    <row r="67">
      <c r="A67" s="88" t="n">
        <v>28</v>
      </c>
      <c r="B67" s="88" t="str">
        <f>IF(INDEX(Datos!$A$1:$AN$1,1,28)="","",INDEX(Datos!$A$1:$AN$1,1,28)&amp;"")</f>
        <v/>
      </c>
      <c r="C67" s="88">
        <f>IF(B67="",0,COUNTA(INDEX(Datos!$A$2:$AN$1048576,0,28)))</f>
        <v>0</v>
      </c>
      <c r="D67" s="88">
        <f>IF(B67="",0,COUNT(INDEX(Datos!$A$2:$AN$1048576,0,28)))</f>
        <v>0</v>
      </c>
      <c r="E67" s="88" t="b">
        <f>AND(C67&gt;0,D67&gt;=0.9*C67,OR(LEFT(CELL("format",INDEX(Datos!$A$2:$AN$2,1,28)),1)="D",MIN(1,SUMPRODUCT(--ISNUMBER(SEARCH({"fecha","date","periodo","timestamp"},G67))))&gt;0))</f>
        <v>0</v>
      </c>
      <c r="F67" s="88" t="b">
        <f>AND(C67&gt;0,D67&gt;=0.9*C67,NOT(E67),MIN(1,SUMPRODUCT(--ISNUMBER(SEARCH({" id "," id"," cod"," nit "," cedula"," cédula"," telefono"," teléfono"," celular"," sku"," factura"," numero"," número"," nro"," año "," ano "," year"," zip"," postal"," documento"," guia"," guía"," orden"," cuenta"," pedido"," radicado"," consecutivo"," omr"," pob "," placa"," referencia"," ref "},G67))))=0,NOT(AND(K67&gt;=20,K67&gt;=0.95*MIN(500,C67),MIN(1,SUMPRODUCT(--ISNUMBER(SEARCH({"venta","ingreso","monto","importe","total","valor","factur","revenue","sales","amount","utilidad","ganancia","gasto"},G67))))+MIN(1,SUMPRODUCT(--ISNUMBER(SEARCH({"precio","price","unit","costo","cost","promedio","tasa","%","edad","calific","rating","puntaje","porcentaje","satisf","nps","score","nota"},G67))))+MIN(1,SUMPRODUCT(--ISNUMBER(SEARCH({"costo","cost"},G67))))+MIN(1,SUMPRODUCT(--ISNUMBER(SEARCH({" dias"," días","tiempo","demora","duraci","lead"," horas"},G67))))+MIN(1,SUMPRODUCT(--ISNUMBER(SEARCH({"cantidad","unidades","qty","peso","kilos"," kg","volumen","stock","existencia","inventario"},G67))))=0)))</f>
        <v>0</v>
      </c>
      <c r="G67" s="88" t="str">
        <f>" "&amp;LOWER(SUBSTITUTE(SUBSTITUTE(SUBSTITUTE(B67,"_"," "),"-"," "),"."," "))&amp;" "</f>
        <v>  </v>
      </c>
      <c r="H67" s="88" t="b">
        <f>AND(C67&gt;0,D67&lt;0.5*C67)</f>
        <v>0</v>
      </c>
      <c r="I67" s="89">
        <f>IF(F67,2+10*MIN(1,SUMPRODUCT(--ISNUMBER(SEARCH({"venta","ingreso","monto","importe","total","valor","factur","revenue","sales","amount","utilidad","ganancia","gasto"},G67))))+8*MIN(1,SUMPRODUCT(--ISNUMBER(SEARCH({"cantidad","unidades","qty","peso","kilos"," kg","volumen","stock","existencia","inventario"},G67))))*(1-MIN(1,SUMPRODUCT(--ISNUMBER(SEARCH({"venta","ingreso","monto","importe","total","valor","factur","revenue","sales","amount","utilidad","ganancia","gasto"},G67)))))-MIN(1,SUMPRODUCT(--ISNUMBER(SEARCH({"precio","price","unit","costo","cost","promedio","tasa","%","edad","calific","rating","puntaje","porcentaje","satisf","nps","score","nota"},G67))))+0.013,0)</f>
        <v>0</v>
      </c>
      <c r="J67" s="89">
        <f>IF(AND(H67,K67&gt;=2),IF(K67&lt;=40,2+10*MIN(1,SUMPRODUCT(--ISNUMBER(SEARCH({"categor","region","región","producto","linea","línea","segmento","canal","ciudad","tienda","sucursal","vendedor","cliente","tipo","marca","zona","sede","courier","transportadora","oficina","trayecto","motivo","clasifica","proceso"},G67))))+3*AND(K67&gt;=4,K67&lt;=25),0.5+MIN(1,SUMPRODUCT(--ISNUMBER(SEARCH({"categor","region","región","producto","linea","línea","segmento","canal","ciudad","tienda","sucursal","vendedor","cliente","tipo","marca","zona","sede","courier","transportadora","oficina","trayecto","motivo","clasifica","proceso"},G67)))))+0.013,0)</f>
        <v>0</v>
      </c>
      <c r="K67" s="90">
        <f>IF(C67&gt;0,SUMPRODUCT((INDEX(Datos!$A$2:$AN$501,0,28)&lt;&gt;"")/COUNTIF(INDEX(Datos!$A$2:$AN$501,0,28),INDEX(Datos!$A$2:$AN$501,0,28)&amp;"")),0)</f>
        <v>0</v>
      </c>
      <c r="L67" s="89">
        <f>IF(E67,1+MIN(1,SUMPRODUCT(--ISNUMBER(SEARCH({"fecha","date","periodo","timestamp"},G67))))+0.013,0)</f>
        <v>0</v>
      </c>
      <c r="M67" s="89">
        <f>IF(AND(H67,K67&gt;=2,K67&lt;=15),MIN(1,SUMPRODUCT(--ISNUMBER(SEARCH({"etapa","fase","estado","stage","embudo","funnel","paso","status"},G67))))*(1+0.013),0)</f>
        <v>0</v>
      </c>
      <c r="N67" s="89">
        <f>IF(H67,MIN(1,SUMPRODUCT(--ISNUMBER(SEARCH({"departamento","depto","dpto","depart"},G67))))*(1+0.013),0)</f>
        <v>0</v>
      </c>
      <c r="O67" s="89">
        <f>IF(F67,MIN(1,SUMPRODUCT(--ISNUMBER(SEARCH({"costo","cost"},G67))))*(1+0.013),0)</f>
        <v>0</v>
      </c>
      <c r="P67" s="89">
        <f>IF(B67=$E$6,0,I67+5*MIN(1,SUMPRODUCT(--ISNUMBER(SEARCH({" dias"," días","tiempo","demora","duraci","lead"," horas"},G67))))*(I67&gt;0))</f>
        <v>0</v>
      </c>
      <c r="Q67" s="89">
        <f>IF(B67=$E$9,0,J67)</f>
        <v>0</v>
      </c>
      <c r="R67" s="89">
        <f>IF(OR(B67=$E$6,INDEX($I$40:$I$79,MAX(1,$F$6))&lt;12),0,O67)</f>
        <v>0</v>
      </c>
      <c r="S67" s="88" t="b">
        <f>AND(C67&gt;0,D67&lt;0.5*C67,MIN(1,SUMPRODUCT(--ISNUMBER(SEARCH({"fecha","date","periodo","timestamp"},G67))))&gt;0)</f>
        <v>0</v>
      </c>
    </row>
    <row r="68">
      <c r="A68" s="88" t="n">
        <v>29</v>
      </c>
      <c r="B68" s="88" t="str">
        <f>IF(INDEX(Datos!$A$1:$AN$1,1,29)="","",INDEX(Datos!$A$1:$AN$1,1,29)&amp;"")</f>
        <v/>
      </c>
      <c r="C68" s="88">
        <f>IF(B68="",0,COUNTA(INDEX(Datos!$A$2:$AN$1048576,0,29)))</f>
        <v>0</v>
      </c>
      <c r="D68" s="88">
        <f>IF(B68="",0,COUNT(INDEX(Datos!$A$2:$AN$1048576,0,29)))</f>
        <v>0</v>
      </c>
      <c r="E68" s="88" t="b">
        <f>AND(C68&gt;0,D68&gt;=0.9*C68,OR(LEFT(CELL("format",INDEX(Datos!$A$2:$AN$2,1,29)),1)="D",MIN(1,SUMPRODUCT(--ISNUMBER(SEARCH({"fecha","date","periodo","timestamp"},G68))))&gt;0))</f>
        <v>0</v>
      </c>
      <c r="F68" s="88" t="b">
        <f>AND(C68&gt;0,D68&gt;=0.9*C68,NOT(E68),MIN(1,SUMPRODUCT(--ISNUMBER(SEARCH({" id "," id"," cod"," nit "," cedula"," cédula"," telefono"," teléfono"," celular"," sku"," factura"," numero"," número"," nro"," año "," ano "," year"," zip"," postal"," documento"," guia"," guía"," orden"," cuenta"," pedido"," radicado"," consecutivo"," omr"," pob "," placa"," referencia"," ref "},G68))))=0,NOT(AND(K68&gt;=20,K68&gt;=0.95*MIN(500,C68),MIN(1,SUMPRODUCT(--ISNUMBER(SEARCH({"venta","ingreso","monto","importe","total","valor","factur","revenue","sales","amount","utilidad","ganancia","gasto"},G68))))+MIN(1,SUMPRODUCT(--ISNUMBER(SEARCH({"precio","price","unit","costo","cost","promedio","tasa","%","edad","calific","rating","puntaje","porcentaje","satisf","nps","score","nota"},G68))))+MIN(1,SUMPRODUCT(--ISNUMBER(SEARCH({"costo","cost"},G68))))+MIN(1,SUMPRODUCT(--ISNUMBER(SEARCH({" dias"," días","tiempo","demora","duraci","lead"," horas"},G68))))+MIN(1,SUMPRODUCT(--ISNUMBER(SEARCH({"cantidad","unidades","qty","peso","kilos"," kg","volumen","stock","existencia","inventario"},G68))))=0)))</f>
        <v>0</v>
      </c>
      <c r="G68" s="88" t="str">
        <f>" "&amp;LOWER(SUBSTITUTE(SUBSTITUTE(SUBSTITUTE(B68,"_"," "),"-"," "),"."," "))&amp;" "</f>
        <v>  </v>
      </c>
      <c r="H68" s="88" t="b">
        <f>AND(C68&gt;0,D68&lt;0.5*C68)</f>
        <v>0</v>
      </c>
      <c r="I68" s="89">
        <f>IF(F68,2+10*MIN(1,SUMPRODUCT(--ISNUMBER(SEARCH({"venta","ingreso","monto","importe","total","valor","factur","revenue","sales","amount","utilidad","ganancia","gasto"},G68))))+8*MIN(1,SUMPRODUCT(--ISNUMBER(SEARCH({"cantidad","unidades","qty","peso","kilos"," kg","volumen","stock","existencia","inventario"},G68))))*(1-MIN(1,SUMPRODUCT(--ISNUMBER(SEARCH({"venta","ingreso","monto","importe","total","valor","factur","revenue","sales","amount","utilidad","ganancia","gasto"},G68)))))-MIN(1,SUMPRODUCT(--ISNUMBER(SEARCH({"precio","price","unit","costo","cost","promedio","tasa","%","edad","calific","rating","puntaje","porcentaje","satisf","nps","score","nota"},G68))))+0.012,0)</f>
        <v>0</v>
      </c>
      <c r="J68" s="89">
        <f>IF(AND(H68,K68&gt;=2),IF(K68&lt;=40,2+10*MIN(1,SUMPRODUCT(--ISNUMBER(SEARCH({"categor","region","región","producto","linea","línea","segmento","canal","ciudad","tienda","sucursal","vendedor","cliente","tipo","marca","zona","sede","courier","transportadora","oficina","trayecto","motivo","clasifica","proceso"},G68))))+3*AND(K68&gt;=4,K68&lt;=25),0.5+MIN(1,SUMPRODUCT(--ISNUMBER(SEARCH({"categor","region","región","producto","linea","línea","segmento","canal","ciudad","tienda","sucursal","vendedor","cliente","tipo","marca","zona","sede","courier","transportadora","oficina","trayecto","motivo","clasifica","proceso"},G68)))))+0.012,0)</f>
        <v>0</v>
      </c>
      <c r="K68" s="90">
        <f>IF(C68&gt;0,SUMPRODUCT((INDEX(Datos!$A$2:$AN$501,0,29)&lt;&gt;"")/COUNTIF(INDEX(Datos!$A$2:$AN$501,0,29),INDEX(Datos!$A$2:$AN$501,0,29)&amp;"")),0)</f>
        <v>0</v>
      </c>
      <c r="L68" s="89">
        <f>IF(E68,1+MIN(1,SUMPRODUCT(--ISNUMBER(SEARCH({"fecha","date","periodo","timestamp"},G68))))+0.012,0)</f>
        <v>0</v>
      </c>
      <c r="M68" s="89">
        <f>IF(AND(H68,K68&gt;=2,K68&lt;=15),MIN(1,SUMPRODUCT(--ISNUMBER(SEARCH({"etapa","fase","estado","stage","embudo","funnel","paso","status"},G68))))*(1+0.012),0)</f>
        <v>0</v>
      </c>
      <c r="N68" s="89">
        <f>IF(H68,MIN(1,SUMPRODUCT(--ISNUMBER(SEARCH({"departamento","depto","dpto","depart"},G68))))*(1+0.012),0)</f>
        <v>0</v>
      </c>
      <c r="O68" s="89">
        <f>IF(F68,MIN(1,SUMPRODUCT(--ISNUMBER(SEARCH({"costo","cost"},G68))))*(1+0.012),0)</f>
        <v>0</v>
      </c>
      <c r="P68" s="89">
        <f>IF(B68=$E$6,0,I68+5*MIN(1,SUMPRODUCT(--ISNUMBER(SEARCH({" dias"," días","tiempo","demora","duraci","lead"," horas"},G68))))*(I68&gt;0))</f>
        <v>0</v>
      </c>
      <c r="Q68" s="89">
        <f>IF(B68=$E$9,0,J68)</f>
        <v>0</v>
      </c>
      <c r="R68" s="89">
        <f>IF(OR(B68=$E$6,INDEX($I$40:$I$79,MAX(1,$F$6))&lt;12),0,O68)</f>
        <v>0</v>
      </c>
      <c r="S68" s="88" t="b">
        <f>AND(C68&gt;0,D68&lt;0.5*C68,MIN(1,SUMPRODUCT(--ISNUMBER(SEARCH({"fecha","date","periodo","timestamp"},G68))))&gt;0)</f>
        <v>0</v>
      </c>
    </row>
    <row r="69">
      <c r="A69" s="88" t="n">
        <v>30</v>
      </c>
      <c r="B69" s="88" t="str">
        <f>IF(INDEX(Datos!$A$1:$AN$1,1,30)="","",INDEX(Datos!$A$1:$AN$1,1,30)&amp;"")</f>
        <v/>
      </c>
      <c r="C69" s="88">
        <f>IF(B69="",0,COUNTA(INDEX(Datos!$A$2:$AN$1048576,0,30)))</f>
        <v>0</v>
      </c>
      <c r="D69" s="88">
        <f>IF(B69="",0,COUNT(INDEX(Datos!$A$2:$AN$1048576,0,30)))</f>
        <v>0</v>
      </c>
      <c r="E69" s="88" t="b">
        <f>AND(C69&gt;0,D69&gt;=0.9*C69,OR(LEFT(CELL("format",INDEX(Datos!$A$2:$AN$2,1,30)),1)="D",MIN(1,SUMPRODUCT(--ISNUMBER(SEARCH({"fecha","date","periodo","timestamp"},G69))))&gt;0))</f>
        <v>0</v>
      </c>
      <c r="F69" s="88" t="b">
        <f>AND(C69&gt;0,D69&gt;=0.9*C69,NOT(E69),MIN(1,SUMPRODUCT(--ISNUMBER(SEARCH({" id "," id"," cod"," nit "," cedula"," cédula"," telefono"," teléfono"," celular"," sku"," factura"," numero"," número"," nro"," año "," ano "," year"," zip"," postal"," documento"," guia"," guía"," orden"," cuenta"," pedido"," radicado"," consecutivo"," omr"," pob "," placa"," referencia"," ref "},G69))))=0,NOT(AND(K69&gt;=20,K69&gt;=0.95*MIN(500,C69),MIN(1,SUMPRODUCT(--ISNUMBER(SEARCH({"venta","ingreso","monto","importe","total","valor","factur","revenue","sales","amount","utilidad","ganancia","gasto"},G69))))+MIN(1,SUMPRODUCT(--ISNUMBER(SEARCH({"precio","price","unit","costo","cost","promedio","tasa","%","edad","calific","rating","puntaje","porcentaje","satisf","nps","score","nota"},G69))))+MIN(1,SUMPRODUCT(--ISNUMBER(SEARCH({"costo","cost"},G69))))+MIN(1,SUMPRODUCT(--ISNUMBER(SEARCH({" dias"," días","tiempo","demora","duraci","lead"," horas"},G69))))+MIN(1,SUMPRODUCT(--ISNUMBER(SEARCH({"cantidad","unidades","qty","peso","kilos"," kg","volumen","stock","existencia","inventario"},G69))))=0)))</f>
        <v>0</v>
      </c>
      <c r="G69" s="88" t="str">
        <f>" "&amp;LOWER(SUBSTITUTE(SUBSTITUTE(SUBSTITUTE(B69,"_"," "),"-"," "),"."," "))&amp;" "</f>
        <v>  </v>
      </c>
      <c r="H69" s="88" t="b">
        <f>AND(C69&gt;0,D69&lt;0.5*C69)</f>
        <v>0</v>
      </c>
      <c r="I69" s="89">
        <f>IF(F69,2+10*MIN(1,SUMPRODUCT(--ISNUMBER(SEARCH({"venta","ingreso","monto","importe","total","valor","factur","revenue","sales","amount","utilidad","ganancia","gasto"},G69))))+8*MIN(1,SUMPRODUCT(--ISNUMBER(SEARCH({"cantidad","unidades","qty","peso","kilos"," kg","volumen","stock","existencia","inventario"},G69))))*(1-MIN(1,SUMPRODUCT(--ISNUMBER(SEARCH({"venta","ingreso","monto","importe","total","valor","factur","revenue","sales","amount","utilidad","ganancia","gasto"},G69)))))-MIN(1,SUMPRODUCT(--ISNUMBER(SEARCH({"precio","price","unit","costo","cost","promedio","tasa","%","edad","calific","rating","puntaje","porcentaje","satisf","nps","score","nota"},G69))))+0.011,0)</f>
        <v>0</v>
      </c>
      <c r="J69" s="89">
        <f>IF(AND(H69,K69&gt;=2),IF(K69&lt;=40,2+10*MIN(1,SUMPRODUCT(--ISNUMBER(SEARCH({"categor","region","región","producto","linea","línea","segmento","canal","ciudad","tienda","sucursal","vendedor","cliente","tipo","marca","zona","sede","courier","transportadora","oficina","trayecto","motivo","clasifica","proceso"},G69))))+3*AND(K69&gt;=4,K69&lt;=25),0.5+MIN(1,SUMPRODUCT(--ISNUMBER(SEARCH({"categor","region","región","producto","linea","línea","segmento","canal","ciudad","tienda","sucursal","vendedor","cliente","tipo","marca","zona","sede","courier","transportadora","oficina","trayecto","motivo","clasifica","proceso"},G69)))))+0.011,0)</f>
        <v>0</v>
      </c>
      <c r="K69" s="90">
        <f>IF(C69&gt;0,SUMPRODUCT((INDEX(Datos!$A$2:$AN$501,0,30)&lt;&gt;"")/COUNTIF(INDEX(Datos!$A$2:$AN$501,0,30),INDEX(Datos!$A$2:$AN$501,0,30)&amp;"")),0)</f>
        <v>0</v>
      </c>
      <c r="L69" s="89">
        <f>IF(E69,1+MIN(1,SUMPRODUCT(--ISNUMBER(SEARCH({"fecha","date","periodo","timestamp"},G69))))+0.011,0)</f>
        <v>0</v>
      </c>
      <c r="M69" s="89">
        <f>IF(AND(H69,K69&gt;=2,K69&lt;=15),MIN(1,SUMPRODUCT(--ISNUMBER(SEARCH({"etapa","fase","estado","stage","embudo","funnel","paso","status"},G69))))*(1+0.011),0)</f>
        <v>0</v>
      </c>
      <c r="N69" s="89">
        <f>IF(H69,MIN(1,SUMPRODUCT(--ISNUMBER(SEARCH({"departamento","depto","dpto","depart"},G69))))*(1+0.011),0)</f>
        <v>0</v>
      </c>
      <c r="O69" s="89">
        <f>IF(F69,MIN(1,SUMPRODUCT(--ISNUMBER(SEARCH({"costo","cost"},G69))))*(1+0.011),0)</f>
        <v>0</v>
      </c>
      <c r="P69" s="89">
        <f>IF(B69=$E$6,0,I69+5*MIN(1,SUMPRODUCT(--ISNUMBER(SEARCH({" dias"," días","tiempo","demora","duraci","lead"," horas"},G69))))*(I69&gt;0))</f>
        <v>0</v>
      </c>
      <c r="Q69" s="89">
        <f>IF(B69=$E$9,0,J69)</f>
        <v>0</v>
      </c>
      <c r="R69" s="89">
        <f>IF(OR(B69=$E$6,INDEX($I$40:$I$79,MAX(1,$F$6))&lt;12),0,O69)</f>
        <v>0</v>
      </c>
      <c r="S69" s="88" t="b">
        <f>AND(C69&gt;0,D69&lt;0.5*C69,MIN(1,SUMPRODUCT(--ISNUMBER(SEARCH({"fecha","date","periodo","timestamp"},G69))))&gt;0)</f>
        <v>0</v>
      </c>
    </row>
    <row r="70">
      <c r="A70" s="88" t="n">
        <v>31</v>
      </c>
      <c r="B70" s="88" t="str">
        <f>IF(INDEX(Datos!$A$1:$AN$1,1,31)="","",INDEX(Datos!$A$1:$AN$1,1,31)&amp;"")</f>
        <v/>
      </c>
      <c r="C70" s="88">
        <f>IF(B70="",0,COUNTA(INDEX(Datos!$A$2:$AN$1048576,0,31)))</f>
        <v>0</v>
      </c>
      <c r="D70" s="88">
        <f>IF(B70="",0,COUNT(INDEX(Datos!$A$2:$AN$1048576,0,31)))</f>
        <v>0</v>
      </c>
      <c r="E70" s="88" t="b">
        <f>AND(C70&gt;0,D70&gt;=0.9*C70,OR(LEFT(CELL("format",INDEX(Datos!$A$2:$AN$2,1,31)),1)="D",MIN(1,SUMPRODUCT(--ISNUMBER(SEARCH({"fecha","date","periodo","timestamp"},G70))))&gt;0))</f>
        <v>0</v>
      </c>
      <c r="F70" s="88" t="b">
        <f>AND(C70&gt;0,D70&gt;=0.9*C70,NOT(E70),MIN(1,SUMPRODUCT(--ISNUMBER(SEARCH({" id "," id"," cod"," nit "," cedula"," cédula"," telefono"," teléfono"," celular"," sku"," factura"," numero"," número"," nro"," año "," ano "," year"," zip"," postal"," documento"," guia"," guía"," orden"," cuenta"," pedido"," radicado"," consecutivo"," omr"," pob "," placa"," referencia"," ref "},G70))))=0,NOT(AND(K70&gt;=20,K70&gt;=0.95*MIN(500,C70),MIN(1,SUMPRODUCT(--ISNUMBER(SEARCH({"venta","ingreso","monto","importe","total","valor","factur","revenue","sales","amount","utilidad","ganancia","gasto"},G70))))+MIN(1,SUMPRODUCT(--ISNUMBER(SEARCH({"precio","price","unit","costo","cost","promedio","tasa","%","edad","calific","rating","puntaje","porcentaje","satisf","nps","score","nota"},G70))))+MIN(1,SUMPRODUCT(--ISNUMBER(SEARCH({"costo","cost"},G70))))+MIN(1,SUMPRODUCT(--ISNUMBER(SEARCH({" dias"," días","tiempo","demora","duraci","lead"," horas"},G70))))+MIN(1,SUMPRODUCT(--ISNUMBER(SEARCH({"cantidad","unidades","qty","peso","kilos"," kg","volumen","stock","existencia","inventario"},G70))))=0)))</f>
        <v>0</v>
      </c>
      <c r="G70" s="88" t="str">
        <f>" "&amp;LOWER(SUBSTITUTE(SUBSTITUTE(SUBSTITUTE(B70,"_"," "),"-"," "),"."," "))&amp;" "</f>
        <v>  </v>
      </c>
      <c r="H70" s="88" t="b">
        <f>AND(C70&gt;0,D70&lt;0.5*C70)</f>
        <v>0</v>
      </c>
      <c r="I70" s="89">
        <f>IF(F70,2+10*MIN(1,SUMPRODUCT(--ISNUMBER(SEARCH({"venta","ingreso","monto","importe","total","valor","factur","revenue","sales","amount","utilidad","ganancia","gasto"},G70))))+8*MIN(1,SUMPRODUCT(--ISNUMBER(SEARCH({"cantidad","unidades","qty","peso","kilos"," kg","volumen","stock","existencia","inventario"},G70))))*(1-MIN(1,SUMPRODUCT(--ISNUMBER(SEARCH({"venta","ingreso","monto","importe","total","valor","factur","revenue","sales","amount","utilidad","ganancia","gasto"},G70)))))-MIN(1,SUMPRODUCT(--ISNUMBER(SEARCH({"precio","price","unit","costo","cost","promedio","tasa","%","edad","calific","rating","puntaje","porcentaje","satisf","nps","score","nota"},G70))))+0.010,0)</f>
        <v>0</v>
      </c>
      <c r="J70" s="89">
        <f>IF(AND(H70,K70&gt;=2),IF(K70&lt;=40,2+10*MIN(1,SUMPRODUCT(--ISNUMBER(SEARCH({"categor","region","región","producto","linea","línea","segmento","canal","ciudad","tienda","sucursal","vendedor","cliente","tipo","marca","zona","sede","courier","transportadora","oficina","trayecto","motivo","clasifica","proceso"},G70))))+3*AND(K70&gt;=4,K70&lt;=25),0.5+MIN(1,SUMPRODUCT(--ISNUMBER(SEARCH({"categor","region","región","producto","linea","línea","segmento","canal","ciudad","tienda","sucursal","vendedor","cliente","tipo","marca","zona","sede","courier","transportadora","oficina","trayecto","motivo","clasifica","proceso"},G70)))))+0.010,0)</f>
        <v>0</v>
      </c>
      <c r="K70" s="90">
        <f>IF(C70&gt;0,SUMPRODUCT((INDEX(Datos!$A$2:$AN$501,0,31)&lt;&gt;"")/COUNTIF(INDEX(Datos!$A$2:$AN$501,0,31),INDEX(Datos!$A$2:$AN$501,0,31)&amp;"")),0)</f>
        <v>0</v>
      </c>
      <c r="L70" s="89">
        <f>IF(E70,1+MIN(1,SUMPRODUCT(--ISNUMBER(SEARCH({"fecha","date","periodo","timestamp"},G70))))+0.010,0)</f>
        <v>0</v>
      </c>
      <c r="M70" s="89">
        <f>IF(AND(H70,K70&gt;=2,K70&lt;=15),MIN(1,SUMPRODUCT(--ISNUMBER(SEARCH({"etapa","fase","estado","stage","embudo","funnel","paso","status"},G70))))*(1+0.010),0)</f>
        <v>0</v>
      </c>
      <c r="N70" s="89">
        <f>IF(H70,MIN(1,SUMPRODUCT(--ISNUMBER(SEARCH({"departamento","depto","dpto","depart"},G70))))*(1+0.010),0)</f>
        <v>0</v>
      </c>
      <c r="O70" s="89">
        <f>IF(F70,MIN(1,SUMPRODUCT(--ISNUMBER(SEARCH({"costo","cost"},G70))))*(1+0.010),0)</f>
        <v>0</v>
      </c>
      <c r="P70" s="89">
        <f>IF(B70=$E$6,0,I70+5*MIN(1,SUMPRODUCT(--ISNUMBER(SEARCH({" dias"," días","tiempo","demora","duraci","lead"," horas"},G70))))*(I70&gt;0))</f>
        <v>0</v>
      </c>
      <c r="Q70" s="89">
        <f>IF(B70=$E$9,0,J70)</f>
        <v>0</v>
      </c>
      <c r="R70" s="89">
        <f>IF(OR(B70=$E$6,INDEX($I$40:$I$79,MAX(1,$F$6))&lt;12),0,O70)</f>
        <v>0</v>
      </c>
      <c r="S70" s="88" t="b">
        <f>AND(C70&gt;0,D70&lt;0.5*C70,MIN(1,SUMPRODUCT(--ISNUMBER(SEARCH({"fecha","date","periodo","timestamp"},G70))))&gt;0)</f>
        <v>0</v>
      </c>
    </row>
    <row r="71">
      <c r="A71" s="88" t="n">
        <v>32</v>
      </c>
      <c r="B71" s="88" t="str">
        <f>IF(INDEX(Datos!$A$1:$AN$1,1,32)="","",INDEX(Datos!$A$1:$AN$1,1,32)&amp;"")</f>
        <v/>
      </c>
      <c r="C71" s="88">
        <f>IF(B71="",0,COUNTA(INDEX(Datos!$A$2:$AN$1048576,0,32)))</f>
        <v>0</v>
      </c>
      <c r="D71" s="88">
        <f>IF(B71="",0,COUNT(INDEX(Datos!$A$2:$AN$1048576,0,32)))</f>
        <v>0</v>
      </c>
      <c r="E71" s="88" t="b">
        <f>AND(C71&gt;0,D71&gt;=0.9*C71,OR(LEFT(CELL("format",INDEX(Datos!$A$2:$AN$2,1,32)),1)="D",MIN(1,SUMPRODUCT(--ISNUMBER(SEARCH({"fecha","date","periodo","timestamp"},G71))))&gt;0))</f>
        <v>0</v>
      </c>
      <c r="F71" s="88" t="b">
        <f>AND(C71&gt;0,D71&gt;=0.9*C71,NOT(E71),MIN(1,SUMPRODUCT(--ISNUMBER(SEARCH({" id "," id"," cod"," nit "," cedula"," cédula"," telefono"," teléfono"," celular"," sku"," factura"," numero"," número"," nro"," año "," ano "," year"," zip"," postal"," documento"," guia"," guía"," orden"," cuenta"," pedido"," radicado"," consecutivo"," omr"," pob "," placa"," referencia"," ref "},G71))))=0,NOT(AND(K71&gt;=20,K71&gt;=0.95*MIN(500,C71),MIN(1,SUMPRODUCT(--ISNUMBER(SEARCH({"venta","ingreso","monto","importe","total","valor","factur","revenue","sales","amount","utilidad","ganancia","gasto"},G71))))+MIN(1,SUMPRODUCT(--ISNUMBER(SEARCH({"precio","price","unit","costo","cost","promedio","tasa","%","edad","calific","rating","puntaje","porcentaje","satisf","nps","score","nota"},G71))))+MIN(1,SUMPRODUCT(--ISNUMBER(SEARCH({"costo","cost"},G71))))+MIN(1,SUMPRODUCT(--ISNUMBER(SEARCH({" dias"," días","tiempo","demora","duraci","lead"," horas"},G71))))+MIN(1,SUMPRODUCT(--ISNUMBER(SEARCH({"cantidad","unidades","qty","peso","kilos"," kg","volumen","stock","existencia","inventario"},G71))))=0)))</f>
        <v>0</v>
      </c>
      <c r="G71" s="88" t="str">
        <f>" "&amp;LOWER(SUBSTITUTE(SUBSTITUTE(SUBSTITUTE(B71,"_"," "),"-"," "),"."," "))&amp;" "</f>
        <v>  </v>
      </c>
      <c r="H71" s="88" t="b">
        <f>AND(C71&gt;0,D71&lt;0.5*C71)</f>
        <v>0</v>
      </c>
      <c r="I71" s="89">
        <f>IF(F71,2+10*MIN(1,SUMPRODUCT(--ISNUMBER(SEARCH({"venta","ingreso","monto","importe","total","valor","factur","revenue","sales","amount","utilidad","ganancia","gasto"},G71))))+8*MIN(1,SUMPRODUCT(--ISNUMBER(SEARCH({"cantidad","unidades","qty","peso","kilos"," kg","volumen","stock","existencia","inventario"},G71))))*(1-MIN(1,SUMPRODUCT(--ISNUMBER(SEARCH({"venta","ingreso","monto","importe","total","valor","factur","revenue","sales","amount","utilidad","ganancia","gasto"},G71)))))-MIN(1,SUMPRODUCT(--ISNUMBER(SEARCH({"precio","price","unit","costo","cost","promedio","tasa","%","edad","calific","rating","puntaje","porcentaje","satisf","nps","score","nota"},G71))))+0.009,0)</f>
        <v>0</v>
      </c>
      <c r="J71" s="89">
        <f>IF(AND(H71,K71&gt;=2),IF(K71&lt;=40,2+10*MIN(1,SUMPRODUCT(--ISNUMBER(SEARCH({"categor","region","región","producto","linea","línea","segmento","canal","ciudad","tienda","sucursal","vendedor","cliente","tipo","marca","zona","sede","courier","transportadora","oficina","trayecto","motivo","clasifica","proceso"},G71))))+3*AND(K71&gt;=4,K71&lt;=25),0.5+MIN(1,SUMPRODUCT(--ISNUMBER(SEARCH({"categor","region","región","producto","linea","línea","segmento","canal","ciudad","tienda","sucursal","vendedor","cliente","tipo","marca","zona","sede","courier","transportadora","oficina","trayecto","motivo","clasifica","proceso"},G71)))))+0.009,0)</f>
        <v>0</v>
      </c>
      <c r="K71" s="90">
        <f>IF(C71&gt;0,SUMPRODUCT((INDEX(Datos!$A$2:$AN$501,0,32)&lt;&gt;"")/COUNTIF(INDEX(Datos!$A$2:$AN$501,0,32),INDEX(Datos!$A$2:$AN$501,0,32)&amp;"")),0)</f>
        <v>0</v>
      </c>
      <c r="L71" s="89">
        <f>IF(E71,1+MIN(1,SUMPRODUCT(--ISNUMBER(SEARCH({"fecha","date","periodo","timestamp"},G71))))+0.009,0)</f>
        <v>0</v>
      </c>
      <c r="M71" s="89">
        <f>IF(AND(H71,K71&gt;=2,K71&lt;=15),MIN(1,SUMPRODUCT(--ISNUMBER(SEARCH({"etapa","fase","estado","stage","embudo","funnel","paso","status"},G71))))*(1+0.009),0)</f>
        <v>0</v>
      </c>
      <c r="N71" s="89">
        <f>IF(H71,MIN(1,SUMPRODUCT(--ISNUMBER(SEARCH({"departamento","depto","dpto","depart"},G71))))*(1+0.009),0)</f>
        <v>0</v>
      </c>
      <c r="O71" s="89">
        <f>IF(F71,MIN(1,SUMPRODUCT(--ISNUMBER(SEARCH({"costo","cost"},G71))))*(1+0.009),0)</f>
        <v>0</v>
      </c>
      <c r="P71" s="89">
        <f>IF(B71=$E$6,0,I71+5*MIN(1,SUMPRODUCT(--ISNUMBER(SEARCH({" dias"," días","tiempo","demora","duraci","lead"," horas"},G71))))*(I71&gt;0))</f>
        <v>0</v>
      </c>
      <c r="Q71" s="89">
        <f>IF(B71=$E$9,0,J71)</f>
        <v>0</v>
      </c>
      <c r="R71" s="89">
        <f>IF(OR(B71=$E$6,INDEX($I$40:$I$79,MAX(1,$F$6))&lt;12),0,O71)</f>
        <v>0</v>
      </c>
      <c r="S71" s="88" t="b">
        <f>AND(C71&gt;0,D71&lt;0.5*C71,MIN(1,SUMPRODUCT(--ISNUMBER(SEARCH({"fecha","date","periodo","timestamp"},G71))))&gt;0)</f>
        <v>0</v>
      </c>
    </row>
    <row r="72">
      <c r="A72" s="88" t="n">
        <v>33</v>
      </c>
      <c r="B72" s="88" t="str">
        <f>IF(INDEX(Datos!$A$1:$AN$1,1,33)="","",INDEX(Datos!$A$1:$AN$1,1,33)&amp;"")</f>
        <v/>
      </c>
      <c r="C72" s="88">
        <f>IF(B72="",0,COUNTA(INDEX(Datos!$A$2:$AN$1048576,0,33)))</f>
        <v>0</v>
      </c>
      <c r="D72" s="88">
        <f>IF(B72="",0,COUNT(INDEX(Datos!$A$2:$AN$1048576,0,33)))</f>
        <v>0</v>
      </c>
      <c r="E72" s="88" t="b">
        <f>AND(C72&gt;0,D72&gt;=0.9*C72,OR(LEFT(CELL("format",INDEX(Datos!$A$2:$AN$2,1,33)),1)="D",MIN(1,SUMPRODUCT(--ISNUMBER(SEARCH({"fecha","date","periodo","timestamp"},G72))))&gt;0))</f>
        <v>0</v>
      </c>
      <c r="F72" s="88" t="b">
        <f>AND(C72&gt;0,D72&gt;=0.9*C72,NOT(E72),MIN(1,SUMPRODUCT(--ISNUMBER(SEARCH({" id "," id"," cod"," nit "," cedula"," cédula"," telefono"," teléfono"," celular"," sku"," factura"," numero"," número"," nro"," año "," ano "," year"," zip"," postal"," documento"," guia"," guía"," orden"," cuenta"," pedido"," radicado"," consecutivo"," omr"," pob "," placa"," referencia"," ref "},G72))))=0,NOT(AND(K72&gt;=20,K72&gt;=0.95*MIN(500,C72),MIN(1,SUMPRODUCT(--ISNUMBER(SEARCH({"venta","ingreso","monto","importe","total","valor","factur","revenue","sales","amount","utilidad","ganancia","gasto"},G72))))+MIN(1,SUMPRODUCT(--ISNUMBER(SEARCH({"precio","price","unit","costo","cost","promedio","tasa","%","edad","calific","rating","puntaje","porcentaje","satisf","nps","score","nota"},G72))))+MIN(1,SUMPRODUCT(--ISNUMBER(SEARCH({"costo","cost"},G72))))+MIN(1,SUMPRODUCT(--ISNUMBER(SEARCH({" dias"," días","tiempo","demora","duraci","lead"," horas"},G72))))+MIN(1,SUMPRODUCT(--ISNUMBER(SEARCH({"cantidad","unidades","qty","peso","kilos"," kg","volumen","stock","existencia","inventario"},G72))))=0)))</f>
        <v>0</v>
      </c>
      <c r="G72" s="88" t="str">
        <f>" "&amp;LOWER(SUBSTITUTE(SUBSTITUTE(SUBSTITUTE(B72,"_"," "),"-"," "),"."," "))&amp;" "</f>
        <v>  </v>
      </c>
      <c r="H72" s="88" t="b">
        <f>AND(C72&gt;0,D72&lt;0.5*C72)</f>
        <v>0</v>
      </c>
      <c r="I72" s="89">
        <f>IF(F72,2+10*MIN(1,SUMPRODUCT(--ISNUMBER(SEARCH({"venta","ingreso","monto","importe","total","valor","factur","revenue","sales","amount","utilidad","ganancia","gasto"},G72))))+8*MIN(1,SUMPRODUCT(--ISNUMBER(SEARCH({"cantidad","unidades","qty","peso","kilos"," kg","volumen","stock","existencia","inventario"},G72))))*(1-MIN(1,SUMPRODUCT(--ISNUMBER(SEARCH({"venta","ingreso","monto","importe","total","valor","factur","revenue","sales","amount","utilidad","ganancia","gasto"},G72)))))-MIN(1,SUMPRODUCT(--ISNUMBER(SEARCH({"precio","price","unit","costo","cost","promedio","tasa","%","edad","calific","rating","puntaje","porcentaje","satisf","nps","score","nota"},G72))))+0.008,0)</f>
        <v>0</v>
      </c>
      <c r="J72" s="89">
        <f>IF(AND(H72,K72&gt;=2),IF(K72&lt;=40,2+10*MIN(1,SUMPRODUCT(--ISNUMBER(SEARCH({"categor","region","región","producto","linea","línea","segmento","canal","ciudad","tienda","sucursal","vendedor","cliente","tipo","marca","zona","sede","courier","transportadora","oficina","trayecto","motivo","clasifica","proceso"},G72))))+3*AND(K72&gt;=4,K72&lt;=25),0.5+MIN(1,SUMPRODUCT(--ISNUMBER(SEARCH({"categor","region","región","producto","linea","línea","segmento","canal","ciudad","tienda","sucursal","vendedor","cliente","tipo","marca","zona","sede","courier","transportadora","oficina","trayecto","motivo","clasifica","proceso"},G72)))))+0.008,0)</f>
        <v>0</v>
      </c>
      <c r="K72" s="90">
        <f>IF(C72&gt;0,SUMPRODUCT((INDEX(Datos!$A$2:$AN$501,0,33)&lt;&gt;"")/COUNTIF(INDEX(Datos!$A$2:$AN$501,0,33),INDEX(Datos!$A$2:$AN$501,0,33)&amp;"")),0)</f>
        <v>0</v>
      </c>
      <c r="L72" s="89">
        <f>IF(E72,1+MIN(1,SUMPRODUCT(--ISNUMBER(SEARCH({"fecha","date","periodo","timestamp"},G72))))+0.008,0)</f>
        <v>0</v>
      </c>
      <c r="M72" s="89">
        <f>IF(AND(H72,K72&gt;=2,K72&lt;=15),MIN(1,SUMPRODUCT(--ISNUMBER(SEARCH({"etapa","fase","estado","stage","embudo","funnel","paso","status"},G72))))*(1+0.008),0)</f>
        <v>0</v>
      </c>
      <c r="N72" s="89">
        <f>IF(H72,MIN(1,SUMPRODUCT(--ISNUMBER(SEARCH({"departamento","depto","dpto","depart"},G72))))*(1+0.008),0)</f>
        <v>0</v>
      </c>
      <c r="O72" s="89">
        <f>IF(F72,MIN(1,SUMPRODUCT(--ISNUMBER(SEARCH({"costo","cost"},G72))))*(1+0.008),0)</f>
        <v>0</v>
      </c>
      <c r="P72" s="89">
        <f>IF(B72=$E$6,0,I72+5*MIN(1,SUMPRODUCT(--ISNUMBER(SEARCH({" dias"," días","tiempo","demora","duraci","lead"," horas"},G72))))*(I72&gt;0))</f>
        <v>0</v>
      </c>
      <c r="Q72" s="89">
        <f>IF(B72=$E$9,0,J72)</f>
        <v>0</v>
      </c>
      <c r="R72" s="89">
        <f>IF(OR(B72=$E$6,INDEX($I$40:$I$79,MAX(1,$F$6))&lt;12),0,O72)</f>
        <v>0</v>
      </c>
      <c r="S72" s="88" t="b">
        <f>AND(C72&gt;0,D72&lt;0.5*C72,MIN(1,SUMPRODUCT(--ISNUMBER(SEARCH({"fecha","date","periodo","timestamp"},G72))))&gt;0)</f>
        <v>0</v>
      </c>
    </row>
    <row r="73">
      <c r="A73" s="88" t="n">
        <v>34</v>
      </c>
      <c r="B73" s="88" t="str">
        <f>IF(INDEX(Datos!$A$1:$AN$1,1,34)="","",INDEX(Datos!$A$1:$AN$1,1,34)&amp;"")</f>
        <v/>
      </c>
      <c r="C73" s="88">
        <f>IF(B73="",0,COUNTA(INDEX(Datos!$A$2:$AN$1048576,0,34)))</f>
        <v>0</v>
      </c>
      <c r="D73" s="88">
        <f>IF(B73="",0,COUNT(INDEX(Datos!$A$2:$AN$1048576,0,34)))</f>
        <v>0</v>
      </c>
      <c r="E73" s="88" t="b">
        <f>AND(C73&gt;0,D73&gt;=0.9*C73,OR(LEFT(CELL("format",INDEX(Datos!$A$2:$AN$2,1,34)),1)="D",MIN(1,SUMPRODUCT(--ISNUMBER(SEARCH({"fecha","date","periodo","timestamp"},G73))))&gt;0))</f>
        <v>0</v>
      </c>
      <c r="F73" s="88" t="b">
        <f>AND(C73&gt;0,D73&gt;=0.9*C73,NOT(E73),MIN(1,SUMPRODUCT(--ISNUMBER(SEARCH({" id "," id"," cod"," nit "," cedula"," cédula"," telefono"," teléfono"," celular"," sku"," factura"," numero"," número"," nro"," año "," ano "," year"," zip"," postal"," documento"," guia"," guía"," orden"," cuenta"," pedido"," radicado"," consecutivo"," omr"," pob "," placa"," referencia"," ref "},G73))))=0,NOT(AND(K73&gt;=20,K73&gt;=0.95*MIN(500,C73),MIN(1,SUMPRODUCT(--ISNUMBER(SEARCH({"venta","ingreso","monto","importe","total","valor","factur","revenue","sales","amount","utilidad","ganancia","gasto"},G73))))+MIN(1,SUMPRODUCT(--ISNUMBER(SEARCH({"precio","price","unit","costo","cost","promedio","tasa","%","edad","calific","rating","puntaje","porcentaje","satisf","nps","score","nota"},G73))))+MIN(1,SUMPRODUCT(--ISNUMBER(SEARCH({"costo","cost"},G73))))+MIN(1,SUMPRODUCT(--ISNUMBER(SEARCH({" dias"," días","tiempo","demora","duraci","lead"," horas"},G73))))+MIN(1,SUMPRODUCT(--ISNUMBER(SEARCH({"cantidad","unidades","qty","peso","kilos"," kg","volumen","stock","existencia","inventario"},G73))))=0)))</f>
        <v>0</v>
      </c>
      <c r="G73" s="88" t="str">
        <f>" "&amp;LOWER(SUBSTITUTE(SUBSTITUTE(SUBSTITUTE(B73,"_"," "),"-"," "),"."," "))&amp;" "</f>
        <v>  </v>
      </c>
      <c r="H73" s="88" t="b">
        <f>AND(C73&gt;0,D73&lt;0.5*C73)</f>
        <v>0</v>
      </c>
      <c r="I73" s="89">
        <f>IF(F73,2+10*MIN(1,SUMPRODUCT(--ISNUMBER(SEARCH({"venta","ingreso","monto","importe","total","valor","factur","revenue","sales","amount","utilidad","ganancia","gasto"},G73))))+8*MIN(1,SUMPRODUCT(--ISNUMBER(SEARCH({"cantidad","unidades","qty","peso","kilos"," kg","volumen","stock","existencia","inventario"},G73))))*(1-MIN(1,SUMPRODUCT(--ISNUMBER(SEARCH({"venta","ingreso","monto","importe","total","valor","factur","revenue","sales","amount","utilidad","ganancia","gasto"},G73)))))-MIN(1,SUMPRODUCT(--ISNUMBER(SEARCH({"precio","price","unit","costo","cost","promedio","tasa","%","edad","calific","rating","puntaje","porcentaje","satisf","nps","score","nota"},G73))))+0.007,0)</f>
        <v>0</v>
      </c>
      <c r="J73" s="89">
        <f>IF(AND(H73,K73&gt;=2),IF(K73&lt;=40,2+10*MIN(1,SUMPRODUCT(--ISNUMBER(SEARCH({"categor","region","región","producto","linea","línea","segmento","canal","ciudad","tienda","sucursal","vendedor","cliente","tipo","marca","zona","sede","courier","transportadora","oficina","trayecto","motivo","clasifica","proceso"},G73))))+3*AND(K73&gt;=4,K73&lt;=25),0.5+MIN(1,SUMPRODUCT(--ISNUMBER(SEARCH({"categor","region","región","producto","linea","línea","segmento","canal","ciudad","tienda","sucursal","vendedor","cliente","tipo","marca","zona","sede","courier","transportadora","oficina","trayecto","motivo","clasifica","proceso"},G73)))))+0.007,0)</f>
        <v>0</v>
      </c>
      <c r="K73" s="90">
        <f>IF(C73&gt;0,SUMPRODUCT((INDEX(Datos!$A$2:$AN$501,0,34)&lt;&gt;"")/COUNTIF(INDEX(Datos!$A$2:$AN$501,0,34),INDEX(Datos!$A$2:$AN$501,0,34)&amp;"")),0)</f>
        <v>0</v>
      </c>
      <c r="L73" s="89">
        <f>IF(E73,1+MIN(1,SUMPRODUCT(--ISNUMBER(SEARCH({"fecha","date","periodo","timestamp"},G73))))+0.007,0)</f>
        <v>0</v>
      </c>
      <c r="M73" s="89">
        <f>IF(AND(H73,K73&gt;=2,K73&lt;=15),MIN(1,SUMPRODUCT(--ISNUMBER(SEARCH({"etapa","fase","estado","stage","embudo","funnel","paso","status"},G73))))*(1+0.007),0)</f>
        <v>0</v>
      </c>
      <c r="N73" s="89">
        <f>IF(H73,MIN(1,SUMPRODUCT(--ISNUMBER(SEARCH({"departamento","depto","dpto","depart"},G73))))*(1+0.007),0)</f>
        <v>0</v>
      </c>
      <c r="O73" s="89">
        <f>IF(F73,MIN(1,SUMPRODUCT(--ISNUMBER(SEARCH({"costo","cost"},G73))))*(1+0.007),0)</f>
        <v>0</v>
      </c>
      <c r="P73" s="89">
        <f>IF(B73=$E$6,0,I73+5*MIN(1,SUMPRODUCT(--ISNUMBER(SEARCH({" dias"," días","tiempo","demora","duraci","lead"," horas"},G73))))*(I73&gt;0))</f>
        <v>0</v>
      </c>
      <c r="Q73" s="89">
        <f>IF(B73=$E$9,0,J73)</f>
        <v>0</v>
      </c>
      <c r="R73" s="89">
        <f>IF(OR(B73=$E$6,INDEX($I$40:$I$79,MAX(1,$F$6))&lt;12),0,O73)</f>
        <v>0</v>
      </c>
      <c r="S73" s="88" t="b">
        <f>AND(C73&gt;0,D73&lt;0.5*C73,MIN(1,SUMPRODUCT(--ISNUMBER(SEARCH({"fecha","date","periodo","timestamp"},G73))))&gt;0)</f>
        <v>0</v>
      </c>
    </row>
    <row r="74">
      <c r="A74" s="88" t="n">
        <v>35</v>
      </c>
      <c r="B74" s="88" t="str">
        <f>IF(INDEX(Datos!$A$1:$AN$1,1,35)="","",INDEX(Datos!$A$1:$AN$1,1,35)&amp;"")</f>
        <v/>
      </c>
      <c r="C74" s="88">
        <f>IF(B74="",0,COUNTA(INDEX(Datos!$A$2:$AN$1048576,0,35)))</f>
        <v>0</v>
      </c>
      <c r="D74" s="88">
        <f>IF(B74="",0,COUNT(INDEX(Datos!$A$2:$AN$1048576,0,35)))</f>
        <v>0</v>
      </c>
      <c r="E74" s="88" t="b">
        <f>AND(C74&gt;0,D74&gt;=0.9*C74,OR(LEFT(CELL("format",INDEX(Datos!$A$2:$AN$2,1,35)),1)="D",MIN(1,SUMPRODUCT(--ISNUMBER(SEARCH({"fecha","date","periodo","timestamp"},G74))))&gt;0))</f>
        <v>0</v>
      </c>
      <c r="F74" s="88" t="b">
        <f>AND(C74&gt;0,D74&gt;=0.9*C74,NOT(E74),MIN(1,SUMPRODUCT(--ISNUMBER(SEARCH({" id "," id"," cod"," nit "," cedula"," cédula"," telefono"," teléfono"," celular"," sku"," factura"," numero"," número"," nro"," año "," ano "," year"," zip"," postal"," documento"," guia"," guía"," orden"," cuenta"," pedido"," radicado"," consecutivo"," omr"," pob "," placa"," referencia"," ref "},G74))))=0,NOT(AND(K74&gt;=20,K74&gt;=0.95*MIN(500,C74),MIN(1,SUMPRODUCT(--ISNUMBER(SEARCH({"venta","ingreso","monto","importe","total","valor","factur","revenue","sales","amount","utilidad","ganancia","gasto"},G74))))+MIN(1,SUMPRODUCT(--ISNUMBER(SEARCH({"precio","price","unit","costo","cost","promedio","tasa","%","edad","calific","rating","puntaje","porcentaje","satisf","nps","score","nota"},G74))))+MIN(1,SUMPRODUCT(--ISNUMBER(SEARCH({"costo","cost"},G74))))+MIN(1,SUMPRODUCT(--ISNUMBER(SEARCH({" dias"," días","tiempo","demora","duraci","lead"," horas"},G74))))+MIN(1,SUMPRODUCT(--ISNUMBER(SEARCH({"cantidad","unidades","qty","peso","kilos"," kg","volumen","stock","existencia","inventario"},G74))))=0)))</f>
        <v>0</v>
      </c>
      <c r="G74" s="88" t="str">
        <f>" "&amp;LOWER(SUBSTITUTE(SUBSTITUTE(SUBSTITUTE(B74,"_"," "),"-"," "),"."," "))&amp;" "</f>
        <v>  </v>
      </c>
      <c r="H74" s="88" t="b">
        <f>AND(C74&gt;0,D74&lt;0.5*C74)</f>
        <v>0</v>
      </c>
      <c r="I74" s="89">
        <f>IF(F74,2+10*MIN(1,SUMPRODUCT(--ISNUMBER(SEARCH({"venta","ingreso","monto","importe","total","valor","factur","revenue","sales","amount","utilidad","ganancia","gasto"},G74))))+8*MIN(1,SUMPRODUCT(--ISNUMBER(SEARCH({"cantidad","unidades","qty","peso","kilos"," kg","volumen","stock","existencia","inventario"},G74))))*(1-MIN(1,SUMPRODUCT(--ISNUMBER(SEARCH({"venta","ingreso","monto","importe","total","valor","factur","revenue","sales","amount","utilidad","ganancia","gasto"},G74)))))-MIN(1,SUMPRODUCT(--ISNUMBER(SEARCH({"precio","price","unit","costo","cost","promedio","tasa","%","edad","calific","rating","puntaje","porcentaje","satisf","nps","score","nota"},G74))))+0.006,0)</f>
        <v>0</v>
      </c>
      <c r="J74" s="89">
        <f>IF(AND(H74,K74&gt;=2),IF(K74&lt;=40,2+10*MIN(1,SUMPRODUCT(--ISNUMBER(SEARCH({"categor","region","región","producto","linea","línea","segmento","canal","ciudad","tienda","sucursal","vendedor","cliente","tipo","marca","zona","sede","courier","transportadora","oficina","trayecto","motivo","clasifica","proceso"},G74))))+3*AND(K74&gt;=4,K74&lt;=25),0.5+MIN(1,SUMPRODUCT(--ISNUMBER(SEARCH({"categor","region","región","producto","linea","línea","segmento","canal","ciudad","tienda","sucursal","vendedor","cliente","tipo","marca","zona","sede","courier","transportadora","oficina","trayecto","motivo","clasifica","proceso"},G74)))))+0.006,0)</f>
        <v>0</v>
      </c>
      <c r="K74" s="90">
        <f>IF(C74&gt;0,SUMPRODUCT((INDEX(Datos!$A$2:$AN$501,0,35)&lt;&gt;"")/COUNTIF(INDEX(Datos!$A$2:$AN$501,0,35),INDEX(Datos!$A$2:$AN$501,0,35)&amp;"")),0)</f>
        <v>0</v>
      </c>
      <c r="L74" s="89">
        <f>IF(E74,1+MIN(1,SUMPRODUCT(--ISNUMBER(SEARCH({"fecha","date","periodo","timestamp"},G74))))+0.006,0)</f>
        <v>0</v>
      </c>
      <c r="M74" s="89">
        <f>IF(AND(H74,K74&gt;=2,K74&lt;=15),MIN(1,SUMPRODUCT(--ISNUMBER(SEARCH({"etapa","fase","estado","stage","embudo","funnel","paso","status"},G74))))*(1+0.006),0)</f>
        <v>0</v>
      </c>
      <c r="N74" s="89">
        <f>IF(H74,MIN(1,SUMPRODUCT(--ISNUMBER(SEARCH({"departamento","depto","dpto","depart"},G74))))*(1+0.006),0)</f>
        <v>0</v>
      </c>
      <c r="O74" s="89">
        <f>IF(F74,MIN(1,SUMPRODUCT(--ISNUMBER(SEARCH({"costo","cost"},G74))))*(1+0.006),0)</f>
        <v>0</v>
      </c>
      <c r="P74" s="89">
        <f>IF(B74=$E$6,0,I74+5*MIN(1,SUMPRODUCT(--ISNUMBER(SEARCH({" dias"," días","tiempo","demora","duraci","lead"," horas"},G74))))*(I74&gt;0))</f>
        <v>0</v>
      </c>
      <c r="Q74" s="89">
        <f>IF(B74=$E$9,0,J74)</f>
        <v>0</v>
      </c>
      <c r="R74" s="89">
        <f>IF(OR(B74=$E$6,INDEX($I$40:$I$79,MAX(1,$F$6))&lt;12),0,O74)</f>
        <v>0</v>
      </c>
      <c r="S74" s="88" t="b">
        <f>AND(C74&gt;0,D74&lt;0.5*C74,MIN(1,SUMPRODUCT(--ISNUMBER(SEARCH({"fecha","date","periodo","timestamp"},G74))))&gt;0)</f>
        <v>0</v>
      </c>
    </row>
    <row r="75">
      <c r="A75" s="88" t="n">
        <v>36</v>
      </c>
      <c r="B75" s="88" t="str">
        <f>IF(INDEX(Datos!$A$1:$AN$1,1,36)="","",INDEX(Datos!$A$1:$AN$1,1,36)&amp;"")</f>
        <v/>
      </c>
      <c r="C75" s="88">
        <f>IF(B75="",0,COUNTA(INDEX(Datos!$A$2:$AN$1048576,0,36)))</f>
        <v>0</v>
      </c>
      <c r="D75" s="88">
        <f>IF(B75="",0,COUNT(INDEX(Datos!$A$2:$AN$1048576,0,36)))</f>
        <v>0</v>
      </c>
      <c r="E75" s="88" t="b">
        <f>AND(C75&gt;0,D75&gt;=0.9*C75,OR(LEFT(CELL("format",INDEX(Datos!$A$2:$AN$2,1,36)),1)="D",MIN(1,SUMPRODUCT(--ISNUMBER(SEARCH({"fecha","date","periodo","timestamp"},G75))))&gt;0))</f>
        <v>0</v>
      </c>
      <c r="F75" s="88" t="b">
        <f>AND(C75&gt;0,D75&gt;=0.9*C75,NOT(E75),MIN(1,SUMPRODUCT(--ISNUMBER(SEARCH({" id "," id"," cod"," nit "," cedula"," cédula"," telefono"," teléfono"," celular"," sku"," factura"," numero"," número"," nro"," año "," ano "," year"," zip"," postal"," documento"," guia"," guía"," orden"," cuenta"," pedido"," radicado"," consecutivo"," omr"," pob "," placa"," referencia"," ref "},G75))))=0,NOT(AND(K75&gt;=20,K75&gt;=0.95*MIN(500,C75),MIN(1,SUMPRODUCT(--ISNUMBER(SEARCH({"venta","ingreso","monto","importe","total","valor","factur","revenue","sales","amount","utilidad","ganancia","gasto"},G75))))+MIN(1,SUMPRODUCT(--ISNUMBER(SEARCH({"precio","price","unit","costo","cost","promedio","tasa","%","edad","calific","rating","puntaje","porcentaje","satisf","nps","score","nota"},G75))))+MIN(1,SUMPRODUCT(--ISNUMBER(SEARCH({"costo","cost"},G75))))+MIN(1,SUMPRODUCT(--ISNUMBER(SEARCH({" dias"," días","tiempo","demora","duraci","lead"," horas"},G75))))+MIN(1,SUMPRODUCT(--ISNUMBER(SEARCH({"cantidad","unidades","qty","peso","kilos"," kg","volumen","stock","existencia","inventario"},G75))))=0)))</f>
        <v>0</v>
      </c>
      <c r="G75" s="88" t="str">
        <f>" "&amp;LOWER(SUBSTITUTE(SUBSTITUTE(SUBSTITUTE(B75,"_"," "),"-"," "),"."," "))&amp;" "</f>
        <v>  </v>
      </c>
      <c r="H75" s="88" t="b">
        <f>AND(C75&gt;0,D75&lt;0.5*C75)</f>
        <v>0</v>
      </c>
      <c r="I75" s="89">
        <f>IF(F75,2+10*MIN(1,SUMPRODUCT(--ISNUMBER(SEARCH({"venta","ingreso","monto","importe","total","valor","factur","revenue","sales","amount","utilidad","ganancia","gasto"},G75))))+8*MIN(1,SUMPRODUCT(--ISNUMBER(SEARCH({"cantidad","unidades","qty","peso","kilos"," kg","volumen","stock","existencia","inventario"},G75))))*(1-MIN(1,SUMPRODUCT(--ISNUMBER(SEARCH({"venta","ingreso","monto","importe","total","valor","factur","revenue","sales","amount","utilidad","ganancia","gasto"},G75)))))-MIN(1,SUMPRODUCT(--ISNUMBER(SEARCH({"precio","price","unit","costo","cost","promedio","tasa","%","edad","calific","rating","puntaje","porcentaje","satisf","nps","score","nota"},G75))))+0.005,0)</f>
        <v>0</v>
      </c>
      <c r="J75" s="89">
        <f>IF(AND(H75,K75&gt;=2),IF(K75&lt;=40,2+10*MIN(1,SUMPRODUCT(--ISNUMBER(SEARCH({"categor","region","región","producto","linea","línea","segmento","canal","ciudad","tienda","sucursal","vendedor","cliente","tipo","marca","zona","sede","courier","transportadora","oficina","trayecto","motivo","clasifica","proceso"},G75))))+3*AND(K75&gt;=4,K75&lt;=25),0.5+MIN(1,SUMPRODUCT(--ISNUMBER(SEARCH({"categor","region","región","producto","linea","línea","segmento","canal","ciudad","tienda","sucursal","vendedor","cliente","tipo","marca","zona","sede","courier","transportadora","oficina","trayecto","motivo","clasifica","proceso"},G75)))))+0.005,0)</f>
        <v>0</v>
      </c>
      <c r="K75" s="90">
        <f>IF(C75&gt;0,SUMPRODUCT((INDEX(Datos!$A$2:$AN$501,0,36)&lt;&gt;"")/COUNTIF(INDEX(Datos!$A$2:$AN$501,0,36),INDEX(Datos!$A$2:$AN$501,0,36)&amp;"")),0)</f>
        <v>0</v>
      </c>
      <c r="L75" s="89">
        <f>IF(E75,1+MIN(1,SUMPRODUCT(--ISNUMBER(SEARCH({"fecha","date","periodo","timestamp"},G75))))+0.005,0)</f>
        <v>0</v>
      </c>
      <c r="M75" s="89">
        <f>IF(AND(H75,K75&gt;=2,K75&lt;=15),MIN(1,SUMPRODUCT(--ISNUMBER(SEARCH({"etapa","fase","estado","stage","embudo","funnel","paso","status"},G75))))*(1+0.005),0)</f>
        <v>0</v>
      </c>
      <c r="N75" s="89">
        <f>IF(H75,MIN(1,SUMPRODUCT(--ISNUMBER(SEARCH({"departamento","depto","dpto","depart"},G75))))*(1+0.005),0)</f>
        <v>0</v>
      </c>
      <c r="O75" s="89">
        <f>IF(F75,MIN(1,SUMPRODUCT(--ISNUMBER(SEARCH({"costo","cost"},G75))))*(1+0.005),0)</f>
        <v>0</v>
      </c>
      <c r="P75" s="89">
        <f>IF(B75=$E$6,0,I75+5*MIN(1,SUMPRODUCT(--ISNUMBER(SEARCH({" dias"," días","tiempo","demora","duraci","lead"," horas"},G75))))*(I75&gt;0))</f>
        <v>0</v>
      </c>
      <c r="Q75" s="89">
        <f>IF(B75=$E$9,0,J75)</f>
        <v>0</v>
      </c>
      <c r="R75" s="89">
        <f>IF(OR(B75=$E$6,INDEX($I$40:$I$79,MAX(1,$F$6))&lt;12),0,O75)</f>
        <v>0</v>
      </c>
      <c r="S75" s="88" t="b">
        <f>AND(C75&gt;0,D75&lt;0.5*C75,MIN(1,SUMPRODUCT(--ISNUMBER(SEARCH({"fecha","date","periodo","timestamp"},G75))))&gt;0)</f>
        <v>0</v>
      </c>
    </row>
    <row r="76">
      <c r="A76" s="88" t="n">
        <v>37</v>
      </c>
      <c r="B76" s="88" t="str">
        <f>IF(INDEX(Datos!$A$1:$AN$1,1,37)="","",INDEX(Datos!$A$1:$AN$1,1,37)&amp;"")</f>
        <v/>
      </c>
      <c r="C76" s="88">
        <f>IF(B76="",0,COUNTA(INDEX(Datos!$A$2:$AN$1048576,0,37)))</f>
        <v>0</v>
      </c>
      <c r="D76" s="88">
        <f>IF(B76="",0,COUNT(INDEX(Datos!$A$2:$AN$1048576,0,37)))</f>
        <v>0</v>
      </c>
      <c r="E76" s="88" t="b">
        <f>AND(C76&gt;0,D76&gt;=0.9*C76,OR(LEFT(CELL("format",INDEX(Datos!$A$2:$AN$2,1,37)),1)="D",MIN(1,SUMPRODUCT(--ISNUMBER(SEARCH({"fecha","date","periodo","timestamp"},G76))))&gt;0))</f>
        <v>0</v>
      </c>
      <c r="F76" s="88" t="b">
        <f>AND(C76&gt;0,D76&gt;=0.9*C76,NOT(E76),MIN(1,SUMPRODUCT(--ISNUMBER(SEARCH({" id "," id"," cod"," nit "," cedula"," cédula"," telefono"," teléfono"," celular"," sku"," factura"," numero"," número"," nro"," año "," ano "," year"," zip"," postal"," documento"," guia"," guía"," orden"," cuenta"," pedido"," radicado"," consecutivo"," omr"," pob "," placa"," referencia"," ref "},G76))))=0,NOT(AND(K76&gt;=20,K76&gt;=0.95*MIN(500,C76),MIN(1,SUMPRODUCT(--ISNUMBER(SEARCH({"venta","ingreso","monto","importe","total","valor","factur","revenue","sales","amount","utilidad","ganancia","gasto"},G76))))+MIN(1,SUMPRODUCT(--ISNUMBER(SEARCH({"precio","price","unit","costo","cost","promedio","tasa","%","edad","calific","rating","puntaje","porcentaje","satisf","nps","score","nota"},G76))))+MIN(1,SUMPRODUCT(--ISNUMBER(SEARCH({"costo","cost"},G76))))+MIN(1,SUMPRODUCT(--ISNUMBER(SEARCH({" dias"," días","tiempo","demora","duraci","lead"," horas"},G76))))+MIN(1,SUMPRODUCT(--ISNUMBER(SEARCH({"cantidad","unidades","qty","peso","kilos"," kg","volumen","stock","existencia","inventario"},G76))))=0)))</f>
        <v>0</v>
      </c>
      <c r="G76" s="88" t="str">
        <f>" "&amp;LOWER(SUBSTITUTE(SUBSTITUTE(SUBSTITUTE(B76,"_"," "),"-"," "),"."," "))&amp;" "</f>
        <v>  </v>
      </c>
      <c r="H76" s="88" t="b">
        <f>AND(C76&gt;0,D76&lt;0.5*C76)</f>
        <v>0</v>
      </c>
      <c r="I76" s="89">
        <f>IF(F76,2+10*MIN(1,SUMPRODUCT(--ISNUMBER(SEARCH({"venta","ingreso","monto","importe","total","valor","factur","revenue","sales","amount","utilidad","ganancia","gasto"},G76))))+8*MIN(1,SUMPRODUCT(--ISNUMBER(SEARCH({"cantidad","unidades","qty","peso","kilos"," kg","volumen","stock","existencia","inventario"},G76))))*(1-MIN(1,SUMPRODUCT(--ISNUMBER(SEARCH({"venta","ingreso","monto","importe","total","valor","factur","revenue","sales","amount","utilidad","ganancia","gasto"},G76)))))-MIN(1,SUMPRODUCT(--ISNUMBER(SEARCH({"precio","price","unit","costo","cost","promedio","tasa","%","edad","calific","rating","puntaje","porcentaje","satisf","nps","score","nota"},G76))))+0.004,0)</f>
        <v>0</v>
      </c>
      <c r="J76" s="89">
        <f>IF(AND(H76,K76&gt;=2),IF(K76&lt;=40,2+10*MIN(1,SUMPRODUCT(--ISNUMBER(SEARCH({"categor","region","región","producto","linea","línea","segmento","canal","ciudad","tienda","sucursal","vendedor","cliente","tipo","marca","zona","sede","courier","transportadora","oficina","trayecto","motivo","clasifica","proceso"},G76))))+3*AND(K76&gt;=4,K76&lt;=25),0.5+MIN(1,SUMPRODUCT(--ISNUMBER(SEARCH({"categor","region","región","producto","linea","línea","segmento","canal","ciudad","tienda","sucursal","vendedor","cliente","tipo","marca","zona","sede","courier","transportadora","oficina","trayecto","motivo","clasifica","proceso"},G76)))))+0.004,0)</f>
        <v>0</v>
      </c>
      <c r="K76" s="90">
        <f>IF(C76&gt;0,SUMPRODUCT((INDEX(Datos!$A$2:$AN$501,0,37)&lt;&gt;"")/COUNTIF(INDEX(Datos!$A$2:$AN$501,0,37),INDEX(Datos!$A$2:$AN$501,0,37)&amp;"")),0)</f>
        <v>0</v>
      </c>
      <c r="L76" s="89">
        <f>IF(E76,1+MIN(1,SUMPRODUCT(--ISNUMBER(SEARCH({"fecha","date","periodo","timestamp"},G76))))+0.004,0)</f>
        <v>0</v>
      </c>
      <c r="M76" s="89">
        <f>IF(AND(H76,K76&gt;=2,K76&lt;=15),MIN(1,SUMPRODUCT(--ISNUMBER(SEARCH({"etapa","fase","estado","stage","embudo","funnel","paso","status"},G76))))*(1+0.004),0)</f>
        <v>0</v>
      </c>
      <c r="N76" s="89">
        <f>IF(H76,MIN(1,SUMPRODUCT(--ISNUMBER(SEARCH({"departamento","depto","dpto","depart"},G76))))*(1+0.004),0)</f>
        <v>0</v>
      </c>
      <c r="O76" s="89">
        <f>IF(F76,MIN(1,SUMPRODUCT(--ISNUMBER(SEARCH({"costo","cost"},G76))))*(1+0.004),0)</f>
        <v>0</v>
      </c>
      <c r="P76" s="89">
        <f>IF(B76=$E$6,0,I76+5*MIN(1,SUMPRODUCT(--ISNUMBER(SEARCH({" dias"," días","tiempo","demora","duraci","lead"," horas"},G76))))*(I76&gt;0))</f>
        <v>0</v>
      </c>
      <c r="Q76" s="89">
        <f>IF(B76=$E$9,0,J76)</f>
        <v>0</v>
      </c>
      <c r="R76" s="89">
        <f>IF(OR(B76=$E$6,INDEX($I$40:$I$79,MAX(1,$F$6))&lt;12),0,O76)</f>
        <v>0</v>
      </c>
      <c r="S76" s="88" t="b">
        <f>AND(C76&gt;0,D76&lt;0.5*C76,MIN(1,SUMPRODUCT(--ISNUMBER(SEARCH({"fecha","date","periodo","timestamp"},G76))))&gt;0)</f>
        <v>0</v>
      </c>
    </row>
    <row r="77">
      <c r="A77" s="88" t="n">
        <v>38</v>
      </c>
      <c r="B77" s="88" t="str">
        <f>IF(INDEX(Datos!$A$1:$AN$1,1,38)="","",INDEX(Datos!$A$1:$AN$1,1,38)&amp;"")</f>
        <v/>
      </c>
      <c r="C77" s="88">
        <f>IF(B77="",0,COUNTA(INDEX(Datos!$A$2:$AN$1048576,0,38)))</f>
        <v>0</v>
      </c>
      <c r="D77" s="88">
        <f>IF(B77="",0,COUNT(INDEX(Datos!$A$2:$AN$1048576,0,38)))</f>
        <v>0</v>
      </c>
      <c r="E77" s="88" t="b">
        <f>AND(C77&gt;0,D77&gt;=0.9*C77,OR(LEFT(CELL("format",INDEX(Datos!$A$2:$AN$2,1,38)),1)="D",MIN(1,SUMPRODUCT(--ISNUMBER(SEARCH({"fecha","date","periodo","timestamp"},G77))))&gt;0))</f>
        <v>0</v>
      </c>
      <c r="F77" s="88" t="b">
        <f>AND(C77&gt;0,D77&gt;=0.9*C77,NOT(E77),MIN(1,SUMPRODUCT(--ISNUMBER(SEARCH({" id "," id"," cod"," nit "," cedula"," cédula"," telefono"," teléfono"," celular"," sku"," factura"," numero"," número"," nro"," año "," ano "," year"," zip"," postal"," documento"," guia"," guía"," orden"," cuenta"," pedido"," radicado"," consecutivo"," omr"," pob "," placa"," referencia"," ref "},G77))))=0,NOT(AND(K77&gt;=20,K77&gt;=0.95*MIN(500,C77),MIN(1,SUMPRODUCT(--ISNUMBER(SEARCH({"venta","ingreso","monto","importe","total","valor","factur","revenue","sales","amount","utilidad","ganancia","gasto"},G77))))+MIN(1,SUMPRODUCT(--ISNUMBER(SEARCH({"precio","price","unit","costo","cost","promedio","tasa","%","edad","calific","rating","puntaje","porcentaje","satisf","nps","score","nota"},G77))))+MIN(1,SUMPRODUCT(--ISNUMBER(SEARCH({"costo","cost"},G77))))+MIN(1,SUMPRODUCT(--ISNUMBER(SEARCH({" dias"," días","tiempo","demora","duraci","lead"," horas"},G77))))+MIN(1,SUMPRODUCT(--ISNUMBER(SEARCH({"cantidad","unidades","qty","peso","kilos"," kg","volumen","stock","existencia","inventario"},G77))))=0)))</f>
        <v>0</v>
      </c>
      <c r="G77" s="88" t="str">
        <f>" "&amp;LOWER(SUBSTITUTE(SUBSTITUTE(SUBSTITUTE(B77,"_"," "),"-"," "),"."," "))&amp;" "</f>
        <v>  </v>
      </c>
      <c r="H77" s="88" t="b">
        <f>AND(C77&gt;0,D77&lt;0.5*C77)</f>
        <v>0</v>
      </c>
      <c r="I77" s="89">
        <f>IF(F77,2+10*MIN(1,SUMPRODUCT(--ISNUMBER(SEARCH({"venta","ingreso","monto","importe","total","valor","factur","revenue","sales","amount","utilidad","ganancia","gasto"},G77))))+8*MIN(1,SUMPRODUCT(--ISNUMBER(SEARCH({"cantidad","unidades","qty","peso","kilos"," kg","volumen","stock","existencia","inventario"},G77))))*(1-MIN(1,SUMPRODUCT(--ISNUMBER(SEARCH({"venta","ingreso","monto","importe","total","valor","factur","revenue","sales","amount","utilidad","ganancia","gasto"},G77)))))-MIN(1,SUMPRODUCT(--ISNUMBER(SEARCH({"precio","price","unit","costo","cost","promedio","tasa","%","edad","calific","rating","puntaje","porcentaje","satisf","nps","score","nota"},G77))))+0.003,0)</f>
        <v>0</v>
      </c>
      <c r="J77" s="89">
        <f>IF(AND(H77,K77&gt;=2),IF(K77&lt;=40,2+10*MIN(1,SUMPRODUCT(--ISNUMBER(SEARCH({"categor","region","región","producto","linea","línea","segmento","canal","ciudad","tienda","sucursal","vendedor","cliente","tipo","marca","zona","sede","courier","transportadora","oficina","trayecto","motivo","clasifica","proceso"},G77))))+3*AND(K77&gt;=4,K77&lt;=25),0.5+MIN(1,SUMPRODUCT(--ISNUMBER(SEARCH({"categor","region","región","producto","linea","línea","segmento","canal","ciudad","tienda","sucursal","vendedor","cliente","tipo","marca","zona","sede","courier","transportadora","oficina","trayecto","motivo","clasifica","proceso"},G77)))))+0.003,0)</f>
        <v>0</v>
      </c>
      <c r="K77" s="90">
        <f>IF(C77&gt;0,SUMPRODUCT((INDEX(Datos!$A$2:$AN$501,0,38)&lt;&gt;"")/COUNTIF(INDEX(Datos!$A$2:$AN$501,0,38),INDEX(Datos!$A$2:$AN$501,0,38)&amp;"")),0)</f>
        <v>0</v>
      </c>
      <c r="L77" s="89">
        <f>IF(E77,1+MIN(1,SUMPRODUCT(--ISNUMBER(SEARCH({"fecha","date","periodo","timestamp"},G77))))+0.003,0)</f>
        <v>0</v>
      </c>
      <c r="M77" s="89">
        <f>IF(AND(H77,K77&gt;=2,K77&lt;=15),MIN(1,SUMPRODUCT(--ISNUMBER(SEARCH({"etapa","fase","estado","stage","embudo","funnel","paso","status"},G77))))*(1+0.003),0)</f>
        <v>0</v>
      </c>
      <c r="N77" s="89">
        <f>IF(H77,MIN(1,SUMPRODUCT(--ISNUMBER(SEARCH({"departamento","depto","dpto","depart"},G77))))*(1+0.003),0)</f>
        <v>0</v>
      </c>
      <c r="O77" s="89">
        <f>IF(F77,MIN(1,SUMPRODUCT(--ISNUMBER(SEARCH({"costo","cost"},G77))))*(1+0.003),0)</f>
        <v>0</v>
      </c>
      <c r="P77" s="89">
        <f>IF(B77=$E$6,0,I77+5*MIN(1,SUMPRODUCT(--ISNUMBER(SEARCH({" dias"," días","tiempo","demora","duraci","lead"," horas"},G77))))*(I77&gt;0))</f>
        <v>0</v>
      </c>
      <c r="Q77" s="89">
        <f>IF(B77=$E$9,0,J77)</f>
        <v>0</v>
      </c>
      <c r="R77" s="89">
        <f>IF(OR(B77=$E$6,INDEX($I$40:$I$79,MAX(1,$F$6))&lt;12),0,O77)</f>
        <v>0</v>
      </c>
      <c r="S77" s="88" t="b">
        <f>AND(C77&gt;0,D77&lt;0.5*C77,MIN(1,SUMPRODUCT(--ISNUMBER(SEARCH({"fecha","date","periodo","timestamp"},G77))))&gt;0)</f>
        <v>0</v>
      </c>
    </row>
    <row r="78">
      <c r="A78" s="88" t="n">
        <v>39</v>
      </c>
      <c r="B78" s="88" t="str">
        <f>IF(INDEX(Datos!$A$1:$AN$1,1,39)="","",INDEX(Datos!$A$1:$AN$1,1,39)&amp;"")</f>
        <v/>
      </c>
      <c r="C78" s="88">
        <f>IF(B78="",0,COUNTA(INDEX(Datos!$A$2:$AN$1048576,0,39)))</f>
        <v>0</v>
      </c>
      <c r="D78" s="88">
        <f>IF(B78="",0,COUNT(INDEX(Datos!$A$2:$AN$1048576,0,39)))</f>
        <v>0</v>
      </c>
      <c r="E78" s="88" t="b">
        <f>AND(C78&gt;0,D78&gt;=0.9*C78,OR(LEFT(CELL("format",INDEX(Datos!$A$2:$AN$2,1,39)),1)="D",MIN(1,SUMPRODUCT(--ISNUMBER(SEARCH({"fecha","date","periodo","timestamp"},G78))))&gt;0))</f>
        <v>0</v>
      </c>
      <c r="F78" s="88" t="b">
        <f>AND(C78&gt;0,D78&gt;=0.9*C78,NOT(E78),MIN(1,SUMPRODUCT(--ISNUMBER(SEARCH({" id "," id"," cod"," nit "," cedula"," cédula"," telefono"," teléfono"," celular"," sku"," factura"," numero"," número"," nro"," año "," ano "," year"," zip"," postal"," documento"," guia"," guía"," orden"," cuenta"," pedido"," radicado"," consecutivo"," omr"," pob "," placa"," referencia"," ref "},G78))))=0,NOT(AND(K78&gt;=20,K78&gt;=0.95*MIN(500,C78),MIN(1,SUMPRODUCT(--ISNUMBER(SEARCH({"venta","ingreso","monto","importe","total","valor","factur","revenue","sales","amount","utilidad","ganancia","gasto"},G78))))+MIN(1,SUMPRODUCT(--ISNUMBER(SEARCH({"precio","price","unit","costo","cost","promedio","tasa","%","edad","calific","rating","puntaje","porcentaje","satisf","nps","score","nota"},G78))))+MIN(1,SUMPRODUCT(--ISNUMBER(SEARCH({"costo","cost"},G78))))+MIN(1,SUMPRODUCT(--ISNUMBER(SEARCH({" dias"," días","tiempo","demora","duraci","lead"," horas"},G78))))+MIN(1,SUMPRODUCT(--ISNUMBER(SEARCH({"cantidad","unidades","qty","peso","kilos"," kg","volumen","stock","existencia","inventario"},G78))))=0)))</f>
        <v>0</v>
      </c>
      <c r="G78" s="88" t="str">
        <f>" "&amp;LOWER(SUBSTITUTE(SUBSTITUTE(SUBSTITUTE(B78,"_"," "),"-"," "),"."," "))&amp;" "</f>
        <v>  </v>
      </c>
      <c r="H78" s="88" t="b">
        <f>AND(C78&gt;0,D78&lt;0.5*C78)</f>
        <v>0</v>
      </c>
      <c r="I78" s="89">
        <f>IF(F78,2+10*MIN(1,SUMPRODUCT(--ISNUMBER(SEARCH({"venta","ingreso","monto","importe","total","valor","factur","revenue","sales","amount","utilidad","ganancia","gasto"},G78))))+8*MIN(1,SUMPRODUCT(--ISNUMBER(SEARCH({"cantidad","unidades","qty","peso","kilos"," kg","volumen","stock","existencia","inventario"},G78))))*(1-MIN(1,SUMPRODUCT(--ISNUMBER(SEARCH({"venta","ingreso","monto","importe","total","valor","factur","revenue","sales","amount","utilidad","ganancia","gasto"},G78)))))-MIN(1,SUMPRODUCT(--ISNUMBER(SEARCH({"precio","price","unit","costo","cost","promedio","tasa","%","edad","calific","rating","puntaje","porcentaje","satisf","nps","score","nota"},G78))))+0.002,0)</f>
        <v>0</v>
      </c>
      <c r="J78" s="89">
        <f>IF(AND(H78,K78&gt;=2),IF(K78&lt;=40,2+10*MIN(1,SUMPRODUCT(--ISNUMBER(SEARCH({"categor","region","región","producto","linea","línea","segmento","canal","ciudad","tienda","sucursal","vendedor","cliente","tipo","marca","zona","sede","courier","transportadora","oficina","trayecto","motivo","clasifica","proceso"},G78))))+3*AND(K78&gt;=4,K78&lt;=25),0.5+MIN(1,SUMPRODUCT(--ISNUMBER(SEARCH({"categor","region","región","producto","linea","línea","segmento","canal","ciudad","tienda","sucursal","vendedor","cliente","tipo","marca","zona","sede","courier","transportadora","oficina","trayecto","motivo","clasifica","proceso"},G78)))))+0.002,0)</f>
        <v>0</v>
      </c>
      <c r="K78" s="90">
        <f>IF(C78&gt;0,SUMPRODUCT((INDEX(Datos!$A$2:$AN$501,0,39)&lt;&gt;"")/COUNTIF(INDEX(Datos!$A$2:$AN$501,0,39),INDEX(Datos!$A$2:$AN$501,0,39)&amp;"")),0)</f>
        <v>0</v>
      </c>
      <c r="L78" s="89">
        <f>IF(E78,1+MIN(1,SUMPRODUCT(--ISNUMBER(SEARCH({"fecha","date","periodo","timestamp"},G78))))+0.002,0)</f>
        <v>0</v>
      </c>
      <c r="M78" s="89">
        <f>IF(AND(H78,K78&gt;=2,K78&lt;=15),MIN(1,SUMPRODUCT(--ISNUMBER(SEARCH({"etapa","fase","estado","stage","embudo","funnel","paso","status"},G78))))*(1+0.002),0)</f>
        <v>0</v>
      </c>
      <c r="N78" s="89">
        <f>IF(H78,MIN(1,SUMPRODUCT(--ISNUMBER(SEARCH({"departamento","depto","dpto","depart"},G78))))*(1+0.002),0)</f>
        <v>0</v>
      </c>
      <c r="O78" s="89">
        <f>IF(F78,MIN(1,SUMPRODUCT(--ISNUMBER(SEARCH({"costo","cost"},G78))))*(1+0.002),0)</f>
        <v>0</v>
      </c>
      <c r="P78" s="89">
        <f>IF(B78=$E$6,0,I78+5*MIN(1,SUMPRODUCT(--ISNUMBER(SEARCH({" dias"," días","tiempo","demora","duraci","lead"," horas"},G78))))*(I78&gt;0))</f>
        <v>0</v>
      </c>
      <c r="Q78" s="89">
        <f>IF(B78=$E$9,0,J78)</f>
        <v>0</v>
      </c>
      <c r="R78" s="89">
        <f>IF(OR(B78=$E$6,INDEX($I$40:$I$79,MAX(1,$F$6))&lt;12),0,O78)</f>
        <v>0</v>
      </c>
      <c r="S78" s="88" t="b">
        <f>AND(C78&gt;0,D78&lt;0.5*C78,MIN(1,SUMPRODUCT(--ISNUMBER(SEARCH({"fecha","date","periodo","timestamp"},G78))))&gt;0)</f>
        <v>0</v>
      </c>
    </row>
    <row r="79">
      <c r="A79" s="88" t="n">
        <v>40</v>
      </c>
      <c r="B79" s="88" t="str">
        <f>IF(INDEX(Datos!$A$1:$AN$1,1,40)="","",INDEX(Datos!$A$1:$AN$1,1,40)&amp;"")</f>
        <v/>
      </c>
      <c r="C79" s="88">
        <f>IF(B79="",0,COUNTA(INDEX(Datos!$A$2:$AN$1048576,0,40)))</f>
        <v>0</v>
      </c>
      <c r="D79" s="88">
        <f>IF(B79="",0,COUNT(INDEX(Datos!$A$2:$AN$1048576,0,40)))</f>
        <v>0</v>
      </c>
      <c r="E79" s="88" t="b">
        <f>AND(C79&gt;0,D79&gt;=0.9*C79,OR(LEFT(CELL("format",INDEX(Datos!$A$2:$AN$2,1,40)),1)="D",MIN(1,SUMPRODUCT(--ISNUMBER(SEARCH({"fecha","date","periodo","timestamp"},G79))))&gt;0))</f>
        <v>0</v>
      </c>
      <c r="F79" s="88" t="b">
        <f>AND(C79&gt;0,D79&gt;=0.9*C79,NOT(E79),MIN(1,SUMPRODUCT(--ISNUMBER(SEARCH({" id "," id"," cod"," nit "," cedula"," cédula"," telefono"," teléfono"," celular"," sku"," factura"," numero"," número"," nro"," año "," ano "," year"," zip"," postal"," documento"," guia"," guía"," orden"," cuenta"," pedido"," radicado"," consecutivo"," omr"," pob "," placa"," referencia"," ref "},G79))))=0,NOT(AND(K79&gt;=20,K79&gt;=0.95*MIN(500,C79),MIN(1,SUMPRODUCT(--ISNUMBER(SEARCH({"venta","ingreso","monto","importe","total","valor","factur","revenue","sales","amount","utilidad","ganancia","gasto"},G79))))+MIN(1,SUMPRODUCT(--ISNUMBER(SEARCH({"precio","price","unit","costo","cost","promedio","tasa","%","edad","calific","rating","puntaje","porcentaje","satisf","nps","score","nota"},G79))))+MIN(1,SUMPRODUCT(--ISNUMBER(SEARCH({"costo","cost"},G79))))+MIN(1,SUMPRODUCT(--ISNUMBER(SEARCH({" dias"," días","tiempo","demora","duraci","lead"," horas"},G79))))+MIN(1,SUMPRODUCT(--ISNUMBER(SEARCH({"cantidad","unidades","qty","peso","kilos"," kg","volumen","stock","existencia","inventario"},G79))))=0)))</f>
        <v>0</v>
      </c>
      <c r="G79" s="88" t="str">
        <f>" "&amp;LOWER(SUBSTITUTE(SUBSTITUTE(SUBSTITUTE(B79,"_"," "),"-"," "),"."," "))&amp;" "</f>
        <v>  </v>
      </c>
      <c r="H79" s="88" t="b">
        <f>AND(C79&gt;0,D79&lt;0.5*C79)</f>
        <v>0</v>
      </c>
      <c r="I79" s="89">
        <f>IF(F79,2+10*MIN(1,SUMPRODUCT(--ISNUMBER(SEARCH({"venta","ingreso","monto","importe","total","valor","factur","revenue","sales","amount","utilidad","ganancia","gasto"},G79))))+8*MIN(1,SUMPRODUCT(--ISNUMBER(SEARCH({"cantidad","unidades","qty","peso","kilos"," kg","volumen","stock","existencia","inventario"},G79))))*(1-MIN(1,SUMPRODUCT(--ISNUMBER(SEARCH({"venta","ingreso","monto","importe","total","valor","factur","revenue","sales","amount","utilidad","ganancia","gasto"},G79)))))-MIN(1,SUMPRODUCT(--ISNUMBER(SEARCH({"precio","price","unit","costo","cost","promedio","tasa","%","edad","calific","rating","puntaje","porcentaje","satisf","nps","score","nota"},G79))))+0.001,0)</f>
        <v>0</v>
      </c>
      <c r="J79" s="89">
        <f>IF(AND(H79,K79&gt;=2),IF(K79&lt;=40,2+10*MIN(1,SUMPRODUCT(--ISNUMBER(SEARCH({"categor","region","región","producto","linea","línea","segmento","canal","ciudad","tienda","sucursal","vendedor","cliente","tipo","marca","zona","sede","courier","transportadora","oficina","trayecto","motivo","clasifica","proceso"},G79))))+3*AND(K79&gt;=4,K79&lt;=25),0.5+MIN(1,SUMPRODUCT(--ISNUMBER(SEARCH({"categor","region","región","producto","linea","línea","segmento","canal","ciudad","tienda","sucursal","vendedor","cliente","tipo","marca","zona","sede","courier","transportadora","oficina","trayecto","motivo","clasifica","proceso"},G79)))))+0.001,0)</f>
        <v>0</v>
      </c>
      <c r="K79" s="90">
        <f>IF(C79&gt;0,SUMPRODUCT((INDEX(Datos!$A$2:$AN$501,0,40)&lt;&gt;"")/COUNTIF(INDEX(Datos!$A$2:$AN$501,0,40),INDEX(Datos!$A$2:$AN$501,0,40)&amp;"")),0)</f>
        <v>0</v>
      </c>
      <c r="L79" s="89">
        <f>IF(E79,1+MIN(1,SUMPRODUCT(--ISNUMBER(SEARCH({"fecha","date","periodo","timestamp"},G79))))+0.001,0)</f>
        <v>0</v>
      </c>
      <c r="M79" s="89">
        <f>IF(AND(H79,K79&gt;=2,K79&lt;=15),MIN(1,SUMPRODUCT(--ISNUMBER(SEARCH({"etapa","fase","estado","stage","embudo","funnel","paso","status"},G79))))*(1+0.001),0)</f>
        <v>0</v>
      </c>
      <c r="N79" s="89">
        <f>IF(H79,MIN(1,SUMPRODUCT(--ISNUMBER(SEARCH({"departamento","depto","dpto","depart"},G79))))*(1+0.001),0)</f>
        <v>0</v>
      </c>
      <c r="O79" s="89">
        <f>IF(F79,MIN(1,SUMPRODUCT(--ISNUMBER(SEARCH({"costo","cost"},G79))))*(1+0.001),0)</f>
        <v>0</v>
      </c>
      <c r="P79" s="89">
        <f>IF(B79=$E$6,0,I79+5*MIN(1,SUMPRODUCT(--ISNUMBER(SEARCH({" dias"," días","tiempo","demora","duraci","lead"," horas"},G79))))*(I79&gt;0))</f>
        <v>0</v>
      </c>
      <c r="Q79" s="89">
        <f>IF(B79=$E$9,0,J79)</f>
        <v>0</v>
      </c>
      <c r="R79" s="89">
        <f>IF(OR(B79=$E$6,INDEX($I$40:$I$79,MAX(1,$F$6))&lt;12),0,O79)</f>
        <v>0</v>
      </c>
      <c r="S79" s="88" t="b">
        <f>AND(C79&gt;0,D79&lt;0.5*C79,MIN(1,SUMPRODUCT(--ISNUMBER(SEARCH({"fecha","date","periodo","timestamp"},G79))))&gt;0)</f>
        <v>0</v>
      </c>
    </row>
  </sheetData>
  <dataValidations count="1">
    <dataValidation sqref="D6 D7 D8 D9 D10 D11 D12 D13" showDropDown="0" showInputMessage="0" showErrorMessage="0" allowBlank="1" type="list">
      <formula1>=$B$40:$B$79</formula1>
    </dataValidation>
  </dataValidations>
  <pageMargins left="0.75" right="0.75" top="1" bottom="1" header="0.5" footer="0.5"/>
</worksheet>
</file>

<file path=xl/worksheets/sheet4.xml><?xml version="1.0" encoding="utf-8"?>
<worksheet xmlns="http://schemas.openxmlformats.org/spreadsheetml/2006/main">
  <sheetPr>
    <tabColor rgb="00B4B2AC"/>
    <outlinePr summaryBelow="1" summaryRight="1"/>
    <pageSetUpPr/>
  </sheetPr>
  <dimension ref="A1:CB5002"/>
  <sheetViews>
    <sheetView workbookViewId="0">
      <selection activeCell="A1" sqref="A1"/>
    </sheetView>
  </sheetViews>
  <sheetFormatPr baseColWidth="8" defaultRowHeight="15"/>
  <cols>
    <col width="6" customWidth="1" min="1" max="1"/>
  </cols>
  <sheetData>
    <row r="1">
      <c r="A1" s="91" t="inlineStr">
        <is>
          <t>Categoría principal</t>
        </is>
      </c>
      <c r="J1" s="91" t="inlineStr">
        <is>
          <t>Categoría secundaria</t>
        </is>
      </c>
      <c r="S1" s="91" t="inlineStr">
        <is>
          <t>Etapas</t>
        </is>
      </c>
      <c r="AB1" s="91" t="inlineStr">
        <is>
          <t>Tendencia</t>
        </is>
      </c>
      <c r="AG1" s="91" t="inlineStr">
        <is>
          <t>Participación</t>
        </is>
      </c>
      <c r="AJ1" s="91" t="inlineStr">
        <is>
          <t>Composición mensual</t>
        </is>
      </c>
      <c r="AT1" s="91" t="inlineStr">
        <is>
          <t>Matriz</t>
        </is>
      </c>
      <c r="AU1" s="92">
        <f>IF(cFecha=0,"",DATE(YEAR(fMax),MONTH(fMax)-6+1,1))</f>
        <v>45748.0</v>
      </c>
      <c r="AV1" s="92">
        <f>IF(cFecha=0,"",DATE(YEAR(fMax),MONTH(fMax)-6+2,1))</f>
        <v>45778.0</v>
      </c>
      <c r="AW1" s="92">
        <f>IF(cFecha=0,"",DATE(YEAR(fMax),MONTH(fMax)-6+3,1))</f>
        <v>45809.0</v>
      </c>
      <c r="AX1" s="92">
        <f>IF(cFecha=0,"",DATE(YEAR(fMax),MONTH(fMax)-6+4,1))</f>
        <v>45839.0</v>
      </c>
      <c r="AY1" s="92">
        <f>IF(cFecha=0,"",DATE(YEAR(fMax),MONTH(fMax)-6+5,1))</f>
        <v>45870.0</v>
      </c>
      <c r="AZ1" s="92">
        <f>IF(cFecha=0,"",DATE(YEAR(fMax),MONTH(fMax)-6+6,1))</f>
        <v>45901.0</v>
      </c>
      <c r="BC1" s="91" t="inlineStr">
        <is>
          <t>Mapa de calor</t>
        </is>
      </c>
      <c r="BL1" s="91" t="inlineStr">
        <is>
          <t>Mapa por departamento</t>
        </is>
      </c>
      <c r="BS1" s="91" t="inlineStr">
        <is>
          <t>Embudo</t>
        </is>
      </c>
      <c r="BX1" s="91" t="inlineStr">
        <is>
          <t>Dispersión</t>
        </is>
      </c>
      <c r="CA1" s="91" t="inlineStr">
        <is>
          <t>KPIs</t>
        </is>
      </c>
    </row>
    <row r="2">
      <c r="AE2" t="str">
        <f>nomMed</f>
        <v>Ventas</v>
      </c>
      <c r="AH2" t="str">
        <f>nomMed</f>
        <v>Ventas</v>
      </c>
      <c r="AM2" t="str">
        <f>IF(cCat2&gt;0,O3,F3)</f>
        <v>Tecnología</v>
      </c>
      <c r="AN2" t="str">
        <f>IF(cCat2&gt;0,O4,F4)</f>
        <v>Hogar</v>
      </c>
      <c r="AO2" t="str">
        <f>IF(cCat2&gt;0,O5,F5)</f>
        <v>Deportes</v>
      </c>
      <c r="AP2" t="str">
        <f>IF(cCat2&gt;0,O6,F6)</f>
        <v>Moda</v>
      </c>
      <c r="AQ2" t="inlineStr">
        <is>
          <t>Otros</t>
        </is>
      </c>
      <c r="AR2" t="inlineStr">
        <is>
          <t>Total</t>
        </is>
      </c>
      <c r="AT2" t="str">
        <f>IF(cCat1&gt;0,Config!$E$9,"")</f>
        <v>Ciudad</v>
      </c>
      <c r="AU2" t="str">
        <f>IF(AU1="","",CHOOSE(MONTH(AU1),"Ene","Feb","Mar","Abr","May","Jun","Jul","Ago","Sep","Oct","Nov","Dic")&amp;" "&amp;RIGHT(YEAR(AU1),2))</f>
        <v>Abr 25</v>
      </c>
      <c r="AV2" t="str">
        <f>IF(AV1="","",CHOOSE(MONTH(AV1),"Ene","Feb","Mar","Abr","May","Jun","Jul","Ago","Sep","Oct","Nov","Dic")&amp;" "&amp;RIGHT(YEAR(AV1),2))</f>
        <v>May 25</v>
      </c>
      <c r="AW2" t="str">
        <f>IF(AW1="","",CHOOSE(MONTH(AW1),"Ene","Feb","Mar","Abr","May","Jun","Jul","Ago","Sep","Oct","Nov","Dic")&amp;" "&amp;RIGHT(YEAR(AW1),2))</f>
        <v>Jun 25</v>
      </c>
      <c r="AX2" t="str">
        <f>IF(AX1="","",CHOOSE(MONTH(AX1),"Ene","Feb","Mar","Abr","May","Jun","Jul","Ago","Sep","Oct","Nov","Dic")&amp;" "&amp;RIGHT(YEAR(AX1),2))</f>
        <v>Jul 25</v>
      </c>
      <c r="AY2" t="str">
        <f>IF(AY1="","",CHOOSE(MONTH(AY1),"Ene","Feb","Mar","Abr","May","Jun","Jul","Ago","Sep","Oct","Nov","Dic")&amp;" "&amp;RIGHT(YEAR(AY1),2))</f>
        <v>Ago 25</v>
      </c>
      <c r="AZ2" t="str">
        <f>IF(AZ1="","",CHOOSE(MONTH(AZ1),"Ene","Feb","Mar","Abr","May","Jun","Jul","Ago","Sep","Oct","Nov","Dic")&amp;" "&amp;RIGHT(YEAR(AZ1),2))</f>
        <v>Sep 25</v>
      </c>
      <c r="BA2" t="str">
        <f>"Total 6 meses"</f>
        <v>Total 6 meses</v>
      </c>
      <c r="BC2" t="str">
        <f>IF(conHora,"Hora","Mes")</f>
        <v>Hora</v>
      </c>
      <c r="BD2" t="inlineStr">
        <is>
          <t>Lun</t>
        </is>
      </c>
      <c r="BE2" t="inlineStr">
        <is>
          <t>Mar</t>
        </is>
      </c>
      <c r="BF2" t="inlineStr">
        <is>
          <t>Mié</t>
        </is>
      </c>
      <c r="BG2" t="inlineStr">
        <is>
          <t>Jue</t>
        </is>
      </c>
      <c r="BH2" t="inlineStr">
        <is>
          <t>Vie</t>
        </is>
      </c>
      <c r="BI2" t="inlineStr">
        <is>
          <t>Sáb</t>
        </is>
      </c>
      <c r="BJ2" t="inlineStr">
        <is>
          <t>Dom</t>
        </is>
      </c>
      <c r="BT2" t="inlineStr">
        <is>
          <t>Relleno</t>
        </is>
      </c>
      <c r="BU2" t="inlineStr">
        <is>
          <t>Registros</t>
        </is>
      </c>
    </row>
    <row r="3">
      <c r="A3" t="n">
        <v>1</v>
      </c>
      <c r="B3" t="str">
        <f t="array" ref="B3">IF(cCat1=0,"",IFERROR(INDEX(rCat1,MATCH(0,COUNTIF(B$2:B2,rCat1&amp;"")+(rCat1&amp;""=""),0))&amp;"",""))</f>
        <v>Bogotá</v>
      </c>
      <c r="C3" s="93">
        <f>IF(B3="","",IF(cMed&gt;0,SUMIFS(rMed,rCat1,B3),COUNTIFS(rCat1,B3)))</f>
        <v>554388700</v>
      </c>
      <c r="D3">
        <f>IF(B3="","",COUNTIF(C$3:C$42,"&gt;"&amp;C3)+COUNTIF(C$3:C3,C3))</f>
        <v>1</v>
      </c>
      <c r="E3" t="n">
        <v>1</v>
      </c>
      <c r="F3" t="str">
        <f>IFERROR(INDEX(B$3:B$42,MATCH(E3,D$3:D$42,0)),"")</f>
        <v>Bogotá</v>
      </c>
      <c r="G3" s="93">
        <f>IFERROR(INDEX(C$3:C$42,MATCH(E3,D$3:D$42,0)),"")</f>
        <v>554388700</v>
      </c>
      <c r="H3" s="94">
        <f>IF(G3="","",IFERROR(G3/total,""))</f>
        <v>0.276311270232787</v>
      </c>
      <c r="J3" t="n">
        <v>1</v>
      </c>
      <c r="K3" t="str">
        <f t="array" ref="K3">IF(cCat2=0,"",IFERROR(INDEX(rCat2,MATCH(0,COUNTIF(K$2:K2,rCat2&amp;"")+(rCat2&amp;""=""),0))&amp;"",""))</f>
        <v>Hogar</v>
      </c>
      <c r="L3" s="93">
        <f>IF(K3="","",IF(cMed&gt;0,SUMIFS(rMed,rCat2,K3),COUNTIFS(rCat2,K3)))</f>
        <v>257060440</v>
      </c>
      <c r="M3">
        <f>IF(K3="","",COUNTIF(L$3:L$42,"&gt;"&amp;L3)+COUNTIF(L$3:L3,L3))</f>
        <v>2</v>
      </c>
      <c r="N3" t="n">
        <v>1</v>
      </c>
      <c r="O3" t="str">
        <f>IFERROR(INDEX(K$3:K$42,MATCH(N3,M$3:M$42,0)),"")</f>
        <v>Tecnología</v>
      </c>
      <c r="P3" s="93">
        <f>IFERROR(INDEX(L$3:L$42,MATCH(N3,M$3:M$42,0)),"")</f>
        <v>1154656965</v>
      </c>
      <c r="Q3" s="94">
        <f>IF(P3="","",IFERROR(P3/total,""))</f>
        <v>0.575489241902449</v>
      </c>
      <c r="S3" t="n">
        <v>1</v>
      </c>
      <c r="T3" t="str">
        <f t="array" ref="T3">IF(cEtapa=0,"",IFERROR(INDEX(rEtapa,MATCH(0,COUNTIF(T$2:T2,rEtapa&amp;"")+(rEtapa&amp;""=""),0))&amp;"",""))</f>
        <v>3. Pago</v>
      </c>
      <c r="U3" s="93">
        <f>IF(T3="","",COUNTIFS(rEtapa,T3))</f>
        <v>372</v>
      </c>
      <c r="V3">
        <f>IF(T3="","",COUNTIF(U$3:U$17,"&gt;"&amp;U3)+COUNTIF(U$3:U3,U3))</f>
        <v>3</v>
      </c>
      <c r="W3" t="n">
        <v>1</v>
      </c>
      <c r="X3" t="str">
        <f>IFERROR(INDEX(T$3:T$17,MATCH(W3,V$3:V$17,0)),"")</f>
        <v>1. Visita</v>
      </c>
      <c r="Y3" s="93">
        <f>IFERROR(INDEX(U$3:U$17,MATCH(W3,V$3:V$17,0)),"")</f>
        <v>1122</v>
      </c>
      <c r="Z3" s="94">
        <f>IF(Y3="","",IFERROR(Y3/SUM(U$3:U$17),""))</f>
        <v>0.4675</v>
      </c>
      <c r="AB3" s="92">
        <f>IF(cFecha=0,"",IF(CHOOSE(gIdx,tBase+0,tBase+0,DATE(YEAR(tBase),MONTH(tBase)+0,1),DATE(YEAR(tBase),MONTH(tBase)+0,1),DATE(YEAR(tBase)+0,1,1))&gt;fMax,"",CHOOSE(gIdx,tBase+0,tBase+0,DATE(YEAR(tBase),MONTH(tBase)+0,1),DATE(YEAR(tBase),MONTH(tBase)+0,1),DATE(YEAR(tBase)+0,1,1))))</f>
        <v>45383.0</v>
      </c>
      <c r="AC3" s="92">
        <f>IF(AB3="","",CHOOSE(gIdx,AB3+1,AB3+7,DATE(YEAR(AB3),MONTH(AB3)+1,1),DATE(YEAR(AB3),MONTH(AB3)+3,1),DATE(YEAR(AB3)+1,1,1)))</f>
        <v>45413.0</v>
      </c>
      <c r="AD3" t="str">
        <f>IF(AB3="","",CHOOSE(MONTH(AB3),"Ene","Feb","Mar","Abr","May","Jun","Jul","Ago","Sep","Oct","Nov","Dic")&amp;" "&amp;RIGHT(YEAR(AB3),2))</f>
        <v>Abr 24</v>
      </c>
      <c r="AE3">
        <f>IF(AB3="",NA(),IF(cMed&gt;0,SUMIFS(rMed,rFecha,"&gt;="&amp;AB3,rFecha,"&lt;"&amp;AC3),COUNTIFS(rFecha,"&gt;="&amp;AB3,rFecha,"&lt;"&amp;AC3)))</f>
        <v>118254975</v>
      </c>
      <c r="AF3">
        <f>IF(AB3="",NA(),AB3)</f>
        <v>45383.0</v>
      </c>
      <c r="AG3" t="str">
        <f>IF(dona2,O3,F3)</f>
        <v>Tecnología</v>
      </c>
      <c r="AH3">
        <f>IF(AG3="","",IF(dona2,P3,G3))</f>
        <v>1154656965</v>
      </c>
      <c r="AJ3">
        <f>IF(cFecha=0,"",DATE(YEAR(fMax),MONTH(fMax)-12+1,1))</f>
        <v>45566.0</v>
      </c>
      <c r="AK3">
        <f>IF(AJ3="","",DATE(YEAR(AJ3),MONTH(AJ3)+1,1))</f>
        <v>45597.0</v>
      </c>
      <c r="AL3" t="str">
        <f>IF(AJ3="","",CHOOSE(MONTH(AJ3),"Ene","Feb","Mar","Abr","May","Jun","Jul","Ago","Sep","Oct","Nov","Dic")&amp;" "&amp;RIGHT(YEAR(AJ3),2))</f>
        <v>Oct 24</v>
      </c>
      <c r="AM3">
        <f>IF(OR($AJ3="",AM$2=""),0,IF(cCat2&gt;0,IF(cMed&gt;0,SUMIFS(rMed,rFecha,"&gt;="&amp;$AJ3,rFecha,"&lt;"&amp;$AK3,rCat2,AM$2),COUNTIFS(rFecha,"&gt;="&amp;$AJ3,rFecha,"&lt;"&amp;$AK3,rCat2,AM$2)),IF(cMed&gt;0,SUMIFS(rMed,rFecha,"&gt;="&amp;$AJ3,rFecha,"&lt;"&amp;$AK3,rCat1,AM$2),COUNTIFS(rFecha,"&gt;="&amp;$AJ3,rFecha,"&lt;"&amp;$AK3,rCat1,AM$2))))</f>
        <v>74990670</v>
      </c>
      <c r="AN3">
        <f>IF(OR($AJ3="",AN$2=""),0,IF(cCat2&gt;0,IF(cMed&gt;0,SUMIFS(rMed,rFecha,"&gt;="&amp;$AJ3,rFecha,"&lt;"&amp;$AK3,rCat2,AN$2),COUNTIFS(rFecha,"&gt;="&amp;$AJ3,rFecha,"&lt;"&amp;$AK3,rCat2,AN$2)),IF(cMed&gt;0,SUMIFS(rMed,rFecha,"&gt;="&amp;$AJ3,rFecha,"&lt;"&amp;$AK3,rCat1,AN$2),COUNTIFS(rFecha,"&gt;="&amp;$AJ3,rFecha,"&lt;"&amp;$AK3,rCat1,AN$2))))</f>
        <v>9415765</v>
      </c>
      <c r="AO3">
        <f>IF(OR($AJ3="",AO$2=""),0,IF(cCat2&gt;0,IF(cMed&gt;0,SUMIFS(rMed,rFecha,"&gt;="&amp;$AJ3,rFecha,"&lt;"&amp;$AK3,rCat2,AO$2),COUNTIFS(rFecha,"&gt;="&amp;$AJ3,rFecha,"&lt;"&amp;$AK3,rCat2,AO$2)),IF(cMed&gt;0,SUMIFS(rMed,rFecha,"&gt;="&amp;$AJ3,rFecha,"&lt;"&amp;$AK3,rCat1,AO$2),COUNTIFS(rFecha,"&gt;="&amp;$AJ3,rFecha,"&lt;"&amp;$AK3,rCat1,AO$2))))</f>
        <v>9141060</v>
      </c>
      <c r="AP3">
        <f>IF(OR($AJ3="",AP$2=""),0,IF(cCat2&gt;0,IF(cMed&gt;0,SUMIFS(rMed,rFecha,"&gt;="&amp;$AJ3,rFecha,"&lt;"&amp;$AK3,rCat2,AP$2),COUNTIFS(rFecha,"&gt;="&amp;$AJ3,rFecha,"&lt;"&amp;$AK3,rCat2,AP$2)),IF(cMed&gt;0,SUMIFS(rMed,rFecha,"&gt;="&amp;$AJ3,rFecha,"&lt;"&amp;$AK3,rCat1,AP$2),COUNTIFS(rFecha,"&gt;="&amp;$AJ3,rFecha,"&lt;"&amp;$AK3,rCat1,AP$2))))</f>
        <v>13823915</v>
      </c>
      <c r="AQ3">
        <f>MAX(0,AR3-SUM(AM3:AP3))</f>
        <v>11739880</v>
      </c>
      <c r="AR3">
        <f>IF(AJ3="",0,IF(cMed&gt;0,SUMIFS(rMed,rFecha,"&gt;="&amp;$AJ3,rFecha,"&lt;"&amp;$AK3),COUNTIFS(rFecha,"&gt;="&amp;$AJ3,rFecha,"&lt;"&amp;$AK3)))</f>
        <v>119111290</v>
      </c>
      <c r="AT3" t="str">
        <f>F3</f>
        <v>Bogotá</v>
      </c>
      <c r="AU3">
        <f>IF(OR($AT3="",AU$1=""),"",IF(cMed&gt;0,SUMIFS(rMed,rCat1,$AT3,rFecha,"&gt;="&amp;AU$1,rFecha,"&lt;"&amp;DATE(YEAR(AU$1),MONTH(AU$1)+1,1)),COUNTIFS(rCat1,$AT3,rFecha,"&gt;="&amp;AU$1,rFecha,"&lt;"&amp;DATE(YEAR(AU$1),MONTH(AU$1)+1,1))))</f>
        <v>30128910</v>
      </c>
      <c r="AV3">
        <f>IF(OR($AT3="",AV$1=""),"",IF(cMed&gt;0,SUMIFS(rMed,rCat1,$AT3,rFecha,"&gt;="&amp;AV$1,rFecha,"&lt;"&amp;DATE(YEAR(AV$1),MONTH(AV$1)+1,1)),COUNTIFS(rCat1,$AT3,rFecha,"&gt;="&amp;AV$1,rFecha,"&lt;"&amp;DATE(YEAR(AV$1),MONTH(AV$1)+1,1))))</f>
        <v>32358815</v>
      </c>
      <c r="AW3">
        <f>IF(OR($AT3="",AW$1=""),"",IF(cMed&gt;0,SUMIFS(rMed,rCat1,$AT3,rFecha,"&gt;="&amp;AW$1,rFecha,"&lt;"&amp;DATE(YEAR(AW$1),MONTH(AW$1)+1,1)),COUNTIFS(rCat1,$AT3,rFecha,"&gt;="&amp;AW$1,rFecha,"&lt;"&amp;DATE(YEAR(AW$1),MONTH(AW$1)+1,1))))</f>
        <v>30920975</v>
      </c>
      <c r="AX3">
        <f>IF(OR($AT3="",AX$1=""),"",IF(cMed&gt;0,SUMIFS(rMed,rCat1,$AT3,rFecha,"&gt;="&amp;AX$1,rFecha,"&lt;"&amp;DATE(YEAR(AX$1),MONTH(AX$1)+1,1)),COUNTIFS(rCat1,$AT3,rFecha,"&gt;="&amp;AX$1,rFecha,"&lt;"&amp;DATE(YEAR(AX$1),MONTH(AX$1)+1,1))))</f>
        <v>19240210</v>
      </c>
      <c r="AY3">
        <f>IF(OR($AT3="",AY$1=""),"",IF(cMed&gt;0,SUMIFS(rMed,rCat1,$AT3,rFecha,"&gt;="&amp;AY$1,rFecha,"&lt;"&amp;DATE(YEAR(AY$1),MONTH(AY$1)+1,1)),COUNTIFS(rCat1,$AT3,rFecha,"&gt;="&amp;AY$1,rFecha,"&lt;"&amp;DATE(YEAR(AY$1),MONTH(AY$1)+1,1))))</f>
        <v>31876865</v>
      </c>
      <c r="AZ3">
        <f>IF(OR($AT3="",AZ$1=""),"",IF(cMed&gt;0,SUMIFS(rMed,rCat1,$AT3,rFecha,"&gt;="&amp;AZ$1,rFecha,"&lt;"&amp;DATE(YEAR(AZ$1),MONTH(AZ$1)+1,1)),COUNTIFS(rCat1,$AT3,rFecha,"&gt;="&amp;AZ$1,rFecha,"&lt;"&amp;DATE(YEAR(AZ$1),MONTH(AZ$1)+1,1))))</f>
        <v>35966285</v>
      </c>
      <c r="BA3">
        <f>IF(AT3="","",SUM(AU3:AZ3))</f>
        <v>180492060</v>
      </c>
      <c r="BC3" t="str">
        <f>IF(conHora,RIGHT("0"&amp;0,2)&amp;":00",IF(1&lt;=12,CHOOSE(1,"Ene","Feb","Mar","Abr","May","Jun","Jul","Ago","Sep","Oct","Nov","Dic"),""))</f>
        <v>00:00</v>
      </c>
      <c r="BD3">
        <f t="array" ref="BD3">IF(OR(cFecha=0,AND(NOT(conHora),1&gt;12)),"",SUMPRODUCT(IFERROR(ISNUMBER(rFecha)*(WEEKDAY(rFecha,2)=1)*IF(conHora,HOUR(rFecha)=0,MONTH(rFecha)=1)*IF(cMed&gt;0,IF(ISNUMBER(rMed),rMed,0),1),0)))</f>
        <v>803400</v>
      </c>
      <c r="BE3">
        <f t="array" ref="BE3">IF(OR(cFecha=0,AND(NOT(conHora),1&gt;12)),"",SUMPRODUCT(IFERROR(ISNUMBER(rFecha)*(WEEKDAY(rFecha,2)=2)*IF(conHora,HOUR(rFecha)=0,MONTH(rFecha)=1)*IF(cMed&gt;0,IF(ISNUMBER(rMed),rMed,0),1),0)))</f>
        <v>0</v>
      </c>
      <c r="BF3">
        <f t="array" ref="BF3">IF(OR(cFecha=0,AND(NOT(conHora),1&gt;12)),"",SUMPRODUCT(IFERROR(ISNUMBER(rFecha)*(WEEKDAY(rFecha,2)=3)*IF(conHora,HOUR(rFecha)=0,MONTH(rFecha)=1)*IF(cMed&gt;0,IF(ISNUMBER(rMed),rMed,0),1),0)))</f>
        <v>10614400</v>
      </c>
      <c r="BG3">
        <f t="array" ref="BG3">IF(OR(cFecha=0,AND(NOT(conHora),1&gt;12)),"",SUMPRODUCT(IFERROR(ISNUMBER(rFecha)*(WEEKDAY(rFecha,2)=4)*IF(conHora,HOUR(rFecha)=0,MONTH(rFecha)=1)*IF(cMed&gt;0,IF(ISNUMBER(rMed),rMed,0),1),0)))</f>
        <v>1100500</v>
      </c>
      <c r="BH3">
        <f t="array" ref="BH3">IF(OR(cFecha=0,AND(NOT(conHora),1&gt;12)),"",SUMPRODUCT(IFERROR(ISNUMBER(rFecha)*(WEEKDAY(rFecha,2)=5)*IF(conHora,HOUR(rFecha)=0,MONTH(rFecha)=1)*IF(cMed&gt;0,IF(ISNUMBER(rMed),rMed,0),1),0)))</f>
        <v>8034065</v>
      </c>
      <c r="BI3">
        <f t="array" ref="BI3">IF(OR(cFecha=0,AND(NOT(conHora),1&gt;12)),"",SUMPRODUCT(IFERROR(ISNUMBER(rFecha)*(WEEKDAY(rFecha,2)=6)*IF(conHora,HOUR(rFecha)=0,MONTH(rFecha)=1)*IF(cMed&gt;0,IF(ISNUMBER(rMed),rMed,0),1),0)))</f>
        <v>2306205</v>
      </c>
      <c r="BJ3">
        <f t="array" ref="BJ3">IF(OR(cFecha=0,AND(NOT(conHora),1&gt;12)),"",SUMPRODUCT(IFERROR(ISNUMBER(rFecha)*(WEEKDAY(rFecha,2)=7)*IF(conHora,HOUR(rFecha)=0,MONTH(rFecha)=1)*IF(cMed&gt;0,IF(ISNUMBER(rMed),rMed,0),1),0)))</f>
        <v>3878490</v>
      </c>
      <c r="BL3" t="inlineStr">
        <is>
          <t>San Andrés</t>
        </is>
      </c>
      <c r="BM3" t="inlineStr">
        <is>
          <t>*San Andr?s*</t>
        </is>
      </c>
      <c r="BN3">
        <f>IF(cDepto=0,"",IF(cMed&gt;0,SUMIFS(rMed,rDepto,BM3),COUNTIFS(rDepto,BM3)))</f>
        <v>0</v>
      </c>
      <c r="BO3">
        <f>IF(BN3="","",COUNTIF(BN$3:BN$35,"&gt;"&amp;BN3)+COUNTIF(BN$3:BN3,BN3))</f>
        <v>11</v>
      </c>
      <c r="BP3" t="str">
        <f>IFERROR(INDEX(BL$3:BL$35,MATCH(1,BO$3:BO$35,0)),"")</f>
        <v>Bogotá D.C.</v>
      </c>
      <c r="BQ3">
        <f>IFERROR(INDEX(BN$3:BN$35,MATCH(1,BO$3:BO$35,0)),"")</f>
        <v>554388700</v>
      </c>
      <c r="BS3" t="str">
        <f>IF(cEtapa=0,"",X3)</f>
        <v>1. Visita</v>
      </c>
      <c r="BT3">
        <f>IF(BU3="","",(MAX(BU$3:BU$8)-BU3)/2)</f>
        <v>0</v>
      </c>
      <c r="BU3">
        <f>IF(BS3="","",Y3)</f>
        <v>1122</v>
      </c>
      <c r="BV3" s="94">
        <f>IF(BU3="","",BU3/BU$3)</f>
        <v>1</v>
      </c>
      <c r="BX3">
        <f>IF(OR(cMed=0,cMed2=0,1&gt;nFilas),NA(),IF(AND(ISNUMBER(INDEX(rMed2,1)),ISNUMBER(INDEX(rMed,1))),INDEX(rMed2,1),NA()))</f>
        <v>3</v>
      </c>
      <c r="BY3">
        <f>IF(OR(cMed=0,cMed2=0,1&gt;nFilas),NA(),IF(AND(ISNUMBER(INDEX(rMed2,1)),ISNUMBER(INDEX(rMed,1))),INDEX(rMed,1),NA()))</f>
        <v>776700</v>
      </c>
      <c r="CA3" t="inlineStr">
        <is>
          <t>Actual</t>
        </is>
      </c>
      <c r="CB3">
        <f>IF(cFecha=0,0,IF(cMed&gt;0,SUMIFS(rMed,rFecha,"&gt;="&amp;mIni,rFecha,"&lt;"&amp;DATE(YEAR(mIni),MONTH(mIni)+1,1)),COUNTIFS(rFecha,"&gt;="&amp;mIni,rFecha,"&lt;"&amp;DATE(YEAR(mIni),MONTH(mIni)+1,1))))</f>
        <v>95743645</v>
      </c>
    </row>
    <row r="4">
      <c r="A4" t="n">
        <v>2</v>
      </c>
      <c r="B4" t="str">
        <f t="array" ref="B4">IF(cCat1=0,"",IFERROR(INDEX(rCat1,MATCH(0,COUNTIF(B$2:B3,rCat1&amp;"")+(rCat1&amp;""=""),0))&amp;"",""))</f>
        <v>Barranquilla</v>
      </c>
      <c r="C4" s="93">
        <f>IF(B4="","",IF(cMed&gt;0,SUMIFS(rMed,rCat1,B4),COUNTIFS(rCat1,B4)))</f>
        <v>174627110</v>
      </c>
      <c r="D4">
        <f>IF(B4="","",COUNTIF(C$3:C$42,"&gt;"&amp;C4)+COUNTIF(C$3:C4,C4))</f>
        <v>4</v>
      </c>
      <c r="E4" t="n">
        <v>2</v>
      </c>
      <c r="F4" t="str">
        <f>IFERROR(INDEX(B$3:B$42,MATCH(E4,D$3:D$42,0)),"")</f>
        <v>Medellín</v>
      </c>
      <c r="G4" s="93">
        <f>IFERROR(INDEX(C$3:C$42,MATCH(E4,D$3:D$42,0)),"")</f>
        <v>410638375</v>
      </c>
      <c r="H4" s="94">
        <f>IF(G4="","",IFERROR(G4/total,""))</f>
        <v>0.204665086071519</v>
      </c>
      <c r="J4" t="n">
        <v>2</v>
      </c>
      <c r="K4" t="str">
        <f t="array" ref="K4">IF(cCat2=0,"",IFERROR(INDEX(rCat2,MATCH(0,COUNTIF(K$2:K3,rCat2&amp;"")+(rCat2&amp;""=""),0))&amp;"",""))</f>
        <v>Juguetes</v>
      </c>
      <c r="L4" s="93">
        <f>IF(K4="","",IF(cMed&gt;0,SUMIFS(rMed,rCat2,K4),COUNTIFS(rCat2,K4)))</f>
        <v>122933825</v>
      </c>
      <c r="M4">
        <f>IF(K4="","",COUNTIF(L$3:L$42,"&gt;"&amp;L4)+COUNTIF(L$3:L4,L4))</f>
        <v>5</v>
      </c>
      <c r="N4" t="n">
        <v>2</v>
      </c>
      <c r="O4" t="str">
        <f>IFERROR(INDEX(K$3:K$42,MATCH(N4,M$3:M$42,0)),"")</f>
        <v>Hogar</v>
      </c>
      <c r="P4" s="93">
        <f>IFERROR(INDEX(L$3:L$42,MATCH(N4,M$3:M$42,0)),"")</f>
        <v>257060440</v>
      </c>
      <c r="Q4" s="94">
        <f>IF(P4="","",IFERROR(P4/total,""))</f>
        <v>0.128120751203982</v>
      </c>
      <c r="S4" t="n">
        <v>2</v>
      </c>
      <c r="T4" t="str">
        <f t="array" ref="T4">IF(cEtapa=0,"",IFERROR(INDEX(rEtapa,MATCH(0,COUNTIF(T$2:T3,rEtapa&amp;"")+(rEtapa&amp;""=""),0))&amp;"",""))</f>
        <v>1. Visita</v>
      </c>
      <c r="U4" s="93">
        <f>IF(T4="","",COUNTIFS(rEtapa,T4))</f>
        <v>1122</v>
      </c>
      <c r="V4">
        <f>IF(T4="","",COUNTIF(U$3:U$17,"&gt;"&amp;U4)+COUNTIF(U$3:U4,U4))</f>
        <v>1</v>
      </c>
      <c r="W4" t="n">
        <v>2</v>
      </c>
      <c r="X4" t="str">
        <f>IFERROR(INDEX(T$3:T$17,MATCH(W4,V$3:V$17,0)),"")</f>
        <v>2. Carrito</v>
      </c>
      <c r="Y4" s="93">
        <f>IFERROR(INDEX(U$3:U$17,MATCH(W4,V$3:V$17,0)),"")</f>
        <v>641</v>
      </c>
      <c r="Z4" s="94">
        <f>IF(Y4="","",IFERROR(Y4/SUM(U$3:U$17),""))</f>
        <v>0.267083333333333</v>
      </c>
      <c r="AB4" s="92">
        <f>IF(cFecha=0,"",IF(CHOOSE(gIdx,tBase+1,tBase+7,DATE(YEAR(tBase),MONTH(tBase)+1,1),DATE(YEAR(tBase),MONTH(tBase)+3,1),DATE(YEAR(tBase)+1,1,1))&gt;fMax,"",CHOOSE(gIdx,tBase+1,tBase+7,DATE(YEAR(tBase),MONTH(tBase)+1,1),DATE(YEAR(tBase),MONTH(tBase)+3,1),DATE(YEAR(tBase)+1,1,1))))</f>
        <v>45413.0</v>
      </c>
      <c r="AC4" s="92">
        <f>IF(AB4="","",CHOOSE(gIdx,AB4+1,AB4+7,DATE(YEAR(AB4),MONTH(AB4)+1,1),DATE(YEAR(AB4),MONTH(AB4)+3,1),DATE(YEAR(AB4)+1,1,1)))</f>
        <v>45444.0</v>
      </c>
      <c r="AD4" t="str">
        <f>IF(AB4="","",CHOOSE(MONTH(AB4),"Ene","Feb","Mar","Abr","May","Jun","Jul","Ago","Sep","Oct","Nov","Dic")&amp;" "&amp;RIGHT(YEAR(AB4),2))</f>
        <v>May 24</v>
      </c>
      <c r="AE4">
        <f>IF(AB4="",NA(),IF(cMed&gt;0,SUMIFS(rMed,rFecha,"&gt;="&amp;AB4,rFecha,"&lt;"&amp;AC4),COUNTIFS(rFecha,"&gt;="&amp;AB4,rFecha,"&lt;"&amp;AC4)))</f>
        <v>146055220</v>
      </c>
      <c r="AF4">
        <f>IF(AB4="",NA(),AB4)</f>
        <v>45413.0</v>
      </c>
      <c r="AG4" t="str">
        <f>IF(dona2,O4,F4)</f>
        <v>Hogar</v>
      </c>
      <c r="AH4">
        <f>IF(AG4="","",IF(dona2,P4,G4))</f>
        <v>257060440</v>
      </c>
      <c r="AJ4">
        <f>IF(cFecha=0,"",DATE(YEAR(fMax),MONTH(fMax)-12+2,1))</f>
        <v>45597.0</v>
      </c>
      <c r="AK4">
        <f>IF(AJ4="","",DATE(YEAR(AJ4),MONTH(AJ4)+1,1))</f>
        <v>45627.0</v>
      </c>
      <c r="AL4" t="str">
        <f>IF(AJ4="","",CHOOSE(MONTH(AJ4),"Ene","Feb","Mar","Abr","May","Jun","Jul","Ago","Sep","Oct","Nov","Dic")&amp;" "&amp;RIGHT(YEAR(AJ4),2))</f>
        <v>Nov 24</v>
      </c>
      <c r="AM4">
        <f>IF(OR($AJ4="",AM$2=""),0,IF(cCat2&gt;0,IF(cMed&gt;0,SUMIFS(rMed,rFecha,"&gt;="&amp;$AJ4,rFecha,"&lt;"&amp;$AK4,rCat2,AM$2),COUNTIFS(rFecha,"&gt;="&amp;$AJ4,rFecha,"&lt;"&amp;$AK4,rCat2,AM$2)),IF(cMed&gt;0,SUMIFS(rMed,rFecha,"&gt;="&amp;$AJ4,rFecha,"&lt;"&amp;$AK4,rCat1,AM$2),COUNTIFS(rFecha,"&gt;="&amp;$AJ4,rFecha,"&lt;"&amp;$AK4,rCat1,AM$2))))</f>
        <v>64913430</v>
      </c>
      <c r="AN4">
        <f>IF(OR($AJ4="",AN$2=""),0,IF(cCat2&gt;0,IF(cMed&gt;0,SUMIFS(rMed,rFecha,"&gt;="&amp;$AJ4,rFecha,"&lt;"&amp;$AK4,rCat2,AN$2),COUNTIFS(rFecha,"&gt;="&amp;$AJ4,rFecha,"&lt;"&amp;$AK4,rCat2,AN$2)),IF(cMed&gt;0,SUMIFS(rMed,rFecha,"&gt;="&amp;$AJ4,rFecha,"&lt;"&amp;$AK4,rCat1,AN$2),COUNTIFS(rFecha,"&gt;="&amp;$AJ4,rFecha,"&lt;"&amp;$AK4,rCat1,AN$2))))</f>
        <v>18949995</v>
      </c>
      <c r="AO4">
        <f>IF(OR($AJ4="",AO$2=""),0,IF(cCat2&gt;0,IF(cMed&gt;0,SUMIFS(rMed,rFecha,"&gt;="&amp;$AJ4,rFecha,"&lt;"&amp;$AK4,rCat2,AO$2),COUNTIFS(rFecha,"&gt;="&amp;$AJ4,rFecha,"&lt;"&amp;$AK4,rCat2,AO$2)),IF(cMed&gt;0,SUMIFS(rMed,rFecha,"&gt;="&amp;$AJ4,rFecha,"&lt;"&amp;$AK4,rCat1,AO$2),COUNTIFS(rFecha,"&gt;="&amp;$AJ4,rFecha,"&lt;"&amp;$AK4,rCat1,AO$2))))</f>
        <v>15496805</v>
      </c>
      <c r="AP4">
        <f>IF(OR($AJ4="",AP$2=""),0,IF(cCat2&gt;0,IF(cMed&gt;0,SUMIFS(rMed,rFecha,"&gt;="&amp;$AJ4,rFecha,"&lt;"&amp;$AK4,rCat2,AP$2),COUNTIFS(rFecha,"&gt;="&amp;$AJ4,rFecha,"&lt;"&amp;$AK4,rCat2,AP$2)),IF(cMed&gt;0,SUMIFS(rMed,rFecha,"&gt;="&amp;$AJ4,rFecha,"&lt;"&amp;$AK4,rCat1,AP$2),COUNTIFS(rFecha,"&gt;="&amp;$AJ4,rFecha,"&lt;"&amp;$AK4,rCat1,AP$2))))</f>
        <v>11897690</v>
      </c>
      <c r="AQ4">
        <f>MAX(0,AR4-SUM(AM4:AP4))</f>
        <v>19648620</v>
      </c>
      <c r="AR4">
        <f>IF(AJ4="",0,IF(cMed&gt;0,SUMIFS(rMed,rFecha,"&gt;="&amp;$AJ4,rFecha,"&lt;"&amp;$AK4),COUNTIFS(rFecha,"&gt;="&amp;$AJ4,rFecha,"&lt;"&amp;$AK4)))</f>
        <v>130906540</v>
      </c>
      <c r="AT4" t="str">
        <f>F4</f>
        <v>Medellín</v>
      </c>
      <c r="AU4">
        <f>IF(OR($AT4="",AU$1=""),"",IF(cMed&gt;0,SUMIFS(rMed,rCat1,$AT4,rFecha,"&gt;="&amp;AU$1,rFecha,"&lt;"&amp;DATE(YEAR(AU$1),MONTH(AU$1)+1,1)),COUNTIFS(rCat1,$AT4,rFecha,"&gt;="&amp;AU$1,rFecha,"&lt;"&amp;DATE(YEAR(AU$1),MONTH(AU$1)+1,1))))</f>
        <v>30561990</v>
      </c>
      <c r="AV4">
        <f>IF(OR($AT4="",AV$1=""),"",IF(cMed&gt;0,SUMIFS(rMed,rCat1,$AT4,rFecha,"&gt;="&amp;AV$1,rFecha,"&lt;"&amp;DATE(YEAR(AV$1),MONTH(AV$1)+1,1)),COUNTIFS(rCat1,$AT4,rFecha,"&gt;="&amp;AV$1,rFecha,"&lt;"&amp;DATE(YEAR(AV$1),MONTH(AV$1)+1,1))))</f>
        <v>13583845</v>
      </c>
      <c r="AW4">
        <f>IF(OR($AT4="",AW$1=""),"",IF(cMed&gt;0,SUMIFS(rMed,rCat1,$AT4,rFecha,"&gt;="&amp;AW$1,rFecha,"&lt;"&amp;DATE(YEAR(AW$1),MONTH(AW$1)+1,1)),COUNTIFS(rCat1,$AT4,rFecha,"&gt;="&amp;AW$1,rFecha,"&lt;"&amp;DATE(YEAR(AW$1),MONTH(AW$1)+1,1))))</f>
        <v>16902070</v>
      </c>
      <c r="AX4">
        <f>IF(OR($AT4="",AX$1=""),"",IF(cMed&gt;0,SUMIFS(rMed,rCat1,$AT4,rFecha,"&gt;="&amp;AX$1,rFecha,"&lt;"&amp;DATE(YEAR(AX$1),MONTH(AX$1)+1,1)),COUNTIFS(rCat1,$AT4,rFecha,"&gt;="&amp;AX$1,rFecha,"&lt;"&amp;DATE(YEAR(AX$1),MONTH(AX$1)+1,1))))</f>
        <v>24227440</v>
      </c>
      <c r="AY4">
        <f>IF(OR($AT4="",AY$1=""),"",IF(cMed&gt;0,SUMIFS(rMed,rCat1,$AT4,rFecha,"&gt;="&amp;AY$1,rFecha,"&lt;"&amp;DATE(YEAR(AY$1),MONTH(AY$1)+1,1)),COUNTIFS(rCat1,$AT4,rFecha,"&gt;="&amp;AY$1,rFecha,"&lt;"&amp;DATE(YEAR(AY$1),MONTH(AY$1)+1,1))))</f>
        <v>15921045</v>
      </c>
      <c r="AZ4">
        <f>IF(OR($AT4="",AZ$1=""),"",IF(cMed&gt;0,SUMIFS(rMed,rCat1,$AT4,rFecha,"&gt;="&amp;AZ$1,rFecha,"&lt;"&amp;DATE(YEAR(AZ$1),MONTH(AZ$1)+1,1)),COUNTIFS(rCat1,$AT4,rFecha,"&gt;="&amp;AZ$1,rFecha,"&lt;"&amp;DATE(YEAR(AZ$1),MONTH(AZ$1)+1,1))))</f>
        <v>12965950</v>
      </c>
      <c r="BA4">
        <f>IF(AT4="","",SUM(AU4:AZ4))</f>
        <v>114162340</v>
      </c>
      <c r="BC4" t="str">
        <f>IF(conHora,RIGHT("0"&amp;1,2)&amp;":00",IF(2&lt;=12,CHOOSE(2,"Ene","Feb","Mar","Abr","May","Jun","Jul","Ago","Sep","Oct","Nov","Dic"),""))</f>
        <v>01:00</v>
      </c>
      <c r="BD4">
        <f t="array" ref="BD4">IF(OR(cFecha=0,AND(NOT(conHora),2&gt;12)),"",SUMPRODUCT(IFERROR(ISNUMBER(rFecha)*(WEEKDAY(rFecha,2)=1)*IF(conHora,HOUR(rFecha)=1,MONTH(rFecha)=2)*IF(cMed&gt;0,IF(ISNUMBER(rMed),rMed,0),1),0)))</f>
        <v>347200</v>
      </c>
      <c r="BE4">
        <f t="array" ref="BE4">IF(OR(cFecha=0,AND(NOT(conHora),2&gt;12)),"",SUMPRODUCT(IFERROR(ISNUMBER(rFecha)*(WEEKDAY(rFecha,2)=2)*IF(conHora,HOUR(rFecha)=1,MONTH(rFecha)=2)*IF(cMed&gt;0,IF(ISNUMBER(rMed),rMed,0),1),0)))</f>
        <v>328440</v>
      </c>
      <c r="BF4">
        <f t="array" ref="BF4">IF(OR(cFecha=0,AND(NOT(conHora),2&gt;12)),"",SUMPRODUCT(IFERROR(ISNUMBER(rFecha)*(WEEKDAY(rFecha,2)=3)*IF(conHora,HOUR(rFecha)=1,MONTH(rFecha)=2)*IF(cMed&gt;0,IF(ISNUMBER(rMed),rMed,0),1),0)))</f>
        <v>919540</v>
      </c>
      <c r="BG4">
        <f t="array" ref="BG4">IF(OR(cFecha=0,AND(NOT(conHora),2&gt;12)),"",SUMPRODUCT(IFERROR(ISNUMBER(rFecha)*(WEEKDAY(rFecha,2)=4)*IF(conHora,HOUR(rFecha)=1,MONTH(rFecha)=2)*IF(cMed&gt;0,IF(ISNUMBER(rMed),rMed,0),1),0)))</f>
        <v>0</v>
      </c>
      <c r="BH4">
        <f t="array" ref="BH4">IF(OR(cFecha=0,AND(NOT(conHora),2&gt;12)),"",SUMPRODUCT(IFERROR(ISNUMBER(rFecha)*(WEEKDAY(rFecha,2)=5)*IF(conHora,HOUR(rFecha)=1,MONTH(rFecha)=2)*IF(cMed&gt;0,IF(ISNUMBER(rMed),rMed,0),1),0)))</f>
        <v>0</v>
      </c>
      <c r="BI4">
        <f t="array" ref="BI4">IF(OR(cFecha=0,AND(NOT(conHora),2&gt;12)),"",SUMPRODUCT(IFERROR(ISNUMBER(rFecha)*(WEEKDAY(rFecha,2)=6)*IF(conHora,HOUR(rFecha)=1,MONTH(rFecha)=2)*IF(cMed&gt;0,IF(ISNUMBER(rMed),rMed,0),1),0)))</f>
        <v>530380</v>
      </c>
      <c r="BJ4">
        <f t="array" ref="BJ4">IF(OR(cFecha=0,AND(NOT(conHora),2&gt;12)),"",SUMPRODUCT(IFERROR(ISNUMBER(rFecha)*(WEEKDAY(rFecha,2)=7)*IF(conHora,HOUR(rFecha)=1,MONTH(rFecha)=2)*IF(cMed&gt;0,IF(ISNUMBER(rMed),rMed,0),1),0)))</f>
        <v>1190320</v>
      </c>
      <c r="BL4" t="inlineStr">
        <is>
          <t>La Guajira</t>
        </is>
      </c>
      <c r="BM4" t="inlineStr">
        <is>
          <t>*Guajira</t>
        </is>
      </c>
      <c r="BN4">
        <f>IF(cDepto=0,"",IF(cMed&gt;0,SUMIFS(rMed,rDepto,BM4),COUNTIFS(rDepto,BM4)))</f>
        <v>0</v>
      </c>
      <c r="BO4">
        <f>IF(BN4="","",COUNTIF(BN$3:BN$35,"&gt;"&amp;BN4)+COUNTIF(BN$3:BN4,BN4))</f>
        <v>12</v>
      </c>
      <c r="BP4" t="str">
        <f>IFERROR(INDEX(BL$3:BL$35,MATCH(2,BO$3:BO$35,0)),"")</f>
        <v>Antioquia</v>
      </c>
      <c r="BQ4">
        <f>IFERROR(INDEX(BN$3:BN$35,MATCH(2,BO$3:BO$35,0)),"")</f>
        <v>410638375</v>
      </c>
      <c r="BS4" t="str">
        <f>IF(cEtapa=0,"",X4)</f>
        <v>2. Carrito</v>
      </c>
      <c r="BT4">
        <f>IF(BU4="","",(MAX(BU$3:BU$8)-BU4)/2)</f>
        <v>240.5</v>
      </c>
      <c r="BU4">
        <f>IF(BS4="","",Y4)</f>
        <v>641</v>
      </c>
      <c r="BV4" s="94">
        <f>IF(BU4="","",BU4/BU$3)</f>
        <v>0.571301247771836</v>
      </c>
      <c r="BX4">
        <f>IF(OR(cMed=0,cMed2=0,2&gt;nFilas),NA(),IF(AND(ISNUMBER(INDEX(rMed2,2)),ISNUMBER(INDEX(rMed,2))),INDEX(rMed2,2),NA()))</f>
        <v>2</v>
      </c>
      <c r="BY4">
        <f>IF(OR(cMed=0,cMed2=0,2&gt;nFilas),NA(),IF(AND(ISNUMBER(INDEX(rMed2,2)),ISNUMBER(INDEX(rMed,2))),INDEX(rMed,2),NA()))</f>
        <v>150800</v>
      </c>
      <c r="CA4" t="inlineStr">
        <is>
          <t>Anterior</t>
        </is>
      </c>
      <c r="CB4">
        <f>IF(cFecha=0,0,IF(cMed&gt;0,SUMIFS(rMed,rFecha,"&gt;="&amp;DATE(YEAR(mIni),MONTH(mIni)-1,1),rFecha,"&lt;"&amp;mIni),COUNTIFS(rFecha,"&gt;="&amp;DATE(YEAR(mIni),MONTH(mIni)-1,1),rFecha,"&lt;"&amp;mIni)))</f>
        <v>88947425</v>
      </c>
    </row>
    <row r="5">
      <c r="A5" t="n">
        <v>3</v>
      </c>
      <c r="B5" t="str">
        <f t="array" ref="B5">IF(cCat1=0,"",IFERROR(INDEX(rCat1,MATCH(0,COUNTIF(B$2:B4,rCat1&amp;"")+(rCat1&amp;""=""),0))&amp;"",""))</f>
        <v>Cali</v>
      </c>
      <c r="C5" s="93">
        <f>IF(B5="","",IF(cMed&gt;0,SUMIFS(rMed,rCat1,B5),COUNTIFS(rCat1,B5)))</f>
        <v>260852225</v>
      </c>
      <c r="D5">
        <f>IF(B5="","",COUNTIF(C$3:C$42,"&gt;"&amp;C5)+COUNTIF(C$3:C5,C5))</f>
        <v>3</v>
      </c>
      <c r="E5" t="n">
        <v>3</v>
      </c>
      <c r="F5" t="str">
        <f>IFERROR(INDEX(B$3:B$42,MATCH(E5,D$3:D$42,0)),"")</f>
        <v>Cali</v>
      </c>
      <c r="G5" s="93">
        <f>IFERROR(INDEX(C$3:C$42,MATCH(E5,D$3:D$42,0)),"")</f>
        <v>260852225</v>
      </c>
      <c r="H5" s="94">
        <f>IF(G5="","",IFERROR(G5/total,""))</f>
        <v>0.130010603810645</v>
      </c>
      <c r="J5" t="n">
        <v>3</v>
      </c>
      <c r="K5" t="str">
        <f t="array" ref="K5">IF(cCat2=0,"",IFERROR(INDEX(rCat2,MATCH(0,COUNTIF(K$2:K4,rCat2&amp;"")+(rCat2&amp;""=""),0))&amp;"",""))</f>
        <v>Deportes</v>
      </c>
      <c r="L5" s="93">
        <f>IF(K5="","",IF(cMed&gt;0,SUMIFS(rMed,rCat2,K5),COUNTIFS(rCat2,K5)))</f>
        <v>223186850</v>
      </c>
      <c r="M5">
        <f>IF(K5="","",COUNTIF(L$3:L$42,"&gt;"&amp;L5)+COUNTIF(L$3:L5,L5))</f>
        <v>3</v>
      </c>
      <c r="N5" t="n">
        <v>3</v>
      </c>
      <c r="O5" t="str">
        <f>IFERROR(INDEX(K$3:K$42,MATCH(N5,M$3:M$42,0)),"")</f>
        <v>Deportes</v>
      </c>
      <c r="P5" s="93">
        <f>IFERROR(INDEX(L$3:L$42,MATCH(N5,M$3:M$42,0)),"")</f>
        <v>223186850</v>
      </c>
      <c r="Q5" s="94">
        <f>IF(P5="","",IFERROR(P5/total,""))</f>
        <v>0.111237913079315</v>
      </c>
      <c r="S5" t="n">
        <v>3</v>
      </c>
      <c r="T5" t="str">
        <f t="array" ref="T5">IF(cEtapa=0,"",IFERROR(INDEX(rEtapa,MATCH(0,COUNTIF(T$2:T4,rEtapa&amp;"")+(rEtapa&amp;""=""),0))&amp;"",""))</f>
        <v>4. Compra</v>
      </c>
      <c r="U5" s="93">
        <f>IF(T5="","",COUNTIFS(rEtapa,T5))</f>
        <v>265</v>
      </c>
      <c r="V5">
        <f>IF(T5="","",COUNTIF(U$3:U$17,"&gt;"&amp;U5)+COUNTIF(U$3:U5,U5))</f>
        <v>4</v>
      </c>
      <c r="W5" t="n">
        <v>3</v>
      </c>
      <c r="X5" t="str">
        <f>IFERROR(INDEX(T$3:T$17,MATCH(W5,V$3:V$17,0)),"")</f>
        <v>3. Pago</v>
      </c>
      <c r="Y5" s="93">
        <f>IFERROR(INDEX(U$3:U$17,MATCH(W5,V$3:V$17,0)),"")</f>
        <v>372</v>
      </c>
      <c r="Z5" s="94">
        <f>IF(Y5="","",IFERROR(Y5/SUM(U$3:U$17),""))</f>
        <v>0.155</v>
      </c>
      <c r="AB5" s="92">
        <f>IF(cFecha=0,"",IF(CHOOSE(gIdx,tBase+2,tBase+14,DATE(YEAR(tBase),MONTH(tBase)+2,1),DATE(YEAR(tBase),MONTH(tBase)+6,1),DATE(YEAR(tBase)+2,1,1))&gt;fMax,"",CHOOSE(gIdx,tBase+2,tBase+14,DATE(YEAR(tBase),MONTH(tBase)+2,1),DATE(YEAR(tBase),MONTH(tBase)+6,1),DATE(YEAR(tBase)+2,1,1))))</f>
        <v>45444.0</v>
      </c>
      <c r="AC5" s="92">
        <f>IF(AB5="","",CHOOSE(gIdx,AB5+1,AB5+7,DATE(YEAR(AB5),MONTH(AB5)+1,1),DATE(YEAR(AB5),MONTH(AB5)+3,1),DATE(YEAR(AB5)+1,1,1)))</f>
        <v>45474.0</v>
      </c>
      <c r="AD5" t="str">
        <f>IF(AB5="","",CHOOSE(MONTH(AB5),"Ene","Feb","Mar","Abr","May","Jun","Jul","Ago","Sep","Oct","Nov","Dic")&amp;" "&amp;RIGHT(YEAR(AB5),2))</f>
        <v>Jun 24</v>
      </c>
      <c r="AE5">
        <f>IF(AB5="",NA(),IF(cMed&gt;0,SUMIFS(rMed,rFecha,"&gt;="&amp;AB5,rFecha,"&lt;"&amp;AC5),COUNTIFS(rFecha,"&gt;="&amp;AB5,rFecha,"&lt;"&amp;AC5)))</f>
        <v>103138825</v>
      </c>
      <c r="AF5">
        <f>IF(AB5="",NA(),AB5)</f>
        <v>45444.0</v>
      </c>
      <c r="AG5" t="str">
        <f>IF(dona2,O5,F5)</f>
        <v>Deportes</v>
      </c>
      <c r="AH5">
        <f>IF(AG5="","",IF(dona2,P5,G5))</f>
        <v>223186850</v>
      </c>
      <c r="AJ5">
        <f>IF(cFecha=0,"",DATE(YEAR(fMax),MONTH(fMax)-12+3,1))</f>
        <v>45627.0</v>
      </c>
      <c r="AK5">
        <f>IF(AJ5="","",DATE(YEAR(AJ5),MONTH(AJ5)+1,1))</f>
        <v>45658.0</v>
      </c>
      <c r="AL5" t="str">
        <f>IF(AJ5="","",CHOOSE(MONTH(AJ5),"Ene","Feb","Mar","Abr","May","Jun","Jul","Ago","Sep","Oct","Nov","Dic")&amp;" "&amp;RIGHT(YEAR(AJ5),2))</f>
        <v>Dic 24</v>
      </c>
      <c r="AM5">
        <f>IF(OR($AJ5="",AM$2=""),0,IF(cCat2&gt;0,IF(cMed&gt;0,SUMIFS(rMed,rFecha,"&gt;="&amp;$AJ5,rFecha,"&lt;"&amp;$AK5,rCat2,AM$2),COUNTIFS(rFecha,"&gt;="&amp;$AJ5,rFecha,"&lt;"&amp;$AK5,rCat2,AM$2)),IF(cMed&gt;0,SUMIFS(rMed,rFecha,"&gt;="&amp;$AJ5,rFecha,"&lt;"&amp;$AK5,rCat1,AM$2),COUNTIFS(rFecha,"&gt;="&amp;$AJ5,rFecha,"&lt;"&amp;$AK5,rCat1,AM$2))))</f>
        <v>51050505</v>
      </c>
      <c r="AN5">
        <f>IF(OR($AJ5="",AN$2=""),0,IF(cCat2&gt;0,IF(cMed&gt;0,SUMIFS(rMed,rFecha,"&gt;="&amp;$AJ5,rFecha,"&lt;"&amp;$AK5,rCat2,AN$2),COUNTIFS(rFecha,"&gt;="&amp;$AJ5,rFecha,"&lt;"&amp;$AK5,rCat2,AN$2)),IF(cMed&gt;0,SUMIFS(rMed,rFecha,"&gt;="&amp;$AJ5,rFecha,"&lt;"&amp;$AK5,rCat1,AN$2),COUNTIFS(rFecha,"&gt;="&amp;$AJ5,rFecha,"&lt;"&amp;$AK5,rCat1,AN$2))))</f>
        <v>18238430</v>
      </c>
      <c r="AO5">
        <f>IF(OR($AJ5="",AO$2=""),0,IF(cCat2&gt;0,IF(cMed&gt;0,SUMIFS(rMed,rFecha,"&gt;="&amp;$AJ5,rFecha,"&lt;"&amp;$AK5,rCat2,AO$2),COUNTIFS(rFecha,"&gt;="&amp;$AJ5,rFecha,"&lt;"&amp;$AK5,rCat2,AO$2)),IF(cMed&gt;0,SUMIFS(rMed,rFecha,"&gt;="&amp;$AJ5,rFecha,"&lt;"&amp;$AK5,rCat1,AO$2),COUNTIFS(rFecha,"&gt;="&amp;$AJ5,rFecha,"&lt;"&amp;$AK5,rCat1,AO$2))))</f>
        <v>14898605</v>
      </c>
      <c r="AP5">
        <f>IF(OR($AJ5="",AP$2=""),0,IF(cCat2&gt;0,IF(cMed&gt;0,SUMIFS(rMed,rFecha,"&gt;="&amp;$AJ5,rFecha,"&lt;"&amp;$AK5,rCat2,AP$2),COUNTIFS(rFecha,"&gt;="&amp;$AJ5,rFecha,"&lt;"&amp;$AK5,rCat2,AP$2)),IF(cMed&gt;0,SUMIFS(rMed,rFecha,"&gt;="&amp;$AJ5,rFecha,"&lt;"&amp;$AK5,rCat1,AP$2),COUNTIFS(rFecha,"&gt;="&amp;$AJ5,rFecha,"&lt;"&amp;$AK5,rCat1,AP$2))))</f>
        <v>10543060</v>
      </c>
      <c r="AQ5">
        <f>MAX(0,AR5-SUM(AM5:AP5))</f>
        <v>16184955</v>
      </c>
      <c r="AR5">
        <f>IF(AJ5="",0,IF(cMed&gt;0,SUMIFS(rMed,rFecha,"&gt;="&amp;$AJ5,rFecha,"&lt;"&amp;$AK5),COUNTIFS(rFecha,"&gt;="&amp;$AJ5,rFecha,"&lt;"&amp;$AK5)))</f>
        <v>110915555</v>
      </c>
      <c r="AT5" t="str">
        <f>F5</f>
        <v>Cali</v>
      </c>
      <c r="AU5">
        <f>IF(OR($AT5="",AU$1=""),"",IF(cMed&gt;0,SUMIFS(rMed,rCat1,$AT5,rFecha,"&gt;="&amp;AU$1,rFecha,"&lt;"&amp;DATE(YEAR(AU$1),MONTH(AU$1)+1,1)),COUNTIFS(rCat1,$AT5,rFecha,"&gt;="&amp;AU$1,rFecha,"&lt;"&amp;DATE(YEAR(AU$1),MONTH(AU$1)+1,1))))</f>
        <v>8882510</v>
      </c>
      <c r="AV5">
        <f>IF(OR($AT5="",AV$1=""),"",IF(cMed&gt;0,SUMIFS(rMed,rCat1,$AT5,rFecha,"&gt;="&amp;AV$1,rFecha,"&lt;"&amp;DATE(YEAR(AV$1),MONTH(AV$1)+1,1)),COUNTIFS(rCat1,$AT5,rFecha,"&gt;="&amp;AV$1,rFecha,"&lt;"&amp;DATE(YEAR(AV$1),MONTH(AV$1)+1,1))))</f>
        <v>11355755</v>
      </c>
      <c r="AW5">
        <f>IF(OR($AT5="",AW$1=""),"",IF(cMed&gt;0,SUMIFS(rMed,rCat1,$AT5,rFecha,"&gt;="&amp;AW$1,rFecha,"&lt;"&amp;DATE(YEAR(AW$1),MONTH(AW$1)+1,1)),COUNTIFS(rCat1,$AT5,rFecha,"&gt;="&amp;AW$1,rFecha,"&lt;"&amp;DATE(YEAR(AW$1),MONTH(AW$1)+1,1))))</f>
        <v>22180125</v>
      </c>
      <c r="AX5">
        <f>IF(OR($AT5="",AX$1=""),"",IF(cMed&gt;0,SUMIFS(rMed,rCat1,$AT5,rFecha,"&gt;="&amp;AX$1,rFecha,"&lt;"&amp;DATE(YEAR(AX$1),MONTH(AX$1)+1,1)),COUNTIFS(rCat1,$AT5,rFecha,"&gt;="&amp;AX$1,rFecha,"&lt;"&amp;DATE(YEAR(AX$1),MONTH(AX$1)+1,1))))</f>
        <v>16910820</v>
      </c>
      <c r="AY5">
        <f>IF(OR($AT5="",AY$1=""),"",IF(cMed&gt;0,SUMIFS(rMed,rCat1,$AT5,rFecha,"&gt;="&amp;AY$1,rFecha,"&lt;"&amp;DATE(YEAR(AY$1),MONTH(AY$1)+1,1)),COUNTIFS(rCat1,$AT5,rFecha,"&gt;="&amp;AY$1,rFecha,"&lt;"&amp;DATE(YEAR(AY$1),MONTH(AY$1)+1,1))))</f>
        <v>6750730</v>
      </c>
      <c r="AZ5">
        <f>IF(OR($AT5="",AZ$1=""),"",IF(cMed&gt;0,SUMIFS(rMed,rCat1,$AT5,rFecha,"&gt;="&amp;AZ$1,rFecha,"&lt;"&amp;DATE(YEAR(AZ$1),MONTH(AZ$1)+1,1)),COUNTIFS(rCat1,$AT5,rFecha,"&gt;="&amp;AZ$1,rFecha,"&lt;"&amp;DATE(YEAR(AZ$1),MONTH(AZ$1)+1,1))))</f>
        <v>7444840</v>
      </c>
      <c r="BA5">
        <f>IF(AT5="","",SUM(AU5:AZ5))</f>
        <v>73524780</v>
      </c>
      <c r="BC5" t="str">
        <f>IF(conHora,RIGHT("0"&amp;2,2)&amp;":00",IF(3&lt;=12,CHOOSE(3,"Ene","Feb","Mar","Abr","May","Jun","Jul","Ago","Sep","Oct","Nov","Dic"),""))</f>
        <v>02:00</v>
      </c>
      <c r="BD5">
        <f t="array" ref="BD5">IF(OR(cFecha=0,AND(NOT(conHora),3&gt;12)),"",SUMPRODUCT(IFERROR(ISNUMBER(rFecha)*(WEEKDAY(rFecha,2)=1)*IF(conHora,HOUR(rFecha)=2,MONTH(rFecha)=3)*IF(cMed&gt;0,IF(ISNUMBER(rMed),rMed,0),1),0)))</f>
        <v>2838400</v>
      </c>
      <c r="BE5">
        <f t="array" ref="BE5">IF(OR(cFecha=0,AND(NOT(conHora),3&gt;12)),"",SUMPRODUCT(IFERROR(ISNUMBER(rFecha)*(WEEKDAY(rFecha,2)=2)*IF(conHora,HOUR(rFecha)=2,MONTH(rFecha)=3)*IF(cMed&gt;0,IF(ISNUMBER(rMed),rMed,0),1),0)))</f>
        <v>393300</v>
      </c>
      <c r="BF5">
        <f t="array" ref="BF5">IF(OR(cFecha=0,AND(NOT(conHora),3&gt;12)),"",SUMPRODUCT(IFERROR(ISNUMBER(rFecha)*(WEEKDAY(rFecha,2)=3)*IF(conHora,HOUR(rFecha)=2,MONTH(rFecha)=3)*IF(cMed&gt;0,IF(ISNUMBER(rMed),rMed,0),1),0)))</f>
        <v>2818700</v>
      </c>
      <c r="BG5">
        <f t="array" ref="BG5">IF(OR(cFecha=0,AND(NOT(conHora),3&gt;12)),"",SUMPRODUCT(IFERROR(ISNUMBER(rFecha)*(WEEKDAY(rFecha,2)=4)*IF(conHora,HOUR(rFecha)=2,MONTH(rFecha)=3)*IF(cMed&gt;0,IF(ISNUMBER(rMed),rMed,0),1),0)))</f>
        <v>358400</v>
      </c>
      <c r="BH5">
        <f t="array" ref="BH5">IF(OR(cFecha=0,AND(NOT(conHora),3&gt;12)),"",SUMPRODUCT(IFERROR(ISNUMBER(rFecha)*(WEEKDAY(rFecha,2)=5)*IF(conHora,HOUR(rFecha)=2,MONTH(rFecha)=3)*IF(cMed&gt;0,IF(ISNUMBER(rMed),rMed,0),1),0)))</f>
        <v>0</v>
      </c>
      <c r="BI5">
        <f t="array" ref="BI5">IF(OR(cFecha=0,AND(NOT(conHora),3&gt;12)),"",SUMPRODUCT(IFERROR(ISNUMBER(rFecha)*(WEEKDAY(rFecha,2)=6)*IF(conHora,HOUR(rFecha)=2,MONTH(rFecha)=3)*IF(cMed&gt;0,IF(ISNUMBER(rMed),rMed,0),1),0)))</f>
        <v>0</v>
      </c>
      <c r="BJ5">
        <f t="array" ref="BJ5">IF(OR(cFecha=0,AND(NOT(conHora),3&gt;12)),"",SUMPRODUCT(IFERROR(ISNUMBER(rFecha)*(WEEKDAY(rFecha,2)=7)*IF(conHora,HOUR(rFecha)=2,MONTH(rFecha)=3)*IF(cMed&gt;0,IF(ISNUMBER(rMed),rMed,0),1),0)))</f>
        <v>0</v>
      </c>
      <c r="BL5" t="inlineStr">
        <is>
          <t>Atlántico</t>
        </is>
      </c>
      <c r="BM5" t="inlineStr">
        <is>
          <t>Atl?ntico</t>
        </is>
      </c>
      <c r="BN5">
        <f>IF(cDepto=0,"",IF(cMed&gt;0,SUMIFS(rMed,rDepto,BM5),COUNTIFS(rDepto,BM5)))</f>
        <v>174627110</v>
      </c>
      <c r="BO5">
        <f>IF(BN5="","",COUNTIF(BN$3:BN$35,"&gt;"&amp;BN5)+COUNTIF(BN$3:BN5,BN5))</f>
        <v>4</v>
      </c>
      <c r="BP5" t="str">
        <f>IFERROR(INDEX(BL$3:BL$35,MATCH(3,BO$3:BO$35,0)),"")</f>
        <v>Valle del Cauca</v>
      </c>
      <c r="BQ5">
        <f>IFERROR(INDEX(BN$3:BN$35,MATCH(3,BO$3:BO$35,0)),"")</f>
        <v>260852225</v>
      </c>
      <c r="BS5" t="str">
        <f>IF(cEtapa=0,"",X5)</f>
        <v>3. Pago</v>
      </c>
      <c r="BT5">
        <f>IF(BU5="","",(MAX(BU$3:BU$8)-BU5)/2)</f>
        <v>375</v>
      </c>
      <c r="BU5">
        <f>IF(BS5="","",Y5)</f>
        <v>372</v>
      </c>
      <c r="BV5" s="94">
        <f>IF(BU5="","",BU5/BU$3)</f>
        <v>0.331550802139037</v>
      </c>
      <c r="BX5">
        <f>IF(OR(cMed=0,cMed2=0,3&gt;nFilas),NA(),IF(AND(ISNUMBER(INDEX(rMed2,3)),ISNUMBER(INDEX(rMed,3))),INDEX(rMed2,3),NA()))</f>
        <v>2</v>
      </c>
      <c r="BY5">
        <f>IF(OR(cMed=0,cMed2=0,3&gt;nFilas),NA(),IF(AND(ISNUMBER(INDEX(rMed2,3)),ISNUMBER(INDEX(rMed,3))),INDEX(rMed,3),NA()))</f>
        <v>314000</v>
      </c>
      <c r="CA5" t="inlineStr">
        <is>
          <t>Filas actual</t>
        </is>
      </c>
      <c r="CB5">
        <f>IF(cFecha=0,0,COUNTIFS(rFecha,"&gt;="&amp;mIni,rFecha,"&lt;"&amp;DATE(YEAR(mIni),MONTH(mIni)+1,1)))</f>
        <v>100</v>
      </c>
    </row>
    <row r="6">
      <c r="A6" t="n">
        <v>4</v>
      </c>
      <c r="B6" t="str">
        <f t="array" ref="B6">IF(cCat1=0,"",IFERROR(INDEX(rCat1,MATCH(0,COUNTIF(B$2:B5,rCat1&amp;"")+(rCat1&amp;""=""),0))&amp;"",""))</f>
        <v>Pasto</v>
      </c>
      <c r="C6" s="93">
        <f>IF(B6="","",IF(cMed&gt;0,SUMIFS(rMed,rCat1,B6),COUNTIFS(rCat1,B6)))</f>
        <v>68536175</v>
      </c>
      <c r="D6">
        <f>IF(B6="","",COUNTIF(C$3:C$42,"&gt;"&amp;C6)+COUNTIF(C$3:C6,C6))</f>
        <v>9</v>
      </c>
      <c r="E6" t="n">
        <v>4</v>
      </c>
      <c r="F6" t="str">
        <f>IFERROR(INDEX(B$3:B$42,MATCH(E6,D$3:D$42,0)),"")</f>
        <v>Barranquilla</v>
      </c>
      <c r="G6" s="93">
        <f>IFERROR(INDEX(C$3:C$42,MATCH(E6,D$3:D$42,0)),"")</f>
        <v>174627110</v>
      </c>
      <c r="H6" s="94">
        <f>IF(G6="","",IFERROR(G6/total,""))</f>
        <v>0.0870353933642237</v>
      </c>
      <c r="J6" t="n">
        <v>4</v>
      </c>
      <c r="K6" t="str">
        <f t="array" ref="K6">IF(cCat2=0,"",IFERROR(INDEX(rCat2,MATCH(0,COUNTIF(K$2:K5,rCat2&amp;"")+(rCat2&amp;""=""),0))&amp;"",""))</f>
        <v>Tecnología</v>
      </c>
      <c r="L6" s="93">
        <f>IF(K6="","",IF(cMed&gt;0,SUMIFS(rMed,rCat2,K6),COUNTIFS(rCat2,K6)))</f>
        <v>1154656965</v>
      </c>
      <c r="M6">
        <f>IF(K6="","",COUNTIF(L$3:L$42,"&gt;"&amp;L6)+COUNTIF(L$3:L6,L6))</f>
        <v>1</v>
      </c>
      <c r="N6" t="n">
        <v>4</v>
      </c>
      <c r="O6" t="str">
        <f>IFERROR(INDEX(K$3:K$42,MATCH(N6,M$3:M$42,0)),"")</f>
        <v>Moda</v>
      </c>
      <c r="P6" s="93">
        <f>IFERROR(INDEX(L$3:L$42,MATCH(N6,M$3:M$42,0)),"")</f>
        <v>162129205</v>
      </c>
      <c r="Q6" s="94">
        <f>IF(P6="","",IFERROR(P6/total,""))</f>
        <v>0.0808063486419941</v>
      </c>
      <c r="S6" t="n">
        <v>4</v>
      </c>
      <c r="T6" t="str">
        <f t="array" ref="T6">IF(cEtapa=0,"",IFERROR(INDEX(rEtapa,MATCH(0,COUNTIF(T$2:T5,rEtapa&amp;"")+(rEtapa&amp;""=""),0))&amp;"",""))</f>
        <v>2. Carrito</v>
      </c>
      <c r="U6" s="93">
        <f>IF(T6="","",COUNTIFS(rEtapa,T6))</f>
        <v>641</v>
      </c>
      <c r="V6">
        <f>IF(T6="","",COUNTIF(U$3:U$17,"&gt;"&amp;U6)+COUNTIF(U$3:U6,U6))</f>
        <v>2</v>
      </c>
      <c r="W6" t="n">
        <v>4</v>
      </c>
      <c r="X6" t="str">
        <f>IFERROR(INDEX(T$3:T$17,MATCH(W6,V$3:V$17,0)),"")</f>
        <v>4. Compra</v>
      </c>
      <c r="Y6" s="93">
        <f>IFERROR(INDEX(U$3:U$17,MATCH(W6,V$3:V$17,0)),"")</f>
        <v>265</v>
      </c>
      <c r="Z6" s="94">
        <f>IF(Y6="","",IFERROR(Y6/SUM(U$3:U$17),""))</f>
        <v>0.110416666666667</v>
      </c>
      <c r="AB6" s="92">
        <f>IF(cFecha=0,"",IF(CHOOSE(gIdx,tBase+3,tBase+21,DATE(YEAR(tBase),MONTH(tBase)+3,1),DATE(YEAR(tBase),MONTH(tBase)+9,1),DATE(YEAR(tBase)+3,1,1))&gt;fMax,"",CHOOSE(gIdx,tBase+3,tBase+21,DATE(YEAR(tBase),MONTH(tBase)+3,1),DATE(YEAR(tBase),MONTH(tBase)+9,1),DATE(YEAR(tBase)+3,1,1))))</f>
        <v>45474.0</v>
      </c>
      <c r="AC6" s="92">
        <f>IF(AB6="","",CHOOSE(gIdx,AB6+1,AB6+7,DATE(YEAR(AB6),MONTH(AB6)+1,1),DATE(YEAR(AB6),MONTH(AB6)+3,1),DATE(YEAR(AB6)+1,1,1)))</f>
        <v>45505.0</v>
      </c>
      <c r="AD6" t="str">
        <f>IF(AB6="","",CHOOSE(MONTH(AB6),"Ene","Feb","Mar","Abr","May","Jun","Jul","Ago","Sep","Oct","Nov","Dic")&amp;" "&amp;RIGHT(YEAR(AB6),2))</f>
        <v>Jul 24</v>
      </c>
      <c r="AE6">
        <f>IF(AB6="",NA(),IF(cMed&gt;0,SUMIFS(rMed,rFecha,"&gt;="&amp;AB6,rFecha,"&lt;"&amp;AC6),COUNTIFS(rFecha,"&gt;="&amp;AB6,rFecha,"&lt;"&amp;AC6)))</f>
        <v>120310800</v>
      </c>
      <c r="AF6">
        <f>IF(AB6="",NA(),AB6)</f>
        <v>45474.0</v>
      </c>
      <c r="AG6" t="str">
        <f>IF(dona2,O6,F6)</f>
        <v>Moda</v>
      </c>
      <c r="AH6">
        <f>IF(AG6="","",IF(dona2,P6,G6))</f>
        <v>162129205</v>
      </c>
      <c r="AJ6">
        <f>IF(cFecha=0,"",DATE(YEAR(fMax),MONTH(fMax)-12+4,1))</f>
        <v>45658.0</v>
      </c>
      <c r="AK6">
        <f>IF(AJ6="","",DATE(YEAR(AJ6),MONTH(AJ6)+1,1))</f>
        <v>45689.0</v>
      </c>
      <c r="AL6" t="str">
        <f>IF(AJ6="","",CHOOSE(MONTH(AJ6),"Ene","Feb","Mar","Abr","May","Jun","Jul","Ago","Sep","Oct","Nov","Dic")&amp;" "&amp;RIGHT(YEAR(AJ6),2))</f>
        <v>Ene 25</v>
      </c>
      <c r="AM6">
        <f>IF(OR($AJ6="",AM$2=""),0,IF(cCat2&gt;0,IF(cMed&gt;0,SUMIFS(rMed,rFecha,"&gt;="&amp;$AJ6,rFecha,"&lt;"&amp;$AK6,rCat2,AM$2),COUNTIFS(rFecha,"&gt;="&amp;$AJ6,rFecha,"&lt;"&amp;$AK6,rCat2,AM$2)),IF(cMed&gt;0,SUMIFS(rMed,rFecha,"&gt;="&amp;$AJ6,rFecha,"&lt;"&amp;$AK6,rCat1,AM$2),COUNTIFS(rFecha,"&gt;="&amp;$AJ6,rFecha,"&lt;"&amp;$AK6,rCat1,AM$2))))</f>
        <v>59269450</v>
      </c>
      <c r="AN6">
        <f>IF(OR($AJ6="",AN$2=""),0,IF(cCat2&gt;0,IF(cMed&gt;0,SUMIFS(rMed,rFecha,"&gt;="&amp;$AJ6,rFecha,"&lt;"&amp;$AK6,rCat2,AN$2),COUNTIFS(rFecha,"&gt;="&amp;$AJ6,rFecha,"&lt;"&amp;$AK6,rCat2,AN$2)),IF(cMed&gt;0,SUMIFS(rMed,rFecha,"&gt;="&amp;$AJ6,rFecha,"&lt;"&amp;$AK6,rCat1,AN$2),COUNTIFS(rFecha,"&gt;="&amp;$AJ6,rFecha,"&lt;"&amp;$AK6,rCat1,AN$2))))</f>
        <v>9405175</v>
      </c>
      <c r="AO6">
        <f>IF(OR($AJ6="",AO$2=""),0,IF(cCat2&gt;0,IF(cMed&gt;0,SUMIFS(rMed,rFecha,"&gt;="&amp;$AJ6,rFecha,"&lt;"&amp;$AK6,rCat2,AO$2),COUNTIFS(rFecha,"&gt;="&amp;$AJ6,rFecha,"&lt;"&amp;$AK6,rCat2,AO$2)),IF(cMed&gt;0,SUMIFS(rMed,rFecha,"&gt;="&amp;$AJ6,rFecha,"&lt;"&amp;$AK6,rCat1,AO$2),COUNTIFS(rFecha,"&gt;="&amp;$AJ6,rFecha,"&lt;"&amp;$AK6,rCat1,AO$2))))</f>
        <v>11698235</v>
      </c>
      <c r="AP6">
        <f>IF(OR($AJ6="",AP$2=""),0,IF(cCat2&gt;0,IF(cMed&gt;0,SUMIFS(rMed,rFecha,"&gt;="&amp;$AJ6,rFecha,"&lt;"&amp;$AK6,rCat2,AP$2),COUNTIFS(rFecha,"&gt;="&amp;$AJ6,rFecha,"&lt;"&amp;$AK6,rCat2,AP$2)),IF(cMed&gt;0,SUMIFS(rMed,rFecha,"&gt;="&amp;$AJ6,rFecha,"&lt;"&amp;$AK6,rCat1,AP$2),COUNTIFS(rFecha,"&gt;="&amp;$AJ6,rFecha,"&lt;"&amp;$AK6,rCat1,AP$2))))</f>
        <v>8813415</v>
      </c>
      <c r="AQ6">
        <f>MAX(0,AR6-SUM(AM6:AP6))</f>
        <v>15124540</v>
      </c>
      <c r="AR6">
        <f>IF(AJ6="",0,IF(cMed&gt;0,SUMIFS(rMed,rFecha,"&gt;="&amp;$AJ6,rFecha,"&lt;"&amp;$AK6),COUNTIFS(rFecha,"&gt;="&amp;$AJ6,rFecha,"&lt;"&amp;$AK6)))</f>
        <v>104310815</v>
      </c>
      <c r="AT6" t="str">
        <f>F6</f>
        <v>Barranquilla</v>
      </c>
      <c r="AU6">
        <f>IF(OR($AT6="",AU$1=""),"",IF(cMed&gt;0,SUMIFS(rMed,rCat1,$AT6,rFecha,"&gt;="&amp;AU$1,rFecha,"&lt;"&amp;DATE(YEAR(AU$1),MONTH(AU$1)+1,1)),COUNTIFS(rCat1,$AT6,rFecha,"&gt;="&amp;AU$1,rFecha,"&lt;"&amp;DATE(YEAR(AU$1),MONTH(AU$1)+1,1))))</f>
        <v>10780135</v>
      </c>
      <c r="AV6">
        <f>IF(OR($AT6="",AV$1=""),"",IF(cMed&gt;0,SUMIFS(rMed,rCat1,$AT6,rFecha,"&gt;="&amp;AV$1,rFecha,"&lt;"&amp;DATE(YEAR(AV$1),MONTH(AV$1)+1,1)),COUNTIFS(rCat1,$AT6,rFecha,"&gt;="&amp;AV$1,rFecha,"&lt;"&amp;DATE(YEAR(AV$1),MONTH(AV$1)+1,1))))</f>
        <v>3684460</v>
      </c>
      <c r="AW6">
        <f>IF(OR($AT6="",AW$1=""),"",IF(cMed&gt;0,SUMIFS(rMed,rCat1,$AT6,rFecha,"&gt;="&amp;AW$1,rFecha,"&lt;"&amp;DATE(YEAR(AW$1),MONTH(AW$1)+1,1)),COUNTIFS(rCat1,$AT6,rFecha,"&gt;="&amp;AW$1,rFecha,"&lt;"&amp;DATE(YEAR(AW$1),MONTH(AW$1)+1,1))))</f>
        <v>20292940</v>
      </c>
      <c r="AX6">
        <f>IF(OR($AT6="",AX$1=""),"",IF(cMed&gt;0,SUMIFS(rMed,rCat1,$AT6,rFecha,"&gt;="&amp;AX$1,rFecha,"&lt;"&amp;DATE(YEAR(AX$1),MONTH(AX$1)+1,1)),COUNTIFS(rCat1,$AT6,rFecha,"&gt;="&amp;AX$1,rFecha,"&lt;"&amp;DATE(YEAR(AX$1),MONTH(AX$1)+1,1))))</f>
        <v>12220070</v>
      </c>
      <c r="AY6">
        <f>IF(OR($AT6="",AY$1=""),"",IF(cMed&gt;0,SUMIFS(rMed,rCat1,$AT6,rFecha,"&gt;="&amp;AY$1,rFecha,"&lt;"&amp;DATE(YEAR(AY$1),MONTH(AY$1)+1,1)),COUNTIFS(rCat1,$AT6,rFecha,"&gt;="&amp;AY$1,rFecha,"&lt;"&amp;DATE(YEAR(AY$1),MONTH(AY$1)+1,1))))</f>
        <v>4140075</v>
      </c>
      <c r="AZ6">
        <f>IF(OR($AT6="",AZ$1=""),"",IF(cMed&gt;0,SUMIFS(rMed,rCat1,$AT6,rFecha,"&gt;="&amp;AZ$1,rFecha,"&lt;"&amp;DATE(YEAR(AZ$1),MONTH(AZ$1)+1,1)),COUNTIFS(rCat1,$AT6,rFecha,"&gt;="&amp;AZ$1,rFecha,"&lt;"&amp;DATE(YEAR(AZ$1),MONTH(AZ$1)+1,1))))</f>
        <v>10155800</v>
      </c>
      <c r="BA6">
        <f>IF(AT6="","",SUM(AU6:AZ6))</f>
        <v>61273480</v>
      </c>
      <c r="BC6" t="str">
        <f>IF(conHora,RIGHT("0"&amp;3,2)&amp;":00",IF(4&lt;=12,CHOOSE(4,"Ene","Feb","Mar","Abr","May","Jun","Jul","Ago","Sep","Oct","Nov","Dic"),""))</f>
        <v>03:00</v>
      </c>
      <c r="BD6">
        <f t="array" ref="BD6">IF(OR(cFecha=0,AND(NOT(conHora),4&gt;12)),"",SUMPRODUCT(IFERROR(ISNUMBER(rFecha)*(WEEKDAY(rFecha,2)=1)*IF(conHora,HOUR(rFecha)=3,MONTH(rFecha)=4)*IF(cMed&gt;0,IF(ISNUMBER(rMed),rMed,0),1),0)))</f>
        <v>600400</v>
      </c>
      <c r="BE6">
        <f t="array" ref="BE6">IF(OR(cFecha=0,AND(NOT(conHora),4&gt;12)),"",SUMPRODUCT(IFERROR(ISNUMBER(rFecha)*(WEEKDAY(rFecha,2)=2)*IF(conHora,HOUR(rFecha)=3,MONTH(rFecha)=4)*IF(cMed&gt;0,IF(ISNUMBER(rMed),rMed,0),1),0)))</f>
        <v>0</v>
      </c>
      <c r="BF6">
        <f t="array" ref="BF6">IF(OR(cFecha=0,AND(NOT(conHora),4&gt;12)),"",SUMPRODUCT(IFERROR(ISNUMBER(rFecha)*(WEEKDAY(rFecha,2)=3)*IF(conHora,HOUR(rFecha)=3,MONTH(rFecha)=4)*IF(cMed&gt;0,IF(ISNUMBER(rMed),rMed,0),1),0)))</f>
        <v>233900</v>
      </c>
      <c r="BG6">
        <f t="array" ref="BG6">IF(OR(cFecha=0,AND(NOT(conHora),4&gt;12)),"",SUMPRODUCT(IFERROR(ISNUMBER(rFecha)*(WEEKDAY(rFecha,2)=4)*IF(conHora,HOUR(rFecha)=3,MONTH(rFecha)=4)*IF(cMed&gt;0,IF(ISNUMBER(rMed),rMed,0),1),0)))</f>
        <v>0</v>
      </c>
      <c r="BH6">
        <f t="array" ref="BH6">IF(OR(cFecha=0,AND(NOT(conHora),4&gt;12)),"",SUMPRODUCT(IFERROR(ISNUMBER(rFecha)*(WEEKDAY(rFecha,2)=5)*IF(conHora,HOUR(rFecha)=3,MONTH(rFecha)=4)*IF(cMed&gt;0,IF(ISNUMBER(rMed),rMed,0),1),0)))</f>
        <v>3934265</v>
      </c>
      <c r="BI6">
        <f t="array" ref="BI6">IF(OR(cFecha=0,AND(NOT(conHora),4&gt;12)),"",SUMPRODUCT(IFERROR(ISNUMBER(rFecha)*(WEEKDAY(rFecha,2)=6)*IF(conHora,HOUR(rFecha)=3,MONTH(rFecha)=4)*IF(cMed&gt;0,IF(ISNUMBER(rMed),rMed,0),1),0)))</f>
        <v>0</v>
      </c>
      <c r="BJ6">
        <f t="array" ref="BJ6">IF(OR(cFecha=0,AND(NOT(conHora),4&gt;12)),"",SUMPRODUCT(IFERROR(ISNUMBER(rFecha)*(WEEKDAY(rFecha,2)=7)*IF(conHora,HOUR(rFecha)=3,MONTH(rFecha)=4)*IF(cMed&gt;0,IF(ISNUMBER(rMed),rMed,0),1),0)))</f>
        <v>0</v>
      </c>
      <c r="BL6" t="inlineStr">
        <is>
          <t>Magdalena</t>
        </is>
      </c>
      <c r="BM6" t="inlineStr">
        <is>
          <t>Magdalena</t>
        </is>
      </c>
      <c r="BN6">
        <f>IF(cDepto=0,"",IF(cMed&gt;0,SUMIFS(rMed,rDepto,BM6),COUNTIFS(rDepto,BM6)))</f>
        <v>0</v>
      </c>
      <c r="BO6">
        <f>IF(BN6="","",COUNTIF(BN$3:BN$35,"&gt;"&amp;BN6)+COUNTIF(BN$3:BN6,BN6))</f>
        <v>13</v>
      </c>
      <c r="BP6" t="str">
        <f>IFERROR(INDEX(BL$3:BL$35,MATCH(4,BO$3:BO$35,0)),"")</f>
        <v>Atlántico</v>
      </c>
      <c r="BQ6">
        <f>IFERROR(INDEX(BN$3:BN$35,MATCH(4,BO$3:BO$35,0)),"")</f>
        <v>174627110</v>
      </c>
      <c r="BS6" t="str">
        <f>IF(cEtapa=0,"",X6)</f>
        <v>4. Compra</v>
      </c>
      <c r="BT6">
        <f>IF(BU6="","",(MAX(BU$3:BU$8)-BU6)/2)</f>
        <v>428.5</v>
      </c>
      <c r="BU6">
        <f>IF(BS6="","",Y6)</f>
        <v>265</v>
      </c>
      <c r="BV6" s="94">
        <f>IF(BU6="","",BU6/BU$3)</f>
        <v>0.236185383244207</v>
      </c>
      <c r="BX6">
        <f>IF(OR(cMed=0,cMed2=0,4&gt;nFilas),NA(),IF(AND(ISNUMBER(INDEX(rMed2,4)),ISNUMBER(INDEX(rMed,4))),INDEX(rMed2,4),NA()))</f>
        <v>2</v>
      </c>
      <c r="BY6">
        <f>IF(OR(cMed=0,cMed2=0,4&gt;nFilas),NA(),IF(AND(ISNUMBER(INDEX(rMed2,4)),ISNUMBER(INDEX(rMed,4))),INDEX(rMed,4),NA()))</f>
        <v>1438400</v>
      </c>
      <c r="CA6" t="inlineStr">
        <is>
          <t>Filas anterior</t>
        </is>
      </c>
      <c r="CB6">
        <f>IF(cFecha=0,0,COUNTIFS(rFecha,"&gt;="&amp;DATE(YEAR(mIni),MONTH(mIni)-1,1),rFecha,"&lt;"&amp;mIni))</f>
        <v>122</v>
      </c>
    </row>
    <row r="7">
      <c r="A7" t="n">
        <v>5</v>
      </c>
      <c r="B7" t="str">
        <f t="array" ref="B7">IF(cCat1=0,"",IFERROR(INDEX(rCat1,MATCH(0,COUNTIF(B$2:B6,rCat1&amp;"")+(rCat1&amp;""=""),0))&amp;"",""))</f>
        <v>Cartagena</v>
      </c>
      <c r="C7" s="93">
        <f>IF(B7="","",IF(cMed&gt;0,SUMIFS(rMed,rCat1,B7),COUNTIFS(rCat1,B7)))</f>
        <v>128977510</v>
      </c>
      <c r="D7">
        <f>IF(B7="","",COUNTIF(C$3:C$42,"&gt;"&amp;C7)+COUNTIF(C$3:C7,C7))</f>
        <v>7</v>
      </c>
      <c r="E7" t="n">
        <v>5</v>
      </c>
      <c r="F7" t="str">
        <f>IFERROR(INDEX(B$3:B$42,MATCH(E7,D$3:D$42,0)),"")</f>
        <v>Bucaramanga</v>
      </c>
      <c r="G7" s="93">
        <f>IFERROR(INDEX(C$3:C$42,MATCH(E7,D$3:D$42,0)),"")</f>
        <v>140976355</v>
      </c>
      <c r="H7" s="94">
        <f>IF(G7="","",IFERROR(G7/total,""))</f>
        <v>0.070263617788094</v>
      </c>
      <c r="J7" t="n">
        <v>5</v>
      </c>
      <c r="K7" t="str">
        <f t="array" ref="K7">IF(cCat2=0,"",IFERROR(INDEX(rCat2,MATCH(0,COUNTIF(K$2:K6,rCat2&amp;"")+(rCat2&amp;""=""),0))&amp;"",""))</f>
        <v>Belleza</v>
      </c>
      <c r="L7" s="93">
        <f>IF(K7="","",IF(cMed&gt;0,SUMIFS(rMed,rCat2,K7),COUNTIFS(rCat2,K7)))</f>
        <v>86424635</v>
      </c>
      <c r="M7">
        <f>IF(K7="","",COUNTIF(L$3:L$42,"&gt;"&amp;L7)+COUNTIF(L$3:L7,L7))</f>
        <v>6</v>
      </c>
      <c r="N7" t="n">
        <v>5</v>
      </c>
      <c r="O7" t="str">
        <f>IFERROR(INDEX(K$3:K$42,MATCH(N7,M$3:M$42,0)),"")</f>
        <v>Juguetes</v>
      </c>
      <c r="P7" s="93">
        <f>IFERROR(INDEX(L$3:L$42,MATCH(N7,M$3:M$42,0)),"")</f>
        <v>122933825</v>
      </c>
      <c r="Q7" s="94">
        <f>IF(P7="","",IFERROR(P7/total,""))</f>
        <v>0.0612710925390888</v>
      </c>
      <c r="S7" t="n">
        <v>5</v>
      </c>
      <c r="T7" t="str">
        <f t="array" ref="T7">IF(cEtapa=0,"",IFERROR(INDEX(rEtapa,MATCH(0,COUNTIF(T$2:T6,rEtapa&amp;"")+(rEtapa&amp;""=""),0))&amp;"",""))</f>
        <v/>
      </c>
      <c r="U7" s="93" t="str">
        <f>IF(T7="","",COUNTIFS(rEtapa,T7))</f>
        <v/>
      </c>
      <c r="V7" t="str">
        <f>IF(T7="","",COUNTIF(U$3:U$17,"&gt;"&amp;U7)+COUNTIF(U$3:U7,U7))</f>
        <v/>
      </c>
      <c r="W7" t="n">
        <v>5</v>
      </c>
      <c r="X7" t="str">
        <f>IFERROR(INDEX(T$3:T$17,MATCH(W7,V$3:V$17,0)),"")</f>
        <v/>
      </c>
      <c r="Y7" s="93" t="str">
        <f>IFERROR(INDEX(U$3:U$17,MATCH(W7,V$3:V$17,0)),"")</f>
        <v/>
      </c>
      <c r="Z7" s="94" t="str">
        <f>IF(Y7="","",IFERROR(Y7/SUM(U$3:U$17),""))</f>
        <v/>
      </c>
      <c r="AB7" s="92">
        <f>IF(cFecha=0,"",IF(CHOOSE(gIdx,tBase+4,tBase+28,DATE(YEAR(tBase),MONTH(tBase)+4,1),DATE(YEAR(tBase),MONTH(tBase)+12,1),DATE(YEAR(tBase)+4,1,1))&gt;fMax,"",CHOOSE(gIdx,tBase+4,tBase+28,DATE(YEAR(tBase),MONTH(tBase)+4,1),DATE(YEAR(tBase),MONTH(tBase)+12,1),DATE(YEAR(tBase)+4,1,1))))</f>
        <v>45505.0</v>
      </c>
      <c r="AC7" s="92">
        <f>IF(AB7="","",CHOOSE(gIdx,AB7+1,AB7+7,DATE(YEAR(AB7),MONTH(AB7)+1,1),DATE(YEAR(AB7),MONTH(AB7)+3,1),DATE(YEAR(AB7)+1,1,1)))</f>
        <v>45536.0</v>
      </c>
      <c r="AD7" t="str">
        <f>IF(AB7="","",CHOOSE(MONTH(AB7),"Ene","Feb","Mar","Abr","May","Jun","Jul","Ago","Sep","Oct","Nov","Dic")&amp;" "&amp;RIGHT(YEAR(AB7),2))</f>
        <v>Ago 24</v>
      </c>
      <c r="AE7">
        <f>IF(AB7="",NA(),IF(cMed&gt;0,SUMIFS(rMed,rFecha,"&gt;="&amp;AB7,rFecha,"&lt;"&amp;AC7),COUNTIFS(rFecha,"&gt;="&amp;AB7,rFecha,"&lt;"&amp;AC7)))</f>
        <v>123430940</v>
      </c>
      <c r="AF7">
        <f>IF(AB7="",NA(),AB7)</f>
        <v>45505.0</v>
      </c>
      <c r="AG7" t="str">
        <f>IF(dona2,O7,F7)</f>
        <v>Juguetes</v>
      </c>
      <c r="AH7">
        <f>IF(AG7="","",IF(dona2,P7,G7))</f>
        <v>122933825</v>
      </c>
      <c r="AJ7">
        <f>IF(cFecha=0,"",DATE(YEAR(fMax),MONTH(fMax)-12+5,1))</f>
        <v>45689.0</v>
      </c>
      <c r="AK7">
        <f>IF(AJ7="","",DATE(YEAR(AJ7),MONTH(AJ7)+1,1))</f>
        <v>45717.0</v>
      </c>
      <c r="AL7" t="str">
        <f>IF(AJ7="","",CHOOSE(MONTH(AJ7),"Ene","Feb","Mar","Abr","May","Jun","Jul","Ago","Sep","Oct","Nov","Dic")&amp;" "&amp;RIGHT(YEAR(AJ7),2))</f>
        <v>Feb 25</v>
      </c>
      <c r="AM7">
        <f>IF(OR($AJ7="",AM$2=""),0,IF(cCat2&gt;0,IF(cMed&gt;0,SUMIFS(rMed,rFecha,"&gt;="&amp;$AJ7,rFecha,"&lt;"&amp;$AK7,rCat2,AM$2),COUNTIFS(rFecha,"&gt;="&amp;$AJ7,rFecha,"&lt;"&amp;$AK7,rCat2,AM$2)),IF(cMed&gt;0,SUMIFS(rMed,rFecha,"&gt;="&amp;$AJ7,rFecha,"&lt;"&amp;$AK7,rCat1,AM$2),COUNTIFS(rFecha,"&gt;="&amp;$AJ7,rFecha,"&lt;"&amp;$AK7,rCat1,AM$2))))</f>
        <v>52692850</v>
      </c>
      <c r="AN7">
        <f>IF(OR($AJ7="",AN$2=""),0,IF(cCat2&gt;0,IF(cMed&gt;0,SUMIFS(rMed,rFecha,"&gt;="&amp;$AJ7,rFecha,"&lt;"&amp;$AK7,rCat2,AN$2),COUNTIFS(rFecha,"&gt;="&amp;$AJ7,rFecha,"&lt;"&amp;$AK7,rCat2,AN$2)),IF(cMed&gt;0,SUMIFS(rMed,rFecha,"&gt;="&amp;$AJ7,rFecha,"&lt;"&amp;$AK7,rCat1,AN$2),COUNTIFS(rFecha,"&gt;="&amp;$AJ7,rFecha,"&lt;"&amp;$AK7,rCat1,AN$2))))</f>
        <v>9949290</v>
      </c>
      <c r="AO7">
        <f>IF(OR($AJ7="",AO$2=""),0,IF(cCat2&gt;0,IF(cMed&gt;0,SUMIFS(rMed,rFecha,"&gt;="&amp;$AJ7,rFecha,"&lt;"&amp;$AK7,rCat2,AO$2),COUNTIFS(rFecha,"&gt;="&amp;$AJ7,rFecha,"&lt;"&amp;$AK7,rCat2,AO$2)),IF(cMed&gt;0,SUMIFS(rMed,rFecha,"&gt;="&amp;$AJ7,rFecha,"&lt;"&amp;$AK7,rCat1,AO$2),COUNTIFS(rFecha,"&gt;="&amp;$AJ7,rFecha,"&lt;"&amp;$AK7,rCat1,AO$2))))</f>
        <v>12028595</v>
      </c>
      <c r="AP7">
        <f>IF(OR($AJ7="",AP$2=""),0,IF(cCat2&gt;0,IF(cMed&gt;0,SUMIFS(rMed,rFecha,"&gt;="&amp;$AJ7,rFecha,"&lt;"&amp;$AK7,rCat2,AP$2),COUNTIFS(rFecha,"&gt;="&amp;$AJ7,rFecha,"&lt;"&amp;$AK7,rCat2,AP$2)),IF(cMed&gt;0,SUMIFS(rMed,rFecha,"&gt;="&amp;$AJ7,rFecha,"&lt;"&amp;$AK7,rCat1,AP$2),COUNTIFS(rFecha,"&gt;="&amp;$AJ7,rFecha,"&lt;"&amp;$AK7,rCat1,AP$2))))</f>
        <v>8858500</v>
      </c>
      <c r="AQ7">
        <f>MAX(0,AR7-SUM(AM7:AP7))</f>
        <v>10660535</v>
      </c>
      <c r="AR7">
        <f>IF(AJ7="",0,IF(cMed&gt;0,SUMIFS(rMed,rFecha,"&gt;="&amp;$AJ7,rFecha,"&lt;"&amp;$AK7),COUNTIFS(rFecha,"&gt;="&amp;$AJ7,rFecha,"&lt;"&amp;$AK7)))</f>
        <v>94189770</v>
      </c>
      <c r="AT7" t="str">
        <f>F7</f>
        <v>Bucaramanga</v>
      </c>
      <c r="AU7">
        <f>IF(OR($AT7="",AU$1=""),"",IF(cMed&gt;0,SUMIFS(rMed,rCat1,$AT7,rFecha,"&gt;="&amp;AU$1,rFecha,"&lt;"&amp;DATE(YEAR(AU$1),MONTH(AU$1)+1,1)),COUNTIFS(rCat1,$AT7,rFecha,"&gt;="&amp;AU$1,rFecha,"&lt;"&amp;DATE(YEAR(AU$1),MONTH(AU$1)+1,1))))</f>
        <v>2680175</v>
      </c>
      <c r="AV7">
        <f>IF(OR($AT7="",AV$1=""),"",IF(cMed&gt;0,SUMIFS(rMed,rCat1,$AT7,rFecha,"&gt;="&amp;AV$1,rFecha,"&lt;"&amp;DATE(YEAR(AV$1),MONTH(AV$1)+1,1)),COUNTIFS(rCat1,$AT7,rFecha,"&gt;="&amp;AV$1,rFecha,"&lt;"&amp;DATE(YEAR(AV$1),MONTH(AV$1)+1,1))))</f>
        <v>6900755</v>
      </c>
      <c r="AW7">
        <f>IF(OR($AT7="",AW$1=""),"",IF(cMed&gt;0,SUMIFS(rMed,rCat1,$AT7,rFecha,"&gt;="&amp;AW$1,rFecha,"&lt;"&amp;DATE(YEAR(AW$1),MONTH(AW$1)+1,1)),COUNTIFS(rCat1,$AT7,rFecha,"&gt;="&amp;AW$1,rFecha,"&lt;"&amp;DATE(YEAR(AW$1),MONTH(AW$1)+1,1))))</f>
        <v>6026550</v>
      </c>
      <c r="AX7">
        <f>IF(OR($AT7="",AX$1=""),"",IF(cMed&gt;0,SUMIFS(rMed,rCat1,$AT7,rFecha,"&gt;="&amp;AX$1,rFecha,"&lt;"&amp;DATE(YEAR(AX$1),MONTH(AX$1)+1,1)),COUNTIFS(rCat1,$AT7,rFecha,"&gt;="&amp;AX$1,rFecha,"&lt;"&amp;DATE(YEAR(AX$1),MONTH(AX$1)+1,1))))</f>
        <v>10151115</v>
      </c>
      <c r="AY7">
        <f>IF(OR($AT7="",AY$1=""),"",IF(cMed&gt;0,SUMIFS(rMed,rCat1,$AT7,rFecha,"&gt;="&amp;AY$1,rFecha,"&lt;"&amp;DATE(YEAR(AY$1),MONTH(AY$1)+1,1)),COUNTIFS(rCat1,$AT7,rFecha,"&gt;="&amp;AY$1,rFecha,"&lt;"&amp;DATE(YEAR(AY$1),MONTH(AY$1)+1,1))))</f>
        <v>7189000</v>
      </c>
      <c r="AZ7">
        <f>IF(OR($AT7="",AZ$1=""),"",IF(cMed&gt;0,SUMIFS(rMed,rCat1,$AT7,rFecha,"&gt;="&amp;AZ$1,rFecha,"&lt;"&amp;DATE(YEAR(AZ$1),MONTH(AZ$1)+1,1)),COUNTIFS(rCat1,$AT7,rFecha,"&gt;="&amp;AZ$1,rFecha,"&lt;"&amp;DATE(YEAR(AZ$1),MONTH(AZ$1)+1,1))))</f>
        <v>13641035</v>
      </c>
      <c r="BA7">
        <f>IF(AT7="","",SUM(AU7:AZ7))</f>
        <v>46588630</v>
      </c>
      <c r="BC7" t="str">
        <f>IF(conHora,RIGHT("0"&amp;4,2)&amp;":00",IF(5&lt;=12,CHOOSE(5,"Ene","Feb","Mar","Abr","May","Jun","Jul","Ago","Sep","Oct","Nov","Dic"),""))</f>
        <v>04:00</v>
      </c>
      <c r="BD7">
        <f t="array" ref="BD7">IF(OR(cFecha=0,AND(NOT(conHora),5&gt;12)),"",SUMPRODUCT(IFERROR(ISNUMBER(rFecha)*(WEEKDAY(rFecha,2)=1)*IF(conHora,HOUR(rFecha)=4,MONTH(rFecha)=5)*IF(cMed&gt;0,IF(ISNUMBER(rMed),rMed,0),1),0)))</f>
        <v>0</v>
      </c>
      <c r="BE7">
        <f t="array" ref="BE7">IF(OR(cFecha=0,AND(NOT(conHora),5&gt;12)),"",SUMPRODUCT(IFERROR(ISNUMBER(rFecha)*(WEEKDAY(rFecha,2)=2)*IF(conHora,HOUR(rFecha)=4,MONTH(rFecha)=5)*IF(cMed&gt;0,IF(ISNUMBER(rMed),rMed,0),1),0)))</f>
        <v>0</v>
      </c>
      <c r="BF7">
        <f t="array" ref="BF7">IF(OR(cFecha=0,AND(NOT(conHora),5&gt;12)),"",SUMPRODUCT(IFERROR(ISNUMBER(rFecha)*(WEEKDAY(rFecha,2)=3)*IF(conHora,HOUR(rFecha)=4,MONTH(rFecha)=5)*IF(cMed&gt;0,IF(ISNUMBER(rMed),rMed,0),1),0)))</f>
        <v>5488200</v>
      </c>
      <c r="BG7">
        <f t="array" ref="BG7">IF(OR(cFecha=0,AND(NOT(conHora),5&gt;12)),"",SUMPRODUCT(IFERROR(ISNUMBER(rFecha)*(WEEKDAY(rFecha,2)=4)*IF(conHora,HOUR(rFecha)=4,MONTH(rFecha)=5)*IF(cMed&gt;0,IF(ISNUMBER(rMed),rMed,0),1),0)))</f>
        <v>4529700</v>
      </c>
      <c r="BH7">
        <f t="array" ref="BH7">IF(OR(cFecha=0,AND(NOT(conHora),5&gt;12)),"",SUMPRODUCT(IFERROR(ISNUMBER(rFecha)*(WEEKDAY(rFecha,2)=5)*IF(conHora,HOUR(rFecha)=4,MONTH(rFecha)=5)*IF(cMed&gt;0,IF(ISNUMBER(rMed),rMed,0),1),0)))</f>
        <v>810060</v>
      </c>
      <c r="BI7">
        <f t="array" ref="BI7">IF(OR(cFecha=0,AND(NOT(conHora),5&gt;12)),"",SUMPRODUCT(IFERROR(ISNUMBER(rFecha)*(WEEKDAY(rFecha,2)=6)*IF(conHora,HOUR(rFecha)=4,MONTH(rFecha)=5)*IF(cMed&gt;0,IF(ISNUMBER(rMed),rMed,0),1),0)))</f>
        <v>0</v>
      </c>
      <c r="BJ7">
        <f t="array" ref="BJ7">IF(OR(cFecha=0,AND(NOT(conHora),5&gt;12)),"",SUMPRODUCT(IFERROR(ISNUMBER(rFecha)*(WEEKDAY(rFecha,2)=7)*IF(conHora,HOUR(rFecha)=4,MONTH(rFecha)=5)*IF(cMed&gt;0,IF(ISNUMBER(rMed),rMed,0),1),0)))</f>
        <v>0</v>
      </c>
      <c r="BL7" t="inlineStr">
        <is>
          <t>Cesar</t>
        </is>
      </c>
      <c r="BM7" t="inlineStr">
        <is>
          <t>Cesar</t>
        </is>
      </c>
      <c r="BN7">
        <f>IF(cDepto=0,"",IF(cMed&gt;0,SUMIFS(rMed,rDepto,BM7),COUNTIFS(rDepto,BM7)))</f>
        <v>0</v>
      </c>
      <c r="BO7">
        <f>IF(BN7="","",COUNTIF(BN$3:BN$35,"&gt;"&amp;BN7)+COUNTIF(BN$3:BN7,BN7))</f>
        <v>14</v>
      </c>
      <c r="BP7" t="str">
        <f>IFERROR(INDEX(BL$3:BL$35,MATCH(5,BO$3:BO$35,0)),"")</f>
        <v>Santander</v>
      </c>
      <c r="BQ7">
        <f>IFERROR(INDEX(BN$3:BN$35,MATCH(5,BO$3:BO$35,0)),"")</f>
        <v>140976355</v>
      </c>
      <c r="BS7" t="str">
        <f>IF(cEtapa=0,"",X7)</f>
        <v/>
      </c>
      <c r="BT7" t="str">
        <f>IF(BU7="","",(MAX(BU$3:BU$8)-BU7)/2)</f>
        <v/>
      </c>
      <c r="BU7" t="str">
        <f>IF(BS7="","",Y7)</f>
        <v/>
      </c>
      <c r="BV7" s="94" t="str">
        <f>IF(BU7="","",BU7/BU$3)</f>
        <v/>
      </c>
      <c r="BX7">
        <f>IF(OR(cMed=0,cMed2=0,5&gt;nFilas),NA(),IF(AND(ISNUMBER(INDEX(rMed2,5)),ISNUMBER(INDEX(rMed,5))),INDEX(rMed2,5),NA()))</f>
        <v>1</v>
      </c>
      <c r="BY7">
        <f>IF(OR(cMed=0,cMed2=0,5&gt;nFilas),NA(),IF(AND(ISNUMBER(INDEX(rMed2,5)),ISNUMBER(INDEX(rMed,5))),INDEX(rMed,5),NA()))</f>
        <v>136000</v>
      </c>
      <c r="CA7" t="inlineStr">
        <is>
          <t>Costo actual</t>
        </is>
      </c>
      <c r="CB7">
        <f>IF(OR(cFecha=0,cCosto=0),0,SUMIFS(rCosto,rFecha,"&gt;="&amp;mIni,rFecha,"&lt;"&amp;DATE(YEAR(mIni),MONTH(mIni)+1,1)))</f>
        <v>61712615</v>
      </c>
    </row>
    <row r="8">
      <c r="A8" t="n">
        <v>6</v>
      </c>
      <c r="B8" t="str">
        <f t="array" ref="B8">IF(cCat1=0,"",IFERROR(INDEX(rCat1,MATCH(0,COUNTIF(B$2:B7,rCat1&amp;"")+(rCat1&amp;""=""),0))&amp;"",""))</f>
        <v>Villavicencio</v>
      </c>
      <c r="C8" s="93">
        <f>IF(B8="","",IF(cMed&gt;0,SUMIFS(rMed,rCat1,B8),COUNTIFS(rCat1,B8)))</f>
        <v>83519275</v>
      </c>
      <c r="D8">
        <f>IF(B8="","",COUNTIF(C$3:C$42,"&gt;"&amp;C8)+COUNTIF(C$3:C8,C8))</f>
        <v>8</v>
      </c>
      <c r="E8" t="n">
        <v>6</v>
      </c>
      <c r="F8" t="str">
        <f>IFERROR(INDEX(B$3:B$42,MATCH(E8,D$3:D$42,0)),"")</f>
        <v>Pereira</v>
      </c>
      <c r="G8" s="93">
        <f>IFERROR(INDEX(C$3:C$42,MATCH(E8,D$3:D$42,0)),"")</f>
        <v>135285040</v>
      </c>
      <c r="H8" s="94">
        <f>IF(G8="","",IFERROR(G8/total,""))</f>
        <v>0.0674270259222336</v>
      </c>
      <c r="J8" t="n">
        <v>6</v>
      </c>
      <c r="K8" t="str">
        <f t="array" ref="K8">IF(cCat2=0,"",IFERROR(INDEX(rCat2,MATCH(0,COUNTIF(K$2:K7,rCat2&amp;"")+(rCat2&amp;""=""),0))&amp;"",""))</f>
        <v>Moda</v>
      </c>
      <c r="L8" s="93">
        <f>IF(K8="","",IF(cMed&gt;0,SUMIFS(rMed,rCat2,K8),COUNTIFS(rCat2,K8)))</f>
        <v>162129205</v>
      </c>
      <c r="M8">
        <f>IF(K8="","",COUNTIF(L$3:L$42,"&gt;"&amp;L8)+COUNTIF(L$3:L8,L8))</f>
        <v>4</v>
      </c>
      <c r="N8" t="n">
        <v>6</v>
      </c>
      <c r="O8" t="str">
        <f>IFERROR(INDEX(K$3:K$42,MATCH(N8,M$3:M$42,0)),"")</f>
        <v>Belleza</v>
      </c>
      <c r="P8" s="93">
        <f>IFERROR(INDEX(L$3:L$42,MATCH(N8,M$3:M$42,0)),"")</f>
        <v>86424635</v>
      </c>
      <c r="Q8" s="94">
        <f>IF(P8="","",IFERROR(P8/total,""))</f>
        <v>0.0430746526331705</v>
      </c>
      <c r="S8" t="n">
        <v>6</v>
      </c>
      <c r="T8" t="str">
        <f t="array" ref="T8">IF(cEtapa=0,"",IFERROR(INDEX(rEtapa,MATCH(0,COUNTIF(T$2:T7,rEtapa&amp;"")+(rEtapa&amp;""=""),0))&amp;"",""))</f>
        <v/>
      </c>
      <c r="U8" s="93" t="str">
        <f>IF(T8="","",COUNTIFS(rEtapa,T8))</f>
        <v/>
      </c>
      <c r="V8" t="str">
        <f>IF(T8="","",COUNTIF(U$3:U$17,"&gt;"&amp;U8)+COUNTIF(U$3:U8,U8))</f>
        <v/>
      </c>
      <c r="W8" t="n">
        <v>6</v>
      </c>
      <c r="X8" t="str">
        <f>IFERROR(INDEX(T$3:T$17,MATCH(W8,V$3:V$17,0)),"")</f>
        <v/>
      </c>
      <c r="Y8" s="93" t="str">
        <f>IFERROR(INDEX(U$3:U$17,MATCH(W8,V$3:V$17,0)),"")</f>
        <v/>
      </c>
      <c r="Z8" s="94" t="str">
        <f>IF(Y8="","",IFERROR(Y8/SUM(U$3:U$17),""))</f>
        <v/>
      </c>
      <c r="AB8" s="92">
        <f>IF(cFecha=0,"",IF(CHOOSE(gIdx,tBase+5,tBase+35,DATE(YEAR(tBase),MONTH(tBase)+5,1),DATE(YEAR(tBase),MONTH(tBase)+15,1),DATE(YEAR(tBase)+5,1,1))&gt;fMax,"",CHOOSE(gIdx,tBase+5,tBase+35,DATE(YEAR(tBase),MONTH(tBase)+5,1),DATE(YEAR(tBase),MONTH(tBase)+15,1),DATE(YEAR(tBase)+5,1,1))))</f>
        <v>45536.0</v>
      </c>
      <c r="AC8" s="92">
        <f>IF(AB8="","",CHOOSE(gIdx,AB8+1,AB8+7,DATE(YEAR(AB8),MONTH(AB8)+1,1),DATE(YEAR(AB8),MONTH(AB8)+3,1),DATE(YEAR(AB8)+1,1,1)))</f>
        <v>45566.0</v>
      </c>
      <c r="AD8" t="str">
        <f>IF(AB8="","",CHOOSE(MONTH(AB8),"Ene","Feb","Mar","Abr","May","Jun","Jul","Ago","Sep","Oct","Nov","Dic")&amp;" "&amp;RIGHT(YEAR(AB8),2))</f>
        <v>Sep 24</v>
      </c>
      <c r="AE8">
        <f>IF(AB8="",NA(),IF(cMed&gt;0,SUMIFS(rMed,rFecha,"&gt;="&amp;AB8,rFecha,"&lt;"&amp;AC8),COUNTIFS(rFecha,"&gt;="&amp;AB8,rFecha,"&lt;"&amp;AC8)))</f>
        <v>106749430</v>
      </c>
      <c r="AF8">
        <f>IF(AB8="",NA(),AB8)</f>
        <v>45536.0</v>
      </c>
      <c r="AG8" t="str">
        <f>IF(IF(dona2,n2,n1)&gt;5,"Otros","")</f>
        <v>Otros</v>
      </c>
      <c r="AH8">
        <f>IF(AG8="","",MAX(0,total-SUM(AH3:AH7)))</f>
        <v>86424635</v>
      </c>
      <c r="AJ8">
        <f>IF(cFecha=0,"",DATE(YEAR(fMax),MONTH(fMax)-12+6,1))</f>
        <v>45717.0</v>
      </c>
      <c r="AK8">
        <f>IF(AJ8="","",DATE(YEAR(AJ8),MONTH(AJ8)+1,1))</f>
        <v>45748.0</v>
      </c>
      <c r="AL8" t="str">
        <f>IF(AJ8="","",CHOOSE(MONTH(AJ8),"Ene","Feb","Mar","Abr","May","Jun","Jul","Ago","Sep","Oct","Nov","Dic")&amp;" "&amp;RIGHT(YEAR(AJ8),2))</f>
        <v>Mar 25</v>
      </c>
      <c r="AM8">
        <f>IF(OR($AJ8="",AM$2=""),0,IF(cCat2&gt;0,IF(cMed&gt;0,SUMIFS(rMed,rFecha,"&gt;="&amp;$AJ8,rFecha,"&lt;"&amp;$AK8,rCat2,AM$2),COUNTIFS(rFecha,"&gt;="&amp;$AJ8,rFecha,"&lt;"&amp;$AK8,rCat2,AM$2)),IF(cMed&gt;0,SUMIFS(rMed,rFecha,"&gt;="&amp;$AJ8,rFecha,"&lt;"&amp;$AK8,rCat1,AM$2),COUNTIFS(rFecha,"&gt;="&amp;$AJ8,rFecha,"&lt;"&amp;$AK8,rCat1,AM$2))))</f>
        <v>55484885</v>
      </c>
      <c r="AN8">
        <f>IF(OR($AJ8="",AN$2=""),0,IF(cCat2&gt;0,IF(cMed&gt;0,SUMIFS(rMed,rFecha,"&gt;="&amp;$AJ8,rFecha,"&lt;"&amp;$AK8,rCat2,AN$2),COUNTIFS(rFecha,"&gt;="&amp;$AJ8,rFecha,"&lt;"&amp;$AK8,rCat2,AN$2)),IF(cMed&gt;0,SUMIFS(rMed,rFecha,"&gt;="&amp;$AJ8,rFecha,"&lt;"&amp;$AK8,rCat1,AN$2),COUNTIFS(rFecha,"&gt;="&amp;$AJ8,rFecha,"&lt;"&amp;$AK8,rCat1,AN$2))))</f>
        <v>15092780</v>
      </c>
      <c r="AO8">
        <f>IF(OR($AJ8="",AO$2=""),0,IF(cCat2&gt;0,IF(cMed&gt;0,SUMIFS(rMed,rFecha,"&gt;="&amp;$AJ8,rFecha,"&lt;"&amp;$AK8,rCat2,AO$2),COUNTIFS(rFecha,"&gt;="&amp;$AJ8,rFecha,"&lt;"&amp;$AK8,rCat2,AO$2)),IF(cMed&gt;0,SUMIFS(rMed,rFecha,"&gt;="&amp;$AJ8,rFecha,"&lt;"&amp;$AK8,rCat1,AO$2),COUNTIFS(rFecha,"&gt;="&amp;$AJ8,rFecha,"&lt;"&amp;$AK8,rCat1,AO$2))))</f>
        <v>11749280</v>
      </c>
      <c r="AP8">
        <f>IF(OR($AJ8="",AP$2=""),0,IF(cCat2&gt;0,IF(cMed&gt;0,SUMIFS(rMed,rFecha,"&gt;="&amp;$AJ8,rFecha,"&lt;"&amp;$AK8,rCat2,AP$2),COUNTIFS(rFecha,"&gt;="&amp;$AJ8,rFecha,"&lt;"&amp;$AK8,rCat2,AP$2)),IF(cMed&gt;0,SUMIFS(rMed,rFecha,"&gt;="&amp;$AJ8,rFecha,"&lt;"&amp;$AK8,rCat1,AP$2),COUNTIFS(rFecha,"&gt;="&amp;$AJ8,rFecha,"&lt;"&amp;$AK8,rCat1,AP$2))))</f>
        <v>6730780</v>
      </c>
      <c r="AQ8">
        <f>MAX(0,AR8-SUM(AM8:AP8))</f>
        <v>13043345</v>
      </c>
      <c r="AR8">
        <f>IF(AJ8="",0,IF(cMed&gt;0,SUMIFS(rMed,rFecha,"&gt;="&amp;$AJ8,rFecha,"&lt;"&amp;$AK8),COUNTIFS(rFecha,"&gt;="&amp;$AJ8,rFecha,"&lt;"&amp;$AK8)))</f>
        <v>102101070</v>
      </c>
      <c r="AT8" t="str">
        <f>F8</f>
        <v>Pereira</v>
      </c>
      <c r="AU8">
        <f>IF(OR($AT8="",AU$1=""),"",IF(cMed&gt;0,SUMIFS(rMed,rCat1,$AT8,rFecha,"&gt;="&amp;AU$1,rFecha,"&lt;"&amp;DATE(YEAR(AU$1),MONTH(AU$1)+1,1)),COUNTIFS(rCat1,$AT8,rFecha,"&gt;="&amp;AU$1,rFecha,"&lt;"&amp;DATE(YEAR(AU$1),MONTH(AU$1)+1,1))))</f>
        <v>7650620</v>
      </c>
      <c r="AV8">
        <f>IF(OR($AT8="",AV$1=""),"",IF(cMed&gt;0,SUMIFS(rMed,rCat1,$AT8,rFecha,"&gt;="&amp;AV$1,rFecha,"&lt;"&amp;DATE(YEAR(AV$1),MONTH(AV$1)+1,1)),COUNTIFS(rCat1,$AT8,rFecha,"&gt;="&amp;AV$1,rFecha,"&lt;"&amp;DATE(YEAR(AV$1),MONTH(AV$1)+1,1))))</f>
        <v>5065660</v>
      </c>
      <c r="AW8">
        <f>IF(OR($AT8="",AW$1=""),"",IF(cMed&gt;0,SUMIFS(rMed,rCat1,$AT8,rFecha,"&gt;="&amp;AW$1,rFecha,"&lt;"&amp;DATE(YEAR(AW$1),MONTH(AW$1)+1,1)),COUNTIFS(rCat1,$AT8,rFecha,"&gt;="&amp;AW$1,rFecha,"&lt;"&amp;DATE(YEAR(AW$1),MONTH(AW$1)+1,1))))</f>
        <v>10577850</v>
      </c>
      <c r="AX8">
        <f>IF(OR($AT8="",AX$1=""),"",IF(cMed&gt;0,SUMIFS(rMed,rCat1,$AT8,rFecha,"&gt;="&amp;AX$1,rFecha,"&lt;"&amp;DATE(YEAR(AX$1),MONTH(AX$1)+1,1)),COUNTIFS(rCat1,$AT8,rFecha,"&gt;="&amp;AX$1,rFecha,"&lt;"&amp;DATE(YEAR(AX$1),MONTH(AX$1)+1,1))))</f>
        <v>7159585</v>
      </c>
      <c r="AY8">
        <f>IF(OR($AT8="",AY$1=""),"",IF(cMed&gt;0,SUMIFS(rMed,rCat1,$AT8,rFecha,"&gt;="&amp;AY$1,rFecha,"&lt;"&amp;DATE(YEAR(AY$1),MONTH(AY$1)+1,1)),COUNTIFS(rCat1,$AT8,rFecha,"&gt;="&amp;AY$1,rFecha,"&lt;"&amp;DATE(YEAR(AY$1),MONTH(AY$1)+1,1))))</f>
        <v>14545595</v>
      </c>
      <c r="AZ8">
        <f>IF(OR($AT8="",AZ$1=""),"",IF(cMed&gt;0,SUMIFS(rMed,rCat1,$AT8,rFecha,"&gt;="&amp;AZ$1,rFecha,"&lt;"&amp;DATE(YEAR(AZ$1),MONTH(AZ$1)+1,1)),COUNTIFS(rCat1,$AT8,rFecha,"&gt;="&amp;AZ$1,rFecha,"&lt;"&amp;DATE(YEAR(AZ$1),MONTH(AZ$1)+1,1))))</f>
        <v>2134000</v>
      </c>
      <c r="BA8">
        <f>IF(AT8="","",SUM(AU8:AZ8))</f>
        <v>47133310</v>
      </c>
      <c r="BC8" t="str">
        <f>IF(conHora,RIGHT("0"&amp;5,2)&amp;":00",IF(6&lt;=12,CHOOSE(6,"Ene","Feb","Mar","Abr","May","Jun","Jul","Ago","Sep","Oct","Nov","Dic"),""))</f>
        <v>05:00</v>
      </c>
      <c r="BD8">
        <f t="array" ref="BD8">IF(OR(cFecha=0,AND(NOT(conHora),6&gt;12)),"",SUMPRODUCT(IFERROR(ISNUMBER(rFecha)*(WEEKDAY(rFecha,2)=1)*IF(conHora,HOUR(rFecha)=5,MONTH(rFecha)=6)*IF(cMed&gt;0,IF(ISNUMBER(rMed),rMed,0),1),0)))</f>
        <v>2708880</v>
      </c>
      <c r="BE8">
        <f t="array" ref="BE8">IF(OR(cFecha=0,AND(NOT(conHora),6&gt;12)),"",SUMPRODUCT(IFERROR(ISNUMBER(rFecha)*(WEEKDAY(rFecha,2)=2)*IF(conHora,HOUR(rFecha)=5,MONTH(rFecha)=6)*IF(cMed&gt;0,IF(ISNUMBER(rMed),rMed,0),1),0)))</f>
        <v>255500</v>
      </c>
      <c r="BF8">
        <f t="array" ref="BF8">IF(OR(cFecha=0,AND(NOT(conHora),6&gt;12)),"",SUMPRODUCT(IFERROR(ISNUMBER(rFecha)*(WEEKDAY(rFecha,2)=3)*IF(conHora,HOUR(rFecha)=5,MONTH(rFecha)=6)*IF(cMed&gt;0,IF(ISNUMBER(rMed),rMed,0),1),0)))</f>
        <v>0</v>
      </c>
      <c r="BG8">
        <f t="array" ref="BG8">IF(OR(cFecha=0,AND(NOT(conHora),6&gt;12)),"",SUMPRODUCT(IFERROR(ISNUMBER(rFecha)*(WEEKDAY(rFecha,2)=4)*IF(conHora,HOUR(rFecha)=5,MONTH(rFecha)=6)*IF(cMed&gt;0,IF(ISNUMBER(rMed),rMed,0),1),0)))</f>
        <v>5433500</v>
      </c>
      <c r="BH8">
        <f t="array" ref="BH8">IF(OR(cFecha=0,AND(NOT(conHora),6&gt;12)),"",SUMPRODUCT(IFERROR(ISNUMBER(rFecha)*(WEEKDAY(rFecha,2)=5)*IF(conHora,HOUR(rFecha)=5,MONTH(rFecha)=6)*IF(cMed&gt;0,IF(ISNUMBER(rMed),rMed,0),1),0)))</f>
        <v>4567800</v>
      </c>
      <c r="BI8">
        <f t="array" ref="BI8">IF(OR(cFecha=0,AND(NOT(conHora),6&gt;12)),"",SUMPRODUCT(IFERROR(ISNUMBER(rFecha)*(WEEKDAY(rFecha,2)=6)*IF(conHora,HOUR(rFecha)=5,MONTH(rFecha)=6)*IF(cMed&gt;0,IF(ISNUMBER(rMed),rMed,0),1),0)))</f>
        <v>267490</v>
      </c>
      <c r="BJ8">
        <f t="array" ref="BJ8">IF(OR(cFecha=0,AND(NOT(conHora),6&gt;12)),"",SUMPRODUCT(IFERROR(ISNUMBER(rFecha)*(WEEKDAY(rFecha,2)=7)*IF(conHora,HOUR(rFecha)=5,MONTH(rFecha)=6)*IF(cMed&gt;0,IF(ISNUMBER(rMed),rMed,0),1),0)))</f>
        <v>376740</v>
      </c>
      <c r="BL8" t="inlineStr">
        <is>
          <t>Córdoba</t>
        </is>
      </c>
      <c r="BM8" t="inlineStr">
        <is>
          <t>C?rdoba</t>
        </is>
      </c>
      <c r="BN8">
        <f>IF(cDepto=0,"",IF(cMed&gt;0,SUMIFS(rMed,rDepto,BM8),COUNTIFS(rDepto,BM8)))</f>
        <v>0</v>
      </c>
      <c r="BO8">
        <f>IF(BN8="","",COUNTIF(BN$3:BN$35,"&gt;"&amp;BN8)+COUNTIF(BN$3:BN8,BN8))</f>
        <v>15</v>
      </c>
      <c r="BS8" t="str">
        <f>IF(cEtapa=0,"",X8)</f>
        <v/>
      </c>
      <c r="BT8" t="str">
        <f>IF(BU8="","",(MAX(BU$3:BU$8)-BU8)/2)</f>
        <v/>
      </c>
      <c r="BU8" t="str">
        <f>IF(BS8="","",Y8)</f>
        <v/>
      </c>
      <c r="BV8" s="94" t="str">
        <f>IF(BU8="","",BU8/BU$3)</f>
        <v/>
      </c>
      <c r="BX8">
        <f>IF(OR(cMed=0,cMed2=0,6&gt;nFilas),NA(),IF(AND(ISNUMBER(INDEX(rMed2,6)),ISNUMBER(INDEX(rMed,6))),INDEX(rMed2,6),NA()))</f>
        <v>2</v>
      </c>
      <c r="BY8">
        <f>IF(OR(cMed=0,cMed2=0,6&gt;nFilas),NA(),IF(AND(ISNUMBER(INDEX(rMed2,6)),ISNUMBER(INDEX(rMed,6))),INDEX(rMed,6),NA()))</f>
        <v>476400</v>
      </c>
      <c r="CA8" t="inlineStr">
        <is>
          <t>Costo anterior</t>
        </is>
      </c>
      <c r="CB8">
        <f>IF(OR(cFecha=0,cCosto=0),0,SUMIFS(rCosto,rFecha,"&gt;="&amp;DATE(YEAR(mIni),MONTH(mIni)-1,1),rFecha,"&lt;"&amp;mIni))</f>
        <v>59223502</v>
      </c>
    </row>
    <row r="9">
      <c r="A9" t="n">
        <v>7</v>
      </c>
      <c r="B9" t="str">
        <f t="array" ref="B9">IF(cCat1=0,"",IFERROR(INDEX(rCat1,MATCH(0,COUNTIF(B$2:B8,rCat1&amp;"")+(rCat1&amp;""=""),0))&amp;"",""))</f>
        <v>Medellín</v>
      </c>
      <c r="C9" s="93">
        <f>IF(B9="","",IF(cMed&gt;0,SUMIFS(rMed,rCat1,B9),COUNTIFS(rCat1,B9)))</f>
        <v>410638375</v>
      </c>
      <c r="D9">
        <f>IF(B9="","",COUNTIF(C$3:C$42,"&gt;"&amp;C9)+COUNTIF(C$3:C9,C9))</f>
        <v>2</v>
      </c>
      <c r="E9" t="n">
        <v>7</v>
      </c>
      <c r="F9" t="str">
        <f>IFERROR(INDEX(B$3:B$42,MATCH(E9,D$3:D$42,0)),"")</f>
        <v>Cartagena</v>
      </c>
      <c r="G9" s="93">
        <f>IFERROR(INDEX(C$3:C$42,MATCH(E9,D$3:D$42,0)),"")</f>
        <v>128977510</v>
      </c>
      <c r="H9" s="94">
        <f>IF(G9="","",IFERROR(G9/total,""))</f>
        <v>0.0642833081185853</v>
      </c>
      <c r="J9" t="n">
        <v>7</v>
      </c>
      <c r="K9" t="str">
        <f t="array" ref="K9">IF(cCat2=0,"",IFERROR(INDEX(rCat2,MATCH(0,COUNTIF(K$2:K8,rCat2&amp;"")+(rCat2&amp;""=""),0))&amp;"",""))</f>
        <v/>
      </c>
      <c r="L9" s="93" t="str">
        <f>IF(K9="","",IF(cMed&gt;0,SUMIFS(rMed,rCat2,K9),COUNTIFS(rCat2,K9)))</f>
        <v/>
      </c>
      <c r="M9" t="str">
        <f>IF(K9="","",COUNTIF(L$3:L$42,"&gt;"&amp;L9)+COUNTIF(L$3:L9,L9))</f>
        <v/>
      </c>
      <c r="N9" t="n">
        <v>7</v>
      </c>
      <c r="O9" t="str">
        <f>IFERROR(INDEX(K$3:K$42,MATCH(N9,M$3:M$42,0)),"")</f>
        <v/>
      </c>
      <c r="P9" s="93" t="str">
        <f>IFERROR(INDEX(L$3:L$42,MATCH(N9,M$3:M$42,0)),"")</f>
        <v/>
      </c>
      <c r="Q9" s="94" t="str">
        <f>IF(P9="","",IFERROR(P9/total,""))</f>
        <v/>
      </c>
      <c r="S9" t="n">
        <v>7</v>
      </c>
      <c r="T9" t="str">
        <f t="array" ref="T9">IF(cEtapa=0,"",IFERROR(INDEX(rEtapa,MATCH(0,COUNTIF(T$2:T8,rEtapa&amp;"")+(rEtapa&amp;""=""),0))&amp;"",""))</f>
        <v/>
      </c>
      <c r="U9" s="93" t="str">
        <f>IF(T9="","",COUNTIFS(rEtapa,T9))</f>
        <v/>
      </c>
      <c r="V9" t="str">
        <f>IF(T9="","",COUNTIF(U$3:U$17,"&gt;"&amp;U9)+COUNTIF(U$3:U9,U9))</f>
        <v/>
      </c>
      <c r="W9" t="n">
        <v>7</v>
      </c>
      <c r="X9" t="str">
        <f>IFERROR(INDEX(T$3:T$17,MATCH(W9,V$3:V$17,0)),"")</f>
        <v/>
      </c>
      <c r="Y9" s="93" t="str">
        <f>IFERROR(INDEX(U$3:U$17,MATCH(W9,V$3:V$17,0)),"")</f>
        <v/>
      </c>
      <c r="Z9" s="94" t="str">
        <f>IF(Y9="","",IFERROR(Y9/SUM(U$3:U$17),""))</f>
        <v/>
      </c>
      <c r="AB9" s="92">
        <f>IF(cFecha=0,"",IF(CHOOSE(gIdx,tBase+6,tBase+42,DATE(YEAR(tBase),MONTH(tBase)+6,1),DATE(YEAR(tBase),MONTH(tBase)+18,1),DATE(YEAR(tBase)+6,1,1))&gt;fMax,"",CHOOSE(gIdx,tBase+6,tBase+42,DATE(YEAR(tBase),MONTH(tBase)+6,1),DATE(YEAR(tBase),MONTH(tBase)+18,1),DATE(YEAR(tBase)+6,1,1))))</f>
        <v>45566.0</v>
      </c>
      <c r="AC9" s="92">
        <f>IF(AB9="","",CHOOSE(gIdx,AB9+1,AB9+7,DATE(YEAR(AB9),MONTH(AB9)+1,1),DATE(YEAR(AB9),MONTH(AB9)+3,1),DATE(YEAR(AB9)+1,1,1)))</f>
        <v>45597.0</v>
      </c>
      <c r="AD9" t="str">
        <f>IF(AB9="","",CHOOSE(MONTH(AB9),"Ene","Feb","Mar","Abr","May","Jun","Jul","Ago","Sep","Oct","Nov","Dic")&amp;" "&amp;RIGHT(YEAR(AB9),2))</f>
        <v>Oct 24</v>
      </c>
      <c r="AE9">
        <f>IF(AB9="",NA(),IF(cMed&gt;0,SUMIFS(rMed,rFecha,"&gt;="&amp;AB9,rFecha,"&lt;"&amp;AC9),COUNTIFS(rFecha,"&gt;="&amp;AB9,rFecha,"&lt;"&amp;AC9)))</f>
        <v>119111290</v>
      </c>
      <c r="AF9">
        <f>IF(AB9="",NA(),AB9)</f>
        <v>45566.0</v>
      </c>
      <c r="AJ9">
        <f>IF(cFecha=0,"",DATE(YEAR(fMax),MONTH(fMax)-12+7,1))</f>
        <v>45748.0</v>
      </c>
      <c r="AK9">
        <f>IF(AJ9="","",DATE(YEAR(AJ9),MONTH(AJ9)+1,1))</f>
        <v>45778.0</v>
      </c>
      <c r="AL9" t="str">
        <f>IF(AJ9="","",CHOOSE(MONTH(AJ9),"Ene","Feb","Mar","Abr","May","Jun","Jul","Ago","Sep","Oct","Nov","Dic")&amp;" "&amp;RIGHT(YEAR(AJ9),2))</f>
        <v>Abr 25</v>
      </c>
      <c r="AM9">
        <f>IF(OR($AJ9="",AM$2=""),0,IF(cCat2&gt;0,IF(cMed&gt;0,SUMIFS(rMed,rFecha,"&gt;="&amp;$AJ9,rFecha,"&lt;"&amp;$AK9,rCat2,AM$2),COUNTIFS(rFecha,"&gt;="&amp;$AJ9,rFecha,"&lt;"&amp;$AK9,rCat2,AM$2)),IF(cMed&gt;0,SUMIFS(rMed,rFecha,"&gt;="&amp;$AJ9,rFecha,"&lt;"&amp;$AK9,rCat1,AM$2),COUNTIFS(rFecha,"&gt;="&amp;$AJ9,rFecha,"&lt;"&amp;$AK9,rCat1,AM$2))))</f>
        <v>60093945</v>
      </c>
      <c r="AN9">
        <f>IF(OR($AJ9="",AN$2=""),0,IF(cCat2&gt;0,IF(cMed&gt;0,SUMIFS(rMed,rFecha,"&gt;="&amp;$AJ9,rFecha,"&lt;"&amp;$AK9,rCat2,AN$2),COUNTIFS(rFecha,"&gt;="&amp;$AJ9,rFecha,"&lt;"&amp;$AK9,rCat2,AN$2)),IF(cMed&gt;0,SUMIFS(rMed,rFecha,"&gt;="&amp;$AJ9,rFecha,"&lt;"&amp;$AK9,rCat1,AN$2),COUNTIFS(rFecha,"&gt;="&amp;$AJ9,rFecha,"&lt;"&amp;$AK9,rCat1,AN$2))))</f>
        <v>17637085</v>
      </c>
      <c r="AO9">
        <f>IF(OR($AJ9="",AO$2=""),0,IF(cCat2&gt;0,IF(cMed&gt;0,SUMIFS(rMed,rFecha,"&gt;="&amp;$AJ9,rFecha,"&lt;"&amp;$AK9,rCat2,AO$2),COUNTIFS(rFecha,"&gt;="&amp;$AJ9,rFecha,"&lt;"&amp;$AK9,rCat2,AO$2)),IF(cMed&gt;0,SUMIFS(rMed,rFecha,"&gt;="&amp;$AJ9,rFecha,"&lt;"&amp;$AK9,rCat1,AO$2),COUNTIFS(rFecha,"&gt;="&amp;$AJ9,rFecha,"&lt;"&amp;$AK9,rCat1,AO$2))))</f>
        <v>8001310</v>
      </c>
      <c r="AP9">
        <f>IF(OR($AJ9="",AP$2=""),0,IF(cCat2&gt;0,IF(cMed&gt;0,SUMIFS(rMed,rFecha,"&gt;="&amp;$AJ9,rFecha,"&lt;"&amp;$AK9,rCat2,AP$2),COUNTIFS(rFecha,"&gt;="&amp;$AJ9,rFecha,"&lt;"&amp;$AK9,rCat2,AP$2)),IF(cMed&gt;0,SUMIFS(rMed,rFecha,"&gt;="&amp;$AJ9,rFecha,"&lt;"&amp;$AK9,rCat1,AP$2),COUNTIFS(rFecha,"&gt;="&amp;$AJ9,rFecha,"&lt;"&amp;$AK9,rCat1,AP$2))))</f>
        <v>6823385</v>
      </c>
      <c r="AQ9">
        <f>MAX(0,AR9-SUM(AM9:AP9))</f>
        <v>8046565</v>
      </c>
      <c r="AR9">
        <f>IF(AJ9="",0,IF(cMed&gt;0,SUMIFS(rMed,rFecha,"&gt;="&amp;$AJ9,rFecha,"&lt;"&amp;$AK9),COUNTIFS(rFecha,"&gt;="&amp;$AJ9,rFecha,"&lt;"&amp;$AK9)))</f>
        <v>100602290</v>
      </c>
      <c r="AT9" t="str">
        <f>F9</f>
        <v>Cartagena</v>
      </c>
      <c r="AU9">
        <f>IF(OR($AT9="",AU$1=""),"",IF(cMed&gt;0,SUMIFS(rMed,rCat1,$AT9,rFecha,"&gt;="&amp;AU$1,rFecha,"&lt;"&amp;DATE(YEAR(AU$1),MONTH(AU$1)+1,1)),COUNTIFS(rCat1,$AT9,rFecha,"&gt;="&amp;AU$1,rFecha,"&lt;"&amp;DATE(YEAR(AU$1),MONTH(AU$1)+1,1))))</f>
        <v>6017050</v>
      </c>
      <c r="AV9">
        <f>IF(OR($AT9="",AV$1=""),"",IF(cMed&gt;0,SUMIFS(rMed,rCat1,$AT9,rFecha,"&gt;="&amp;AV$1,rFecha,"&lt;"&amp;DATE(YEAR(AV$1),MONTH(AV$1)+1,1)),COUNTIFS(rCat1,$AT9,rFecha,"&gt;="&amp;AV$1,rFecha,"&lt;"&amp;DATE(YEAR(AV$1),MONTH(AV$1)+1,1))))</f>
        <v>12168985</v>
      </c>
      <c r="AW9">
        <f>IF(OR($AT9="",AW$1=""),"",IF(cMed&gt;0,SUMIFS(rMed,rCat1,$AT9,rFecha,"&gt;="&amp;AW$1,rFecha,"&lt;"&amp;DATE(YEAR(AW$1),MONTH(AW$1)+1,1)),COUNTIFS(rCat1,$AT9,rFecha,"&gt;="&amp;AW$1,rFecha,"&lt;"&amp;DATE(YEAR(AW$1),MONTH(AW$1)+1,1))))</f>
        <v>5831180</v>
      </c>
      <c r="AX9">
        <f>IF(OR($AT9="",AX$1=""),"",IF(cMed&gt;0,SUMIFS(rMed,rCat1,$AT9,rFecha,"&gt;="&amp;AX$1,rFecha,"&lt;"&amp;DATE(YEAR(AX$1),MONTH(AX$1)+1,1)),COUNTIFS(rCat1,$AT9,rFecha,"&gt;="&amp;AX$1,rFecha,"&lt;"&amp;DATE(YEAR(AX$1),MONTH(AX$1)+1,1))))</f>
        <v>14656260</v>
      </c>
      <c r="AY9">
        <f>IF(OR($AT9="",AY$1=""),"",IF(cMed&gt;0,SUMIFS(rMed,rCat1,$AT9,rFecha,"&gt;="&amp;AY$1,rFecha,"&lt;"&amp;DATE(YEAR(AY$1),MONTH(AY$1)+1,1)),COUNTIFS(rCat1,$AT9,rFecha,"&gt;="&amp;AY$1,rFecha,"&lt;"&amp;DATE(YEAR(AY$1),MONTH(AY$1)+1,1))))</f>
        <v>4863045</v>
      </c>
      <c r="AZ9">
        <f>IF(OR($AT9="",AZ$1=""),"",IF(cMed&gt;0,SUMIFS(rMed,rCat1,$AT9,rFecha,"&gt;="&amp;AZ$1,rFecha,"&lt;"&amp;DATE(YEAR(AZ$1),MONTH(AZ$1)+1,1)),COUNTIFS(rCat1,$AT9,rFecha,"&gt;="&amp;AZ$1,rFecha,"&lt;"&amp;DATE(YEAR(AZ$1),MONTH(AZ$1)+1,1))))</f>
        <v>1270100</v>
      </c>
      <c r="BA9">
        <f>IF(AT9="","",SUM(AU9:AZ9))</f>
        <v>44806620</v>
      </c>
      <c r="BC9" t="str">
        <f>IF(conHora,RIGHT("0"&amp;6,2)&amp;":00",IF(7&lt;=12,CHOOSE(7,"Ene","Feb","Mar","Abr","May","Jun","Jul","Ago","Sep","Oct","Nov","Dic"),""))</f>
        <v>06:00</v>
      </c>
      <c r="BD9">
        <f t="array" ref="BD9">IF(OR(cFecha=0,AND(NOT(conHora),7&gt;12)),"",SUMPRODUCT(IFERROR(ISNUMBER(rFecha)*(WEEKDAY(rFecha,2)=1)*IF(conHora,HOUR(rFecha)=6,MONTH(rFecha)=7)*IF(cMed&gt;0,IF(ISNUMBER(rMed),rMed,0),1),0)))</f>
        <v>5531900</v>
      </c>
      <c r="BE9">
        <f t="array" ref="BE9">IF(OR(cFecha=0,AND(NOT(conHora),7&gt;12)),"",SUMPRODUCT(IFERROR(ISNUMBER(rFecha)*(WEEKDAY(rFecha,2)=2)*IF(conHora,HOUR(rFecha)=6,MONTH(rFecha)=7)*IF(cMed&gt;0,IF(ISNUMBER(rMed),rMed,0),1),0)))</f>
        <v>2614700</v>
      </c>
      <c r="BF9">
        <f t="array" ref="BF9">IF(OR(cFecha=0,AND(NOT(conHora),7&gt;12)),"",SUMPRODUCT(IFERROR(ISNUMBER(rFecha)*(WEEKDAY(rFecha,2)=3)*IF(conHora,HOUR(rFecha)=6,MONTH(rFecha)=7)*IF(cMed&gt;0,IF(ISNUMBER(rMed),rMed,0),1),0)))</f>
        <v>1861400</v>
      </c>
      <c r="BG9">
        <f t="array" ref="BG9">IF(OR(cFecha=0,AND(NOT(conHora),7&gt;12)),"",SUMPRODUCT(IFERROR(ISNUMBER(rFecha)*(WEEKDAY(rFecha,2)=4)*IF(conHora,HOUR(rFecha)=6,MONTH(rFecha)=7)*IF(cMed&gt;0,IF(ISNUMBER(rMed),rMed,0),1),0)))</f>
        <v>712960</v>
      </c>
      <c r="BH9">
        <f t="array" ref="BH9">IF(OR(cFecha=0,AND(NOT(conHora),7&gt;12)),"",SUMPRODUCT(IFERROR(ISNUMBER(rFecha)*(WEEKDAY(rFecha,2)=5)*IF(conHora,HOUR(rFecha)=6,MONTH(rFecha)=7)*IF(cMed&gt;0,IF(ISNUMBER(rMed),rMed,0),1),0)))</f>
        <v>5106345</v>
      </c>
      <c r="BI9">
        <f t="array" ref="BI9">IF(OR(cFecha=0,AND(NOT(conHora),7&gt;12)),"",SUMPRODUCT(IFERROR(ISNUMBER(rFecha)*(WEEKDAY(rFecha,2)=6)*IF(conHora,HOUR(rFecha)=6,MONTH(rFecha)=7)*IF(cMed&gt;0,IF(ISNUMBER(rMed),rMed,0),1),0)))</f>
        <v>1114120</v>
      </c>
      <c r="BJ9">
        <f t="array" ref="BJ9">IF(OR(cFecha=0,AND(NOT(conHora),7&gt;12)),"",SUMPRODUCT(IFERROR(ISNUMBER(rFecha)*(WEEKDAY(rFecha,2)=7)*IF(conHora,HOUR(rFecha)=6,MONTH(rFecha)=7)*IF(cMed&gt;0,IF(ISNUMBER(rMed),rMed,0),1),0)))</f>
        <v>1663820</v>
      </c>
      <c r="BL9" t="inlineStr">
        <is>
          <t>Sucre</t>
        </is>
      </c>
      <c r="BM9" t="inlineStr">
        <is>
          <t>Sucre</t>
        </is>
      </c>
      <c r="BN9">
        <f>IF(cDepto=0,"",IF(cMed&gt;0,SUMIFS(rMed,rDepto,BM9),COUNTIFS(rDepto,BM9)))</f>
        <v>0</v>
      </c>
      <c r="BO9">
        <f>IF(BN9="","",COUNTIF(BN$3:BN$35,"&gt;"&amp;BN9)+COUNTIF(BN$3:BN9,BN9))</f>
        <v>16</v>
      </c>
      <c r="BX9">
        <f>IF(OR(cMed=0,cMed2=0,7&gt;nFilas),NA(),IF(AND(ISNUMBER(INDEX(rMed2,7)),ISNUMBER(INDEX(rMed,7))),INDEX(rMed2,7),NA()))</f>
        <v>5</v>
      </c>
      <c r="BY9">
        <f>IF(OR(cMed=0,cMed2=0,7&gt;nFilas),NA(),IF(AND(ISNUMBER(INDEX(rMed2,7)),ISNUMBER(INDEX(rMed,7))),INDEX(rMed,7),NA()))</f>
        <v>309000</v>
      </c>
      <c r="CA9" t="inlineStr">
        <is>
          <t>Mes anterior</t>
        </is>
      </c>
      <c r="CB9" t="str">
        <f>IF(cFecha=0,"",CHOOSE(MONTH(mIni),"Ene","Feb","Mar","Abr","May","Jun","Jul","Ago","Sep","Oct","Nov","Dic")&amp;" "&amp;RIGHT(YEAR(mIni),2)&amp;" vs "&amp;CHOOSE(MONTH(DATE(YEAR(mIni),MONTH(mIni)-1,1)),"Ene","Feb","Mar","Abr","May","Jun","Jul","Ago","Sep","Oct","Nov","Dic")&amp;" "&amp;RIGHT(YEAR(DATE(YEAR(mIni),MONTH(mIni)-1,1)),2))</f>
        <v>Sep 25 vs Ago 25</v>
      </c>
    </row>
    <row r="10">
      <c r="A10" t="n">
        <v>8</v>
      </c>
      <c r="B10" t="str">
        <f t="array" ref="B10">IF(cCat1=0,"",IFERROR(INDEX(rCat1,MATCH(0,COUNTIF(B$2:B9,rCat1&amp;"")+(rCat1&amp;""=""),0))&amp;"",""))</f>
        <v>Bucaramanga</v>
      </c>
      <c r="C10" s="93">
        <f>IF(B10="","",IF(cMed&gt;0,SUMIFS(rMed,rCat1,B10),COUNTIFS(rCat1,B10)))</f>
        <v>140976355</v>
      </c>
      <c r="D10">
        <f>IF(B10="","",COUNTIF(C$3:C$42,"&gt;"&amp;C10)+COUNTIF(C$3:C10,C10))</f>
        <v>5</v>
      </c>
      <c r="E10" t="n">
        <v>8</v>
      </c>
      <c r="F10" t="str">
        <f>IFERROR(INDEX(B$3:B$42,MATCH(E10,D$3:D$42,0)),"")</f>
        <v>Villavicencio</v>
      </c>
      <c r="G10" s="93">
        <f>IFERROR(INDEX(C$3:C$42,MATCH(E10,D$3:D$42,0)),"")</f>
        <v>83519275</v>
      </c>
      <c r="H10" s="94">
        <f>IF(G10="","",IFERROR(G10/total,""))</f>
        <v>0.0416266005497072</v>
      </c>
      <c r="J10" t="n">
        <v>8</v>
      </c>
      <c r="K10" t="str">
        <f t="array" ref="K10">IF(cCat2=0,"",IFERROR(INDEX(rCat2,MATCH(0,COUNTIF(K$2:K9,rCat2&amp;"")+(rCat2&amp;""=""),0))&amp;"",""))</f>
        <v/>
      </c>
      <c r="L10" s="93" t="str">
        <f>IF(K10="","",IF(cMed&gt;0,SUMIFS(rMed,rCat2,K10),COUNTIFS(rCat2,K10)))</f>
        <v/>
      </c>
      <c r="M10" t="str">
        <f>IF(K10="","",COUNTIF(L$3:L$42,"&gt;"&amp;L10)+COUNTIF(L$3:L10,L10))</f>
        <v/>
      </c>
      <c r="N10" t="n">
        <v>8</v>
      </c>
      <c r="O10" t="str">
        <f>IFERROR(INDEX(K$3:K$42,MATCH(N10,M$3:M$42,0)),"")</f>
        <v/>
      </c>
      <c r="P10" s="93" t="str">
        <f>IFERROR(INDEX(L$3:L$42,MATCH(N10,M$3:M$42,0)),"")</f>
        <v/>
      </c>
      <c r="Q10" s="94" t="str">
        <f>IF(P10="","",IFERROR(P10/total,""))</f>
        <v/>
      </c>
      <c r="S10" t="n">
        <v>8</v>
      </c>
      <c r="T10" t="str">
        <f t="array" ref="T10">IF(cEtapa=0,"",IFERROR(INDEX(rEtapa,MATCH(0,COUNTIF(T$2:T9,rEtapa&amp;"")+(rEtapa&amp;""=""),0))&amp;"",""))</f>
        <v/>
      </c>
      <c r="U10" s="93" t="str">
        <f>IF(T10="","",COUNTIFS(rEtapa,T10))</f>
        <v/>
      </c>
      <c r="V10" t="str">
        <f>IF(T10="","",COUNTIF(U$3:U$17,"&gt;"&amp;U10)+COUNTIF(U$3:U10,U10))</f>
        <v/>
      </c>
      <c r="W10" t="n">
        <v>8</v>
      </c>
      <c r="X10" t="str">
        <f>IFERROR(INDEX(T$3:T$17,MATCH(W10,V$3:V$17,0)),"")</f>
        <v/>
      </c>
      <c r="Y10" s="93" t="str">
        <f>IFERROR(INDEX(U$3:U$17,MATCH(W10,V$3:V$17,0)),"")</f>
        <v/>
      </c>
      <c r="Z10" s="94" t="str">
        <f>IF(Y10="","",IFERROR(Y10/SUM(U$3:U$17),""))</f>
        <v/>
      </c>
      <c r="AB10" s="92">
        <f>IF(cFecha=0,"",IF(CHOOSE(gIdx,tBase+7,tBase+49,DATE(YEAR(tBase),MONTH(tBase)+7,1),DATE(YEAR(tBase),MONTH(tBase)+21,1),DATE(YEAR(tBase)+7,1,1))&gt;fMax,"",CHOOSE(gIdx,tBase+7,tBase+49,DATE(YEAR(tBase),MONTH(tBase)+7,1),DATE(YEAR(tBase),MONTH(tBase)+21,1),DATE(YEAR(tBase)+7,1,1))))</f>
        <v>45597.0</v>
      </c>
      <c r="AC10" s="92">
        <f>IF(AB10="","",CHOOSE(gIdx,AB10+1,AB10+7,DATE(YEAR(AB10),MONTH(AB10)+1,1),DATE(YEAR(AB10),MONTH(AB10)+3,1),DATE(YEAR(AB10)+1,1,1)))</f>
        <v>45627.0</v>
      </c>
      <c r="AD10" t="str">
        <f>IF(AB10="","",CHOOSE(MONTH(AB10),"Ene","Feb","Mar","Abr","May","Jun","Jul","Ago","Sep","Oct","Nov","Dic")&amp;" "&amp;RIGHT(YEAR(AB10),2))</f>
        <v>Nov 24</v>
      </c>
      <c r="AE10">
        <f>IF(AB10="",NA(),IF(cMed&gt;0,SUMIFS(rMed,rFecha,"&gt;="&amp;AB10,rFecha,"&lt;"&amp;AC10),COUNTIFS(rFecha,"&gt;="&amp;AB10,rFecha,"&lt;"&amp;AC10)))</f>
        <v>130906540</v>
      </c>
      <c r="AF10">
        <f>IF(AB10="",NA(),AB10)</f>
        <v>45597.0</v>
      </c>
      <c r="AJ10">
        <f>IF(cFecha=0,"",DATE(YEAR(fMax),MONTH(fMax)-12+8,1))</f>
        <v>45778.0</v>
      </c>
      <c r="AK10">
        <f>IF(AJ10="","",DATE(YEAR(AJ10),MONTH(AJ10)+1,1))</f>
        <v>45809.0</v>
      </c>
      <c r="AL10" t="str">
        <f>IF(AJ10="","",CHOOSE(MONTH(AJ10),"Ene","Feb","Mar","Abr","May","Jun","Jul","Ago","Sep","Oct","Nov","Dic")&amp;" "&amp;RIGHT(YEAR(AJ10),2))</f>
        <v>May 25</v>
      </c>
      <c r="AM10">
        <f>IF(OR($AJ10="",AM$2=""),0,IF(cCat2&gt;0,IF(cMed&gt;0,SUMIFS(rMed,rFecha,"&gt;="&amp;$AJ10,rFecha,"&lt;"&amp;$AK10,rCat2,AM$2),COUNTIFS(rFecha,"&gt;="&amp;$AJ10,rFecha,"&lt;"&amp;$AK10,rCat2,AM$2)),IF(cMed&gt;0,SUMIFS(rMed,rFecha,"&gt;="&amp;$AJ10,rFecha,"&lt;"&amp;$AK10,rCat1,AM$2),COUNTIFS(rFecha,"&gt;="&amp;$AJ10,rFecha,"&lt;"&amp;$AK10,rCat1,AM$2))))</f>
        <v>59111825</v>
      </c>
      <c r="AN10">
        <f>IF(OR($AJ10="",AN$2=""),0,IF(cCat2&gt;0,IF(cMed&gt;0,SUMIFS(rMed,rFecha,"&gt;="&amp;$AJ10,rFecha,"&lt;"&amp;$AK10,rCat2,AN$2),COUNTIFS(rFecha,"&gt;="&amp;$AJ10,rFecha,"&lt;"&amp;$AK10,rCat2,AN$2)),IF(cMed&gt;0,SUMIFS(rMed,rFecha,"&gt;="&amp;$AJ10,rFecha,"&lt;"&amp;$AK10,rCat1,AN$2),COUNTIFS(rFecha,"&gt;="&amp;$AJ10,rFecha,"&lt;"&amp;$AK10,rCat1,AN$2))))</f>
        <v>10918975</v>
      </c>
      <c r="AO10">
        <f>IF(OR($AJ10="",AO$2=""),0,IF(cCat2&gt;0,IF(cMed&gt;0,SUMIFS(rMed,rFecha,"&gt;="&amp;$AJ10,rFecha,"&lt;"&amp;$AK10,rCat2,AO$2),COUNTIFS(rFecha,"&gt;="&amp;$AJ10,rFecha,"&lt;"&amp;$AK10,rCat2,AO$2)),IF(cMed&gt;0,SUMIFS(rMed,rFecha,"&gt;="&amp;$AJ10,rFecha,"&lt;"&amp;$AK10,rCat1,AO$2),COUNTIFS(rFecha,"&gt;="&amp;$AJ10,rFecha,"&lt;"&amp;$AK10,rCat1,AO$2))))</f>
        <v>8045655</v>
      </c>
      <c r="AP10">
        <f>IF(OR($AJ10="",AP$2=""),0,IF(cCat2&gt;0,IF(cMed&gt;0,SUMIFS(rMed,rFecha,"&gt;="&amp;$AJ10,rFecha,"&lt;"&amp;$AK10,rCat2,AP$2),COUNTIFS(rFecha,"&gt;="&amp;$AJ10,rFecha,"&lt;"&amp;$AK10,rCat2,AP$2)),IF(cMed&gt;0,SUMIFS(rMed,rFecha,"&gt;="&amp;$AJ10,rFecha,"&lt;"&amp;$AK10,rCat1,AP$2),COUNTIFS(rFecha,"&gt;="&amp;$AJ10,rFecha,"&lt;"&amp;$AK10,rCat1,AP$2))))</f>
        <v>9105450</v>
      </c>
      <c r="AQ10">
        <f>MAX(0,AR10-SUM(AM10:AP10))</f>
        <v>12740920</v>
      </c>
      <c r="AR10">
        <f>IF(AJ10="",0,IF(cMed&gt;0,SUMIFS(rMed,rFecha,"&gt;="&amp;$AJ10,rFecha,"&lt;"&amp;$AK10),COUNTIFS(rFecha,"&gt;="&amp;$AJ10,rFecha,"&lt;"&amp;$AK10)))</f>
        <v>99922825</v>
      </c>
      <c r="AT10" t="str">
        <f>F10</f>
        <v>Villavicencio</v>
      </c>
      <c r="AU10">
        <f>IF(OR($AT10="",AU$1=""),"",IF(cMed&gt;0,SUMIFS(rMed,rCat1,$AT10,rFecha,"&gt;="&amp;AU$1,rFecha,"&lt;"&amp;DATE(YEAR(AU$1),MONTH(AU$1)+1,1)),COUNTIFS(rCat1,$AT10,rFecha,"&gt;="&amp;AU$1,rFecha,"&lt;"&amp;DATE(YEAR(AU$1),MONTH(AU$1)+1,1))))</f>
        <v>0</v>
      </c>
      <c r="AV10">
        <f>IF(OR($AT10="",AV$1=""),"",IF(cMed&gt;0,SUMIFS(rMed,rCat1,$AT10,rFecha,"&gt;="&amp;AV$1,rFecha,"&lt;"&amp;DATE(YEAR(AV$1),MONTH(AV$1)+1,1)),COUNTIFS(rCat1,$AT10,rFecha,"&gt;="&amp;AV$1,rFecha,"&lt;"&amp;DATE(YEAR(AV$1),MONTH(AV$1)+1,1))))</f>
        <v>3200380</v>
      </c>
      <c r="AW10">
        <f>IF(OR($AT10="",AW$1=""),"",IF(cMed&gt;0,SUMIFS(rMed,rCat1,$AT10,rFecha,"&gt;="&amp;AW$1,rFecha,"&lt;"&amp;DATE(YEAR(AW$1),MONTH(AW$1)+1,1)),COUNTIFS(rCat1,$AT10,rFecha,"&gt;="&amp;AW$1,rFecha,"&lt;"&amp;DATE(YEAR(AW$1),MONTH(AW$1)+1,1))))</f>
        <v>2478015</v>
      </c>
      <c r="AX10">
        <f>IF(OR($AT10="",AX$1=""),"",IF(cMed&gt;0,SUMIFS(rMed,rCat1,$AT10,rFecha,"&gt;="&amp;AX$1,rFecha,"&lt;"&amp;DATE(YEAR(AX$1),MONTH(AX$1)+1,1)),COUNTIFS(rCat1,$AT10,rFecha,"&gt;="&amp;AX$1,rFecha,"&lt;"&amp;DATE(YEAR(AX$1),MONTH(AX$1)+1,1))))</f>
        <v>7442895</v>
      </c>
      <c r="AY10">
        <f>IF(OR($AT10="",AY$1=""),"",IF(cMed&gt;0,SUMIFS(rMed,rCat1,$AT10,rFecha,"&gt;="&amp;AY$1,rFecha,"&lt;"&amp;DATE(YEAR(AY$1),MONTH(AY$1)+1,1)),COUNTIFS(rCat1,$AT10,rFecha,"&gt;="&amp;AY$1,rFecha,"&lt;"&amp;DATE(YEAR(AY$1),MONTH(AY$1)+1,1))))</f>
        <v>2106405</v>
      </c>
      <c r="AZ10">
        <f>IF(OR($AT10="",AZ$1=""),"",IF(cMed&gt;0,SUMIFS(rMed,rCat1,$AT10,rFecha,"&gt;="&amp;AZ$1,rFecha,"&lt;"&amp;DATE(YEAR(AZ$1),MONTH(AZ$1)+1,1)),COUNTIFS(rCat1,$AT10,rFecha,"&gt;="&amp;AZ$1,rFecha,"&lt;"&amp;DATE(YEAR(AZ$1),MONTH(AZ$1)+1,1))))</f>
        <v>4088675</v>
      </c>
      <c r="BA10">
        <f>IF(AT10="","",SUM(AU10:AZ10))</f>
        <v>19316370</v>
      </c>
      <c r="BC10" t="str">
        <f>IF(conHora,RIGHT("0"&amp;7,2)&amp;":00",IF(8&lt;=12,CHOOSE(8,"Ene","Feb","Mar","Abr","May","Jun","Jul","Ago","Sep","Oct","Nov","Dic"),""))</f>
        <v>07:00</v>
      </c>
      <c r="BD10">
        <f t="array" ref="BD10">IF(OR(cFecha=0,AND(NOT(conHora),8&gt;12)),"",SUMPRODUCT(IFERROR(ISNUMBER(rFecha)*(WEEKDAY(rFecha,2)=1)*IF(conHora,HOUR(rFecha)=7,MONTH(rFecha)=8)*IF(cMed&gt;0,IF(ISNUMBER(rMed),rMed,0),1),0)))</f>
        <v>6615240</v>
      </c>
      <c r="BE10">
        <f t="array" ref="BE10">IF(OR(cFecha=0,AND(NOT(conHora),8&gt;12)),"",SUMPRODUCT(IFERROR(ISNUMBER(rFecha)*(WEEKDAY(rFecha,2)=2)*IF(conHora,HOUR(rFecha)=7,MONTH(rFecha)=8)*IF(cMed&gt;0,IF(ISNUMBER(rMed),rMed,0),1),0)))</f>
        <v>9530000</v>
      </c>
      <c r="BF10">
        <f t="array" ref="BF10">IF(OR(cFecha=0,AND(NOT(conHora),8&gt;12)),"",SUMPRODUCT(IFERROR(ISNUMBER(rFecha)*(WEEKDAY(rFecha,2)=3)*IF(conHora,HOUR(rFecha)=7,MONTH(rFecha)=8)*IF(cMed&gt;0,IF(ISNUMBER(rMed),rMed,0),1),0)))</f>
        <v>4455300</v>
      </c>
      <c r="BG10">
        <f t="array" ref="BG10">IF(OR(cFecha=0,AND(NOT(conHora),8&gt;12)),"",SUMPRODUCT(IFERROR(ISNUMBER(rFecha)*(WEEKDAY(rFecha,2)=4)*IF(conHora,HOUR(rFecha)=7,MONTH(rFecha)=8)*IF(cMed&gt;0,IF(ISNUMBER(rMed),rMed,0),1),0)))</f>
        <v>6244520</v>
      </c>
      <c r="BH10">
        <f t="array" ref="BH10">IF(OR(cFecha=0,AND(NOT(conHora),8&gt;12)),"",SUMPRODUCT(IFERROR(ISNUMBER(rFecha)*(WEEKDAY(rFecha,2)=5)*IF(conHora,HOUR(rFecha)=7,MONTH(rFecha)=8)*IF(cMed&gt;0,IF(ISNUMBER(rMed),rMed,0),1),0)))</f>
        <v>8408925</v>
      </c>
      <c r="BI10">
        <f t="array" ref="BI10">IF(OR(cFecha=0,AND(NOT(conHora),8&gt;12)),"",SUMPRODUCT(IFERROR(ISNUMBER(rFecha)*(WEEKDAY(rFecha,2)=6)*IF(conHora,HOUR(rFecha)=7,MONTH(rFecha)=8)*IF(cMed&gt;0,IF(ISNUMBER(rMed),rMed,0),1),0)))</f>
        <v>9118195</v>
      </c>
      <c r="BJ10">
        <f t="array" ref="BJ10">IF(OR(cFecha=0,AND(NOT(conHora),8&gt;12)),"",SUMPRODUCT(IFERROR(ISNUMBER(rFecha)*(WEEKDAY(rFecha,2)=7)*IF(conHora,HOUR(rFecha)=7,MONTH(rFecha)=8)*IF(cMed&gt;0,IF(ISNUMBER(rMed),rMed,0),1),0)))</f>
        <v>3423305</v>
      </c>
      <c r="BL10" t="inlineStr">
        <is>
          <t>Bolívar</t>
        </is>
      </c>
      <c r="BM10" t="inlineStr">
        <is>
          <t>Bol?var</t>
        </is>
      </c>
      <c r="BN10">
        <f>IF(cDepto=0,"",IF(cMed&gt;0,SUMIFS(rMed,rDepto,BM10),COUNTIFS(rDepto,BM10)))</f>
        <v>128977510</v>
      </c>
      <c r="BO10">
        <f>IF(BN10="","",COUNTIF(BN$3:BN$35,"&gt;"&amp;BN10)+COUNTIF(BN$3:BN10,BN10))</f>
        <v>7</v>
      </c>
      <c r="BX10">
        <f>IF(OR(cMed=0,cMed2=0,8&gt;nFilas),NA(),IF(AND(ISNUMBER(INDEX(rMed2,8)),ISNUMBER(INDEX(rMed,8))),INDEX(rMed2,8),NA()))</f>
        <v>4</v>
      </c>
      <c r="BY10">
        <f>IF(OR(cMed=0,cMed2=0,8&gt;nFilas),NA(),IF(AND(ISNUMBER(INDEX(rMed2,8)),ISNUMBER(INDEX(rMed,8))),INDEX(rMed,8),NA()))</f>
        <v>824000</v>
      </c>
      <c r="CA10" t="inlineStr">
        <is>
          <t>Margen total</t>
        </is>
      </c>
      <c r="CB10">
        <f>IF(OR(cCosto=0,cMed=0),"",IFERROR((SUM(rMed)-SUM(rCosto))/SUM(rMed),""))</f>
        <v>0.348923390301532</v>
      </c>
    </row>
    <row r="11">
      <c r="A11" t="n">
        <v>9</v>
      </c>
      <c r="B11" t="str">
        <f t="array" ref="B11">IF(cCat1=0,"",IFERROR(INDEX(rCat1,MATCH(0,COUNTIF(B$2:B10,rCat1&amp;"")+(rCat1&amp;""=""),0))&amp;"",""))</f>
        <v>Neiva</v>
      </c>
      <c r="C11" s="93">
        <f>IF(B11="","",IF(cMed&gt;0,SUMIFS(rMed,rCat1,B11),COUNTIFS(rCat1,B11)))</f>
        <v>48591155</v>
      </c>
      <c r="D11">
        <f>IF(B11="","",COUNTIF(C$3:C$42,"&gt;"&amp;C11)+COUNTIF(C$3:C11,C11))</f>
        <v>10</v>
      </c>
      <c r="E11" t="n">
        <v>9</v>
      </c>
      <c r="F11" t="str">
        <f>IFERROR(INDEX(B$3:B$42,MATCH(E11,D$3:D$42,0)),"")</f>
        <v>Pasto</v>
      </c>
      <c r="G11" s="93">
        <f>IFERROR(INDEX(C$3:C$42,MATCH(E11,D$3:D$42,0)),"")</f>
        <v>68536175</v>
      </c>
      <c r="H11" s="94">
        <f>IF(G11="","",IFERROR(G11/total,""))</f>
        <v>0.0341589169677278</v>
      </c>
      <c r="J11" t="n">
        <v>9</v>
      </c>
      <c r="K11" t="str">
        <f t="array" ref="K11">IF(cCat2=0,"",IFERROR(INDEX(rCat2,MATCH(0,COUNTIF(K$2:K10,rCat2&amp;"")+(rCat2&amp;""=""),0))&amp;"",""))</f>
        <v/>
      </c>
      <c r="L11" s="93" t="str">
        <f>IF(K11="","",IF(cMed&gt;0,SUMIFS(rMed,rCat2,K11),COUNTIFS(rCat2,K11)))</f>
        <v/>
      </c>
      <c r="M11" t="str">
        <f>IF(K11="","",COUNTIF(L$3:L$42,"&gt;"&amp;L11)+COUNTIF(L$3:L11,L11))</f>
        <v/>
      </c>
      <c r="N11" t="n">
        <v>9</v>
      </c>
      <c r="O11" t="str">
        <f>IFERROR(INDEX(K$3:K$42,MATCH(N11,M$3:M$42,0)),"")</f>
        <v/>
      </c>
      <c r="P11" s="93" t="str">
        <f>IFERROR(INDEX(L$3:L$42,MATCH(N11,M$3:M$42,0)),"")</f>
        <v/>
      </c>
      <c r="Q11" s="94" t="str">
        <f>IF(P11="","",IFERROR(P11/total,""))</f>
        <v/>
      </c>
      <c r="S11" t="n">
        <v>9</v>
      </c>
      <c r="T11" t="str">
        <f t="array" ref="T11">IF(cEtapa=0,"",IFERROR(INDEX(rEtapa,MATCH(0,COUNTIF(T$2:T10,rEtapa&amp;"")+(rEtapa&amp;""=""),0))&amp;"",""))</f>
        <v/>
      </c>
      <c r="U11" s="93" t="str">
        <f>IF(T11="","",COUNTIFS(rEtapa,T11))</f>
        <v/>
      </c>
      <c r="V11" t="str">
        <f>IF(T11="","",COUNTIF(U$3:U$17,"&gt;"&amp;U11)+COUNTIF(U$3:U11,U11))</f>
        <v/>
      </c>
      <c r="W11" t="n">
        <v>9</v>
      </c>
      <c r="X11" t="str">
        <f>IFERROR(INDEX(T$3:T$17,MATCH(W11,V$3:V$17,0)),"")</f>
        <v/>
      </c>
      <c r="Y11" s="93" t="str">
        <f>IFERROR(INDEX(U$3:U$17,MATCH(W11,V$3:V$17,0)),"")</f>
        <v/>
      </c>
      <c r="Z11" s="94" t="str">
        <f>IF(Y11="","",IFERROR(Y11/SUM(U$3:U$17),""))</f>
        <v/>
      </c>
      <c r="AB11" s="92">
        <f>IF(cFecha=0,"",IF(CHOOSE(gIdx,tBase+8,tBase+56,DATE(YEAR(tBase),MONTH(tBase)+8,1),DATE(YEAR(tBase),MONTH(tBase)+24,1),DATE(YEAR(tBase)+8,1,1))&gt;fMax,"",CHOOSE(gIdx,tBase+8,tBase+56,DATE(YEAR(tBase),MONTH(tBase)+8,1),DATE(YEAR(tBase),MONTH(tBase)+24,1),DATE(YEAR(tBase)+8,1,1))))</f>
        <v>45627.0</v>
      </c>
      <c r="AC11" s="92">
        <f>IF(AB11="","",CHOOSE(gIdx,AB11+1,AB11+7,DATE(YEAR(AB11),MONTH(AB11)+1,1),DATE(YEAR(AB11),MONTH(AB11)+3,1),DATE(YEAR(AB11)+1,1,1)))</f>
        <v>45658.0</v>
      </c>
      <c r="AD11" t="str">
        <f>IF(AB11="","",CHOOSE(MONTH(AB11),"Ene","Feb","Mar","Abr","May","Jun","Jul","Ago","Sep","Oct","Nov","Dic")&amp;" "&amp;RIGHT(YEAR(AB11),2))</f>
        <v>Dic 24</v>
      </c>
      <c r="AE11">
        <f>IF(AB11="",NA(),IF(cMed&gt;0,SUMIFS(rMed,rFecha,"&gt;="&amp;AB11,rFecha,"&lt;"&amp;AC11),COUNTIFS(rFecha,"&gt;="&amp;AB11,rFecha,"&lt;"&amp;AC11)))</f>
        <v>110915555</v>
      </c>
      <c r="AF11">
        <f>IF(AB11="",NA(),AB11)</f>
        <v>45627.0</v>
      </c>
      <c r="AJ11">
        <f>IF(cFecha=0,"",DATE(YEAR(fMax),MONTH(fMax)-12+9,1))</f>
        <v>45809.0</v>
      </c>
      <c r="AK11">
        <f>IF(AJ11="","",DATE(YEAR(AJ11),MONTH(AJ11)+1,1))</f>
        <v>45839.0</v>
      </c>
      <c r="AL11" t="str">
        <f>IF(AJ11="","",CHOOSE(MONTH(AJ11),"Ene","Feb","Mar","Abr","May","Jun","Jul","Ago","Sep","Oct","Nov","Dic")&amp;" "&amp;RIGHT(YEAR(AJ11),2))</f>
        <v>Jun 25</v>
      </c>
      <c r="AM11">
        <f>IF(OR($AJ11="",AM$2=""),0,IF(cCat2&gt;0,IF(cMed&gt;0,SUMIFS(rMed,rFecha,"&gt;="&amp;$AJ11,rFecha,"&lt;"&amp;$AK11,rCat2,AM$2),COUNTIFS(rFecha,"&gt;="&amp;$AJ11,rFecha,"&lt;"&amp;$AK11,rCat2,AM$2)),IF(cMed&gt;0,SUMIFS(rMed,rFecha,"&gt;="&amp;$AJ11,rFecha,"&lt;"&amp;$AK11,rCat1,AM$2),COUNTIFS(rFecha,"&gt;="&amp;$AJ11,rFecha,"&lt;"&amp;$AK11,rCat1,AM$2))))</f>
        <v>74758185</v>
      </c>
      <c r="AN11">
        <f>IF(OR($AJ11="",AN$2=""),0,IF(cCat2&gt;0,IF(cMed&gt;0,SUMIFS(rMed,rFecha,"&gt;="&amp;$AJ11,rFecha,"&lt;"&amp;$AK11,rCat2,AN$2),COUNTIFS(rFecha,"&gt;="&amp;$AJ11,rFecha,"&lt;"&amp;$AK11,rCat2,AN$2)),IF(cMed&gt;0,SUMIFS(rMed,rFecha,"&gt;="&amp;$AJ11,rFecha,"&lt;"&amp;$AK11,rCat1,AN$2),COUNTIFS(rFecha,"&gt;="&amp;$AJ11,rFecha,"&lt;"&amp;$AK11,rCat1,AN$2))))</f>
        <v>14880630</v>
      </c>
      <c r="AO11">
        <f>IF(OR($AJ11="",AO$2=""),0,IF(cCat2&gt;0,IF(cMed&gt;0,SUMIFS(rMed,rFecha,"&gt;="&amp;$AJ11,rFecha,"&lt;"&amp;$AK11,rCat2,AO$2),COUNTIFS(rFecha,"&gt;="&amp;$AJ11,rFecha,"&lt;"&amp;$AK11,rCat2,AO$2)),IF(cMed&gt;0,SUMIFS(rMed,rFecha,"&gt;="&amp;$AJ11,rFecha,"&lt;"&amp;$AK11,rCat1,AO$2),COUNTIFS(rFecha,"&gt;="&amp;$AJ11,rFecha,"&lt;"&amp;$AK11,rCat1,AO$2))))</f>
        <v>14689485</v>
      </c>
      <c r="AP11">
        <f>IF(OR($AJ11="",AP$2=""),0,IF(cCat2&gt;0,IF(cMed&gt;0,SUMIFS(rMed,rFecha,"&gt;="&amp;$AJ11,rFecha,"&lt;"&amp;$AK11,rCat2,AP$2),COUNTIFS(rFecha,"&gt;="&amp;$AJ11,rFecha,"&lt;"&amp;$AK11,rCat2,AP$2)),IF(cMed&gt;0,SUMIFS(rMed,rFecha,"&gt;="&amp;$AJ11,rFecha,"&lt;"&amp;$AK11,rCat1,AP$2),COUNTIFS(rFecha,"&gt;="&amp;$AJ11,rFecha,"&lt;"&amp;$AK11,rCat1,AP$2))))</f>
        <v>7871775</v>
      </c>
      <c r="AQ11">
        <f>MAX(0,AR11-SUM(AM11:AP11))</f>
        <v>10978955</v>
      </c>
      <c r="AR11">
        <f>IF(AJ11="",0,IF(cMed&gt;0,SUMIFS(rMed,rFecha,"&gt;="&amp;$AJ11,rFecha,"&lt;"&amp;$AK11),COUNTIFS(rFecha,"&gt;="&amp;$AJ11,rFecha,"&lt;"&amp;$AK11)))</f>
        <v>123179030</v>
      </c>
      <c r="AT11" t="str">
        <f>F11</f>
        <v>Pasto</v>
      </c>
      <c r="AU11">
        <f>IF(OR($AT11="",AU$1=""),"",IF(cMed&gt;0,SUMIFS(rMed,rCat1,$AT11,rFecha,"&gt;="&amp;AU$1,rFecha,"&lt;"&amp;DATE(YEAR(AU$1),MONTH(AU$1)+1,1)),COUNTIFS(rCat1,$AT11,rFecha,"&gt;="&amp;AU$1,rFecha,"&lt;"&amp;DATE(YEAR(AU$1),MONTH(AU$1)+1,1))))</f>
        <v>3468090</v>
      </c>
      <c r="AV11">
        <f>IF(OR($AT11="",AV$1=""),"",IF(cMed&gt;0,SUMIFS(rMed,rCat1,$AT11,rFecha,"&gt;="&amp;AV$1,rFecha,"&lt;"&amp;DATE(YEAR(AV$1),MONTH(AV$1)+1,1)),COUNTIFS(rCat1,$AT11,rFecha,"&gt;="&amp;AV$1,rFecha,"&lt;"&amp;DATE(YEAR(AV$1),MONTH(AV$1)+1,1))))</f>
        <v>6147200</v>
      </c>
      <c r="AW11">
        <f>IF(OR($AT11="",AW$1=""),"",IF(cMed&gt;0,SUMIFS(rMed,rCat1,$AT11,rFecha,"&gt;="&amp;AW$1,rFecha,"&lt;"&amp;DATE(YEAR(AW$1),MONTH(AW$1)+1,1)),COUNTIFS(rCat1,$AT11,rFecha,"&gt;="&amp;AW$1,rFecha,"&lt;"&amp;DATE(YEAR(AW$1),MONTH(AW$1)+1,1))))</f>
        <v>5519700</v>
      </c>
      <c r="AX11">
        <f>IF(OR($AT11="",AX$1=""),"",IF(cMed&gt;0,SUMIFS(rMed,rCat1,$AT11,rFecha,"&gt;="&amp;AX$1,rFecha,"&lt;"&amp;DATE(YEAR(AX$1),MONTH(AX$1)+1,1)),COUNTIFS(rCat1,$AT11,rFecha,"&gt;="&amp;AX$1,rFecha,"&lt;"&amp;DATE(YEAR(AX$1),MONTH(AX$1)+1,1))))</f>
        <v>4104500</v>
      </c>
      <c r="AY11">
        <f>IF(OR($AT11="",AY$1=""),"",IF(cMed&gt;0,SUMIFS(rMed,rCat1,$AT11,rFecha,"&gt;="&amp;AY$1,rFecha,"&lt;"&amp;DATE(YEAR(AY$1),MONTH(AY$1)+1,1)),COUNTIFS(rCat1,$AT11,rFecha,"&gt;="&amp;AY$1,rFecha,"&lt;"&amp;DATE(YEAR(AY$1),MONTH(AY$1)+1,1))))</f>
        <v>1007170</v>
      </c>
      <c r="AZ11">
        <f>IF(OR($AT11="",AZ$1=""),"",IF(cMed&gt;0,SUMIFS(rMed,rCat1,$AT11,rFecha,"&gt;="&amp;AZ$1,rFecha,"&lt;"&amp;DATE(YEAR(AZ$1),MONTH(AZ$1)+1,1)),COUNTIFS(rCat1,$AT11,rFecha,"&gt;="&amp;AZ$1,rFecha,"&lt;"&amp;DATE(YEAR(AZ$1),MONTH(AZ$1)+1,1))))</f>
        <v>6914160</v>
      </c>
      <c r="BA11">
        <f>IF(AT11="","",SUM(AU11:AZ11))</f>
        <v>27160820</v>
      </c>
      <c r="BC11" t="str">
        <f>IF(conHora,RIGHT("0"&amp;8,2)&amp;":00",IF(9&lt;=12,CHOOSE(9,"Ene","Feb","Mar","Abr","May","Jun","Jul","Ago","Sep","Oct","Nov","Dic"),""))</f>
        <v>08:00</v>
      </c>
      <c r="BD11">
        <f t="array" ref="BD11">IF(OR(cFecha=0,AND(NOT(conHora),9&gt;12)),"",SUMPRODUCT(IFERROR(ISNUMBER(rFecha)*(WEEKDAY(rFecha,2)=1)*IF(conHora,HOUR(rFecha)=8,MONTH(rFecha)=9)*IF(cMed&gt;0,IF(ISNUMBER(rMed),rMed,0),1),0)))</f>
        <v>5837900</v>
      </c>
      <c r="BE11">
        <f t="array" ref="BE11">IF(OR(cFecha=0,AND(NOT(conHora),9&gt;12)),"",SUMPRODUCT(IFERROR(ISNUMBER(rFecha)*(WEEKDAY(rFecha,2)=2)*IF(conHora,HOUR(rFecha)=8,MONTH(rFecha)=9)*IF(cMed&gt;0,IF(ISNUMBER(rMed),rMed,0),1),0)))</f>
        <v>3926640</v>
      </c>
      <c r="BF11">
        <f t="array" ref="BF11">IF(OR(cFecha=0,AND(NOT(conHora),9&gt;12)),"",SUMPRODUCT(IFERROR(ISNUMBER(rFecha)*(WEEKDAY(rFecha,2)=3)*IF(conHora,HOUR(rFecha)=8,MONTH(rFecha)=9)*IF(cMed&gt;0,IF(ISNUMBER(rMed),rMed,0),1),0)))</f>
        <v>5628680</v>
      </c>
      <c r="BG11">
        <f t="array" ref="BG11">IF(OR(cFecha=0,AND(NOT(conHora),9&gt;12)),"",SUMPRODUCT(IFERROR(ISNUMBER(rFecha)*(WEEKDAY(rFecha,2)=4)*IF(conHora,HOUR(rFecha)=8,MONTH(rFecha)=9)*IF(cMed&gt;0,IF(ISNUMBER(rMed),rMed,0),1),0)))</f>
        <v>17055300</v>
      </c>
      <c r="BH11">
        <f t="array" ref="BH11">IF(OR(cFecha=0,AND(NOT(conHora),9&gt;12)),"",SUMPRODUCT(IFERROR(ISNUMBER(rFecha)*(WEEKDAY(rFecha,2)=5)*IF(conHora,HOUR(rFecha)=8,MONTH(rFecha)=9)*IF(cMed&gt;0,IF(ISNUMBER(rMed),rMed,0),1),0)))</f>
        <v>19051475</v>
      </c>
      <c r="BI11">
        <f t="array" ref="BI11">IF(OR(cFecha=0,AND(NOT(conHora),9&gt;12)),"",SUMPRODUCT(IFERROR(ISNUMBER(rFecha)*(WEEKDAY(rFecha,2)=6)*IF(conHora,HOUR(rFecha)=8,MONTH(rFecha)=9)*IF(cMed&gt;0,IF(ISNUMBER(rMed),rMed,0),1),0)))</f>
        <v>18744080</v>
      </c>
      <c r="BJ11">
        <f t="array" ref="BJ11">IF(OR(cFecha=0,AND(NOT(conHora),9&gt;12)),"",SUMPRODUCT(IFERROR(ISNUMBER(rFecha)*(WEEKDAY(rFecha,2)=7)*IF(conHora,HOUR(rFecha)=8,MONTH(rFecha)=9)*IF(cMed&gt;0,IF(ISNUMBER(rMed),rMed,0),1),0)))</f>
        <v>11852665</v>
      </c>
      <c r="BL11" t="inlineStr">
        <is>
          <t>Norte de Santander</t>
        </is>
      </c>
      <c r="BM11" t="inlineStr">
        <is>
          <t>Norte de Santander</t>
        </is>
      </c>
      <c r="BN11">
        <f>IF(cDepto=0,"",IF(cMed&gt;0,SUMIFS(rMed,rDepto,BM11),COUNTIFS(rDepto,BM11)))</f>
        <v>0</v>
      </c>
      <c r="BO11">
        <f>IF(BN11="","",COUNTIF(BN$3:BN$35,"&gt;"&amp;BN11)+COUNTIF(BN$3:BN11,BN11))</f>
        <v>17</v>
      </c>
      <c r="BX11">
        <f>IF(OR(cMed=0,cMed2=0,9&gt;nFilas),NA(),IF(AND(ISNUMBER(INDEX(rMed2,9)),ISNUMBER(INDEX(rMed,9))),INDEX(rMed2,9),NA()))</f>
        <v>4</v>
      </c>
      <c r="BY11">
        <f>IF(OR(cMed=0,cMed2=0,9&gt;nFilas),NA(),IF(AND(ISNUMBER(INDEX(rMed2,9)),ISNUMBER(INDEX(rMed,9))),INDEX(rMed,9),NA()))</f>
        <v>751600</v>
      </c>
      <c r="CA11" t="inlineStr">
        <is>
          <t>Prom2 total</t>
        </is>
      </c>
      <c r="CB11">
        <f>IF(cMed2=0,"",IFERROR(AVERAGE(rMed2),""))</f>
        <v>2.99</v>
      </c>
    </row>
    <row r="12">
      <c r="A12" t="n">
        <v>10</v>
      </c>
      <c r="B12" t="str">
        <f t="array" ref="B12">IF(cCat1=0,"",IFERROR(INDEX(rCat1,MATCH(0,COUNTIF(B$2:B11,rCat1&amp;"")+(rCat1&amp;""=""),0))&amp;"",""))</f>
        <v>Pereira</v>
      </c>
      <c r="C12" s="93">
        <f>IF(B12="","",IF(cMed&gt;0,SUMIFS(rMed,rCat1,B12),COUNTIFS(rCat1,B12)))</f>
        <v>135285040</v>
      </c>
      <c r="D12">
        <f>IF(B12="","",COUNTIF(C$3:C$42,"&gt;"&amp;C12)+COUNTIF(C$3:C12,C12))</f>
        <v>6</v>
      </c>
      <c r="E12" t="n">
        <v>10</v>
      </c>
      <c r="F12" t="str">
        <f>IFERROR(INDEX(B$3:B$42,MATCH(E12,D$3:D$42,0)),"")</f>
        <v>Neiva</v>
      </c>
      <c r="G12" s="93">
        <f>IFERROR(INDEX(C$3:C$42,MATCH(E12,D$3:D$42,0)),"")</f>
        <v>48591155</v>
      </c>
      <c r="H12" s="94">
        <f>IF(G12="","",IFERROR(G12/total,""))</f>
        <v>0.0242181771744775</v>
      </c>
      <c r="J12" t="n">
        <v>10</v>
      </c>
      <c r="K12" t="str">
        <f t="array" ref="K12">IF(cCat2=0,"",IFERROR(INDEX(rCat2,MATCH(0,COUNTIF(K$2:K11,rCat2&amp;"")+(rCat2&amp;""=""),0))&amp;"",""))</f>
        <v/>
      </c>
      <c r="L12" s="93" t="str">
        <f>IF(K12="","",IF(cMed&gt;0,SUMIFS(rMed,rCat2,K12),COUNTIFS(rCat2,K12)))</f>
        <v/>
      </c>
      <c r="M12" t="str">
        <f>IF(K12="","",COUNTIF(L$3:L$42,"&gt;"&amp;L12)+COUNTIF(L$3:L12,L12))</f>
        <v/>
      </c>
      <c r="N12" t="n">
        <v>10</v>
      </c>
      <c r="O12" t="str">
        <f>IFERROR(INDEX(K$3:K$42,MATCH(N12,M$3:M$42,0)),"")</f>
        <v/>
      </c>
      <c r="P12" s="93" t="str">
        <f>IFERROR(INDEX(L$3:L$42,MATCH(N12,M$3:M$42,0)),"")</f>
        <v/>
      </c>
      <c r="Q12" s="94" t="str">
        <f>IF(P12="","",IFERROR(P12/total,""))</f>
        <v/>
      </c>
      <c r="S12" t="n">
        <v>10</v>
      </c>
      <c r="T12" t="str">
        <f t="array" ref="T12">IF(cEtapa=0,"",IFERROR(INDEX(rEtapa,MATCH(0,COUNTIF(T$2:T11,rEtapa&amp;"")+(rEtapa&amp;""=""),0))&amp;"",""))</f>
        <v/>
      </c>
      <c r="U12" s="93" t="str">
        <f>IF(T12="","",COUNTIFS(rEtapa,T12))</f>
        <v/>
      </c>
      <c r="V12" t="str">
        <f>IF(T12="","",COUNTIF(U$3:U$17,"&gt;"&amp;U12)+COUNTIF(U$3:U12,U12))</f>
        <v/>
      </c>
      <c r="W12" t="n">
        <v>10</v>
      </c>
      <c r="X12" t="str">
        <f>IFERROR(INDEX(T$3:T$17,MATCH(W12,V$3:V$17,0)),"")</f>
        <v/>
      </c>
      <c r="Y12" s="93" t="str">
        <f>IFERROR(INDEX(U$3:U$17,MATCH(W12,V$3:V$17,0)),"")</f>
        <v/>
      </c>
      <c r="Z12" s="94" t="str">
        <f>IF(Y12="","",IFERROR(Y12/SUM(U$3:U$17),""))</f>
        <v/>
      </c>
      <c r="AB12" s="92">
        <f>IF(cFecha=0,"",IF(CHOOSE(gIdx,tBase+9,tBase+63,DATE(YEAR(tBase),MONTH(tBase)+9,1),DATE(YEAR(tBase),MONTH(tBase)+27,1),DATE(YEAR(tBase)+9,1,1))&gt;fMax,"",CHOOSE(gIdx,tBase+9,tBase+63,DATE(YEAR(tBase),MONTH(tBase)+9,1),DATE(YEAR(tBase),MONTH(tBase)+27,1),DATE(YEAR(tBase)+9,1,1))))</f>
        <v>45658.0</v>
      </c>
      <c r="AC12" s="92">
        <f>IF(AB12="","",CHOOSE(gIdx,AB12+1,AB12+7,DATE(YEAR(AB12),MONTH(AB12)+1,1),DATE(YEAR(AB12),MONTH(AB12)+3,1),DATE(YEAR(AB12)+1,1,1)))</f>
        <v>45689.0</v>
      </c>
      <c r="AD12" t="str">
        <f>IF(AB12="","",CHOOSE(MONTH(AB12),"Ene","Feb","Mar","Abr","May","Jun","Jul","Ago","Sep","Oct","Nov","Dic")&amp;" "&amp;RIGHT(YEAR(AB12),2))</f>
        <v>Ene 25</v>
      </c>
      <c r="AE12">
        <f>IF(AB12="",NA(),IF(cMed&gt;0,SUMIFS(rMed,rFecha,"&gt;="&amp;AB12,rFecha,"&lt;"&amp;AC12),COUNTIFS(rFecha,"&gt;="&amp;AB12,rFecha,"&lt;"&amp;AC12)))</f>
        <v>104310815</v>
      </c>
      <c r="AF12">
        <f>IF(AB12="",NA(),AB12)</f>
        <v>45658.0</v>
      </c>
      <c r="AJ12">
        <f>IF(cFecha=0,"",DATE(YEAR(fMax),MONTH(fMax)-12+10,1))</f>
        <v>45839.0</v>
      </c>
      <c r="AK12">
        <f>IF(AJ12="","",DATE(YEAR(AJ12),MONTH(AJ12)+1,1))</f>
        <v>45870.0</v>
      </c>
      <c r="AL12" t="str">
        <f>IF(AJ12="","",CHOOSE(MONTH(AJ12),"Ene","Feb","Mar","Abr","May","Jun","Jul","Ago","Sep","Oct","Nov","Dic")&amp;" "&amp;RIGHT(YEAR(AJ12),2))</f>
        <v>Jul 25</v>
      </c>
      <c r="AM12">
        <f>IF(OR($AJ12="",AM$2=""),0,IF(cCat2&gt;0,IF(cMed&gt;0,SUMIFS(rMed,rFecha,"&gt;="&amp;$AJ12,rFecha,"&lt;"&amp;$AK12,rCat2,AM$2),COUNTIFS(rFecha,"&gt;="&amp;$AJ12,rFecha,"&lt;"&amp;$AK12,rCat2,AM$2)),IF(cMed&gt;0,SUMIFS(rMed,rFecha,"&gt;="&amp;$AJ12,rFecha,"&lt;"&amp;$AK12,rCat1,AM$2),COUNTIFS(rFecha,"&gt;="&amp;$AJ12,rFecha,"&lt;"&amp;$AK12,rCat1,AM$2))))</f>
        <v>70359925</v>
      </c>
      <c r="AN12">
        <f>IF(OR($AJ12="",AN$2=""),0,IF(cCat2&gt;0,IF(cMed&gt;0,SUMIFS(rMed,rFecha,"&gt;="&amp;$AJ12,rFecha,"&lt;"&amp;$AK12,rCat2,AN$2),COUNTIFS(rFecha,"&gt;="&amp;$AJ12,rFecha,"&lt;"&amp;$AK12,rCat2,AN$2)),IF(cMed&gt;0,SUMIFS(rMed,rFecha,"&gt;="&amp;$AJ12,rFecha,"&lt;"&amp;$AK12,rCat1,AN$2),COUNTIFS(rFecha,"&gt;="&amp;$AJ12,rFecha,"&lt;"&amp;$AK12,rCat1,AN$2))))</f>
        <v>16618585</v>
      </c>
      <c r="AO12">
        <f>IF(OR($AJ12="",AO$2=""),0,IF(cCat2&gt;0,IF(cMed&gt;0,SUMIFS(rMed,rFecha,"&gt;="&amp;$AJ12,rFecha,"&lt;"&amp;$AK12,rCat2,AO$2),COUNTIFS(rFecha,"&gt;="&amp;$AJ12,rFecha,"&lt;"&amp;$AK12,rCat2,AO$2)),IF(cMed&gt;0,SUMIFS(rMed,rFecha,"&gt;="&amp;$AJ12,rFecha,"&lt;"&amp;$AK12,rCat1,AO$2),COUNTIFS(rFecha,"&gt;="&amp;$AJ12,rFecha,"&lt;"&amp;$AK12,rCat1,AO$2))))</f>
        <v>13744000</v>
      </c>
      <c r="AP12">
        <f>IF(OR($AJ12="",AP$2=""),0,IF(cCat2&gt;0,IF(cMed&gt;0,SUMIFS(rMed,rFecha,"&gt;="&amp;$AJ12,rFecha,"&lt;"&amp;$AK12,rCat2,AP$2),COUNTIFS(rFecha,"&gt;="&amp;$AJ12,rFecha,"&lt;"&amp;$AK12,rCat2,AP$2)),IF(cMed&gt;0,SUMIFS(rMed,rFecha,"&gt;="&amp;$AJ12,rFecha,"&lt;"&amp;$AK12,rCat1,AP$2),COUNTIFS(rFecha,"&gt;="&amp;$AJ12,rFecha,"&lt;"&amp;$AK12,rCat1,AP$2))))</f>
        <v>8274335</v>
      </c>
      <c r="AQ12">
        <f>MAX(0,AR12-SUM(AM12:AP12))</f>
        <v>9524630</v>
      </c>
      <c r="AR12">
        <f>IF(AJ12="",0,IF(cMed&gt;0,SUMIFS(rMed,rFecha,"&gt;="&amp;$AJ12,rFecha,"&lt;"&amp;$AK12),COUNTIFS(rFecha,"&gt;="&amp;$AJ12,rFecha,"&lt;"&amp;$AK12)))</f>
        <v>118521475</v>
      </c>
      <c r="AT12" t="str">
        <f>F12</f>
        <v>Neiva</v>
      </c>
      <c r="AU12">
        <f>IF(OR($AT12="",AU$1=""),"",IF(cMed&gt;0,SUMIFS(rMed,rCat1,$AT12,rFecha,"&gt;="&amp;AU$1,rFecha,"&lt;"&amp;DATE(YEAR(AU$1),MONTH(AU$1)+1,1)),COUNTIFS(rCat1,$AT12,rFecha,"&gt;="&amp;AU$1,rFecha,"&lt;"&amp;DATE(YEAR(AU$1),MONTH(AU$1)+1,1))))</f>
        <v>432810</v>
      </c>
      <c r="AV12">
        <f>IF(OR($AT12="",AV$1=""),"",IF(cMed&gt;0,SUMIFS(rMed,rCat1,$AT12,rFecha,"&gt;="&amp;AV$1,rFecha,"&lt;"&amp;DATE(YEAR(AV$1),MONTH(AV$1)+1,1)),COUNTIFS(rCat1,$AT12,rFecha,"&gt;="&amp;AV$1,rFecha,"&lt;"&amp;DATE(YEAR(AV$1),MONTH(AV$1)+1,1))))</f>
        <v>5456970</v>
      </c>
      <c r="AW12">
        <f>IF(OR($AT12="",AW$1=""),"",IF(cMed&gt;0,SUMIFS(rMed,rCat1,$AT12,rFecha,"&gt;="&amp;AW$1,rFecha,"&lt;"&amp;DATE(YEAR(AW$1),MONTH(AW$1)+1,1)),COUNTIFS(rCat1,$AT12,rFecha,"&gt;="&amp;AW$1,rFecha,"&lt;"&amp;DATE(YEAR(AW$1),MONTH(AW$1)+1,1))))</f>
        <v>2449625</v>
      </c>
      <c r="AX12">
        <f>IF(OR($AT12="",AX$1=""),"",IF(cMed&gt;0,SUMIFS(rMed,rCat1,$AT12,rFecha,"&gt;="&amp;AX$1,rFecha,"&lt;"&amp;DATE(YEAR(AX$1),MONTH(AX$1)+1,1)),COUNTIFS(rCat1,$AT12,rFecha,"&gt;="&amp;AX$1,rFecha,"&lt;"&amp;DATE(YEAR(AX$1),MONTH(AX$1)+1,1))))</f>
        <v>2408580</v>
      </c>
      <c r="AY12">
        <f>IF(OR($AT12="",AY$1=""),"",IF(cMed&gt;0,SUMIFS(rMed,rCat1,$AT12,rFecha,"&gt;="&amp;AY$1,rFecha,"&lt;"&amp;DATE(YEAR(AY$1),MONTH(AY$1)+1,1)),COUNTIFS(rCat1,$AT12,rFecha,"&gt;="&amp;AY$1,rFecha,"&lt;"&amp;DATE(YEAR(AY$1),MONTH(AY$1)+1,1))))</f>
        <v>547495</v>
      </c>
      <c r="AZ12">
        <f>IF(OR($AT12="",AZ$1=""),"",IF(cMed&gt;0,SUMIFS(rMed,rCat1,$AT12,rFecha,"&gt;="&amp;AZ$1,rFecha,"&lt;"&amp;DATE(YEAR(AZ$1),MONTH(AZ$1)+1,1)),COUNTIFS(rCat1,$AT12,rFecha,"&gt;="&amp;AZ$1,rFecha,"&lt;"&amp;DATE(YEAR(AZ$1),MONTH(AZ$1)+1,1))))</f>
        <v>1162800</v>
      </c>
      <c r="BA12">
        <f>IF(AT12="","",SUM(AU12:AZ12))</f>
        <v>12458280</v>
      </c>
      <c r="BC12" t="str">
        <f>IF(conHora,RIGHT("0"&amp;9,2)&amp;":00",IF(10&lt;=12,CHOOSE(10,"Ene","Feb","Mar","Abr","May","Jun","Jul","Ago","Sep","Oct","Nov","Dic"),""))</f>
        <v>09:00</v>
      </c>
      <c r="BD12">
        <f t="array" ref="BD12">IF(OR(cFecha=0,AND(NOT(conHora),10&gt;12)),"",SUMPRODUCT(IFERROR(ISNUMBER(rFecha)*(WEEKDAY(rFecha,2)=1)*IF(conHora,HOUR(rFecha)=9,MONTH(rFecha)=10)*IF(cMed&gt;0,IF(ISNUMBER(rMed),rMed,0),1),0)))</f>
        <v>24648480</v>
      </c>
      <c r="BE12">
        <f t="array" ref="BE12">IF(OR(cFecha=0,AND(NOT(conHora),10&gt;12)),"",SUMPRODUCT(IFERROR(ISNUMBER(rFecha)*(WEEKDAY(rFecha,2)=2)*IF(conHora,HOUR(rFecha)=9,MONTH(rFecha)=10)*IF(cMed&gt;0,IF(ISNUMBER(rMed),rMed,0),1),0)))</f>
        <v>8029860</v>
      </c>
      <c r="BF12">
        <f t="array" ref="BF12">IF(OR(cFecha=0,AND(NOT(conHora),10&gt;12)),"",SUMPRODUCT(IFERROR(ISNUMBER(rFecha)*(WEEKDAY(rFecha,2)=3)*IF(conHora,HOUR(rFecha)=9,MONTH(rFecha)=10)*IF(cMed&gt;0,IF(ISNUMBER(rMed),rMed,0),1),0)))</f>
        <v>29334020</v>
      </c>
      <c r="BG12">
        <f t="array" ref="BG12">IF(OR(cFecha=0,AND(NOT(conHora),10&gt;12)),"",SUMPRODUCT(IFERROR(ISNUMBER(rFecha)*(WEEKDAY(rFecha,2)=4)*IF(conHora,HOUR(rFecha)=9,MONTH(rFecha)=10)*IF(cMed&gt;0,IF(ISNUMBER(rMed),rMed,0),1),0)))</f>
        <v>21157860</v>
      </c>
      <c r="BH12">
        <f t="array" ref="BH12">IF(OR(cFecha=0,AND(NOT(conHora),10&gt;12)),"",SUMPRODUCT(IFERROR(ISNUMBER(rFecha)*(WEEKDAY(rFecha,2)=5)*IF(conHora,HOUR(rFecha)=9,MONTH(rFecha)=10)*IF(cMed&gt;0,IF(ISNUMBER(rMed),rMed,0),1),0)))</f>
        <v>17739255</v>
      </c>
      <c r="BI12">
        <f t="array" ref="BI12">IF(OR(cFecha=0,AND(NOT(conHora),10&gt;12)),"",SUMPRODUCT(IFERROR(ISNUMBER(rFecha)*(WEEKDAY(rFecha,2)=6)*IF(conHora,HOUR(rFecha)=9,MONTH(rFecha)=10)*IF(cMed&gt;0,IF(ISNUMBER(rMed),rMed,0),1),0)))</f>
        <v>14905345</v>
      </c>
      <c r="BJ12">
        <f t="array" ref="BJ12">IF(OR(cFecha=0,AND(NOT(conHora),10&gt;12)),"",SUMPRODUCT(IFERROR(ISNUMBER(rFecha)*(WEEKDAY(rFecha,2)=7)*IF(conHora,HOUR(rFecha)=9,MONTH(rFecha)=10)*IF(cMed&gt;0,IF(ISNUMBER(rMed),rMed,0),1),0)))</f>
        <v>26239235</v>
      </c>
      <c r="BL12" t="inlineStr">
        <is>
          <t>Chocó</t>
        </is>
      </c>
      <c r="BM12" t="inlineStr">
        <is>
          <t>Choc?</t>
        </is>
      </c>
      <c r="BN12">
        <f>IF(cDepto=0,"",IF(cMed&gt;0,SUMIFS(rMed,rDepto,BM12),COUNTIFS(rDepto,BM12)))</f>
        <v>0</v>
      </c>
      <c r="BO12">
        <f>IF(BN12="","",COUNTIF(BN$3:BN$35,"&gt;"&amp;BN12)+COUNTIF(BN$3:BN12,BN12))</f>
        <v>18</v>
      </c>
      <c r="BX12">
        <f>IF(OR(cMed=0,cMed2=0,10&gt;nFilas),NA(),IF(AND(ISNUMBER(INDEX(rMed2,10)),ISNUMBER(INDEX(rMed,10))),INDEX(rMed2,10),NA()))</f>
        <v>4</v>
      </c>
      <c r="BY12">
        <f>IF(OR(cMed=0,cMed2=0,10&gt;nFilas),NA(),IF(AND(ISNUMBER(INDEX(rMed2,10)),ISNUMBER(INDEX(rMed,10))),INDEX(rMed,10),NA()))</f>
        <v>1074400</v>
      </c>
      <c r="CA12" t="inlineStr">
        <is>
          <t>Prom2 actual</t>
        </is>
      </c>
      <c r="CB12">
        <f>IF(OR(cMed2=0,cFecha=0),0,IFERROR(AVERAGEIFS(rMed2,rFecha,"&gt;="&amp;mIni,rFecha,"&lt;"&amp;DATE(YEAR(mIni),MONTH(mIni)+1,1)),0))</f>
        <v>3.05</v>
      </c>
    </row>
    <row r="13">
      <c r="A13" t="n">
        <v>11</v>
      </c>
      <c r="B13" t="str">
        <f t="array" ref="B13">IF(cCat1=0,"",IFERROR(INDEX(rCat1,MATCH(0,COUNTIF(B$2:B12,rCat1&amp;"")+(rCat1&amp;""=""),0))&amp;"",""))</f>
        <v/>
      </c>
      <c r="C13" s="93" t="str">
        <f>IF(B13="","",IF(cMed&gt;0,SUMIFS(rMed,rCat1,B13),COUNTIFS(rCat1,B13)))</f>
        <v/>
      </c>
      <c r="D13" t="str">
        <f>IF(B13="","",COUNTIF(C$3:C$42,"&gt;"&amp;C13)+COUNTIF(C$3:C13,C13))</f>
        <v/>
      </c>
      <c r="E13" t="n">
        <v>11</v>
      </c>
      <c r="F13" t="str">
        <f>IFERROR(INDEX(B$3:B$42,MATCH(E13,D$3:D$42,0)),"")</f>
        <v/>
      </c>
      <c r="G13" s="93" t="str">
        <f>IFERROR(INDEX(C$3:C$42,MATCH(E13,D$3:D$42,0)),"")</f>
        <v/>
      </c>
      <c r="H13" s="94" t="str">
        <f>IF(G13="","",IFERROR(G13/total,""))</f>
        <v/>
      </c>
      <c r="J13" t="n">
        <v>11</v>
      </c>
      <c r="K13" t="str">
        <f t="array" ref="K13">IF(cCat2=0,"",IFERROR(INDEX(rCat2,MATCH(0,COUNTIF(K$2:K12,rCat2&amp;"")+(rCat2&amp;""=""),0))&amp;"",""))</f>
        <v/>
      </c>
      <c r="L13" s="93" t="str">
        <f>IF(K13="","",IF(cMed&gt;0,SUMIFS(rMed,rCat2,K13),COUNTIFS(rCat2,K13)))</f>
        <v/>
      </c>
      <c r="M13" t="str">
        <f>IF(K13="","",COUNTIF(L$3:L$42,"&gt;"&amp;L13)+COUNTIF(L$3:L13,L13))</f>
        <v/>
      </c>
      <c r="N13" t="n">
        <v>11</v>
      </c>
      <c r="O13" t="str">
        <f>IFERROR(INDEX(K$3:K$42,MATCH(N13,M$3:M$42,0)),"")</f>
        <v/>
      </c>
      <c r="P13" s="93" t="str">
        <f>IFERROR(INDEX(L$3:L$42,MATCH(N13,M$3:M$42,0)),"")</f>
        <v/>
      </c>
      <c r="Q13" s="94" t="str">
        <f>IF(P13="","",IFERROR(P13/total,""))</f>
        <v/>
      </c>
      <c r="S13" t="n">
        <v>11</v>
      </c>
      <c r="T13" t="str">
        <f t="array" ref="T13">IF(cEtapa=0,"",IFERROR(INDEX(rEtapa,MATCH(0,COUNTIF(T$2:T12,rEtapa&amp;"")+(rEtapa&amp;""=""),0))&amp;"",""))</f>
        <v/>
      </c>
      <c r="U13" s="93" t="str">
        <f>IF(T13="","",COUNTIFS(rEtapa,T13))</f>
        <v/>
      </c>
      <c r="V13" t="str">
        <f>IF(T13="","",COUNTIF(U$3:U$17,"&gt;"&amp;U13)+COUNTIF(U$3:U13,U13))</f>
        <v/>
      </c>
      <c r="W13" t="n">
        <v>11</v>
      </c>
      <c r="X13" t="str">
        <f>IFERROR(INDEX(T$3:T$17,MATCH(W13,V$3:V$17,0)),"")</f>
        <v/>
      </c>
      <c r="Y13" s="93" t="str">
        <f>IFERROR(INDEX(U$3:U$17,MATCH(W13,V$3:V$17,0)),"")</f>
        <v/>
      </c>
      <c r="Z13" s="94" t="str">
        <f>IF(Y13="","",IFERROR(Y13/SUM(U$3:U$17),""))</f>
        <v/>
      </c>
      <c r="AB13" s="92">
        <f>IF(cFecha=0,"",IF(CHOOSE(gIdx,tBase+10,tBase+70,DATE(YEAR(tBase),MONTH(tBase)+10,1),DATE(YEAR(tBase),MONTH(tBase)+30,1),DATE(YEAR(tBase)+10,1,1))&gt;fMax,"",CHOOSE(gIdx,tBase+10,tBase+70,DATE(YEAR(tBase),MONTH(tBase)+10,1),DATE(YEAR(tBase),MONTH(tBase)+30,1),DATE(YEAR(tBase)+10,1,1))))</f>
        <v>45689.0</v>
      </c>
      <c r="AC13" s="92">
        <f>IF(AB13="","",CHOOSE(gIdx,AB13+1,AB13+7,DATE(YEAR(AB13),MONTH(AB13)+1,1),DATE(YEAR(AB13),MONTH(AB13)+3,1),DATE(YEAR(AB13)+1,1,1)))</f>
        <v>45717.0</v>
      </c>
      <c r="AD13" t="str">
        <f>IF(AB13="","",CHOOSE(MONTH(AB13),"Ene","Feb","Mar","Abr","May","Jun","Jul","Ago","Sep","Oct","Nov","Dic")&amp;" "&amp;RIGHT(YEAR(AB13),2))</f>
        <v>Feb 25</v>
      </c>
      <c r="AE13">
        <f>IF(AB13="",NA(),IF(cMed&gt;0,SUMIFS(rMed,rFecha,"&gt;="&amp;AB13,rFecha,"&lt;"&amp;AC13),COUNTIFS(rFecha,"&gt;="&amp;AB13,rFecha,"&lt;"&amp;AC13)))</f>
        <v>94189770</v>
      </c>
      <c r="AF13">
        <f>IF(AB13="",NA(),AB13)</f>
        <v>45689.0</v>
      </c>
      <c r="AJ13">
        <f>IF(cFecha=0,"",DATE(YEAR(fMax),MONTH(fMax)-12+11,1))</f>
        <v>45870.0</v>
      </c>
      <c r="AK13">
        <f>IF(AJ13="","",DATE(YEAR(AJ13),MONTH(AJ13)+1,1))</f>
        <v>45901.0</v>
      </c>
      <c r="AL13" t="str">
        <f>IF(AJ13="","",CHOOSE(MONTH(AJ13),"Ene","Feb","Mar","Abr","May","Jun","Jul","Ago","Sep","Oct","Nov","Dic")&amp;" "&amp;RIGHT(YEAR(AJ13),2))</f>
        <v>Ago 25</v>
      </c>
      <c r="AM13">
        <f>IF(OR($AJ13="",AM$2=""),0,IF(cCat2&gt;0,IF(cMed&gt;0,SUMIFS(rMed,rFecha,"&gt;="&amp;$AJ13,rFecha,"&lt;"&amp;$AK13,rCat2,AM$2),COUNTIFS(rFecha,"&gt;="&amp;$AJ13,rFecha,"&lt;"&amp;$AK13,rCat2,AM$2)),IF(cMed&gt;0,SUMIFS(rMed,rFecha,"&gt;="&amp;$AJ13,rFecha,"&lt;"&amp;$AK13,rCat1,AM$2),COUNTIFS(rFecha,"&gt;="&amp;$AJ13,rFecha,"&lt;"&amp;$AK13,rCat1,AM$2))))</f>
        <v>43851725</v>
      </c>
      <c r="AN13">
        <f>IF(OR($AJ13="",AN$2=""),0,IF(cCat2&gt;0,IF(cMed&gt;0,SUMIFS(rMed,rFecha,"&gt;="&amp;$AJ13,rFecha,"&lt;"&amp;$AK13,rCat2,AN$2),COUNTIFS(rFecha,"&gt;="&amp;$AJ13,rFecha,"&lt;"&amp;$AK13,rCat2,AN$2)),IF(cMed&gt;0,SUMIFS(rMed,rFecha,"&gt;="&amp;$AJ13,rFecha,"&lt;"&amp;$AK13,rCat1,AN$2),COUNTIFS(rFecha,"&gt;="&amp;$AJ13,rFecha,"&lt;"&amp;$AK13,rCat1,AN$2))))</f>
        <v>13620665</v>
      </c>
      <c r="AO13">
        <f>IF(OR($AJ13="",AO$2=""),0,IF(cCat2&gt;0,IF(cMed&gt;0,SUMIFS(rMed,rFecha,"&gt;="&amp;$AJ13,rFecha,"&lt;"&amp;$AK13,rCat2,AO$2),COUNTIFS(rFecha,"&gt;="&amp;$AJ13,rFecha,"&lt;"&amp;$AK13,rCat2,AO$2)),IF(cMed&gt;0,SUMIFS(rMed,rFecha,"&gt;="&amp;$AJ13,rFecha,"&lt;"&amp;$AK13,rCat1,AO$2),COUNTIFS(rFecha,"&gt;="&amp;$AJ13,rFecha,"&lt;"&amp;$AK13,rCat1,AO$2))))</f>
        <v>12700725</v>
      </c>
      <c r="AP13">
        <f>IF(OR($AJ13="",AP$2=""),0,IF(cCat2&gt;0,IF(cMed&gt;0,SUMIFS(rMed,rFecha,"&gt;="&amp;$AJ13,rFecha,"&lt;"&amp;$AK13,rCat2,AP$2),COUNTIFS(rFecha,"&gt;="&amp;$AJ13,rFecha,"&lt;"&amp;$AK13,rCat2,AP$2)),IF(cMed&gt;0,SUMIFS(rMed,rFecha,"&gt;="&amp;$AJ13,rFecha,"&lt;"&amp;$AK13,rCat1,AP$2),COUNTIFS(rFecha,"&gt;="&amp;$AJ13,rFecha,"&lt;"&amp;$AK13,rCat1,AP$2))))</f>
        <v>10124780</v>
      </c>
      <c r="AQ13">
        <f>MAX(0,AR13-SUM(AM13:AP13))</f>
        <v>8649530</v>
      </c>
      <c r="AR13">
        <f>IF(AJ13="",0,IF(cMed&gt;0,SUMIFS(rMed,rFecha,"&gt;="&amp;$AJ13,rFecha,"&lt;"&amp;$AK13),COUNTIFS(rFecha,"&gt;="&amp;$AJ13,rFecha,"&lt;"&amp;$AK13)))</f>
        <v>88947425</v>
      </c>
      <c r="BC13" t="str">
        <f>IF(conHora,RIGHT("0"&amp;10,2)&amp;":00",IF(11&lt;=12,CHOOSE(11,"Ene","Feb","Mar","Abr","May","Jun","Jul","Ago","Sep","Oct","Nov","Dic"),""))</f>
        <v>10:00</v>
      </c>
      <c r="BD13">
        <f t="array" ref="BD13">IF(OR(cFecha=0,AND(NOT(conHora),11&gt;12)),"",SUMPRODUCT(IFERROR(ISNUMBER(rFecha)*(WEEKDAY(rFecha,2)=1)*IF(conHora,HOUR(rFecha)=10,MONTH(rFecha)=11)*IF(cMed&gt;0,IF(ISNUMBER(rMed),rMed,0),1),0)))</f>
        <v>7754680</v>
      </c>
      <c r="BE13">
        <f t="array" ref="BE13">IF(OR(cFecha=0,AND(NOT(conHora),11&gt;12)),"",SUMPRODUCT(IFERROR(ISNUMBER(rFecha)*(WEEKDAY(rFecha,2)=2)*IF(conHora,HOUR(rFecha)=10,MONTH(rFecha)=11)*IF(cMed&gt;0,IF(ISNUMBER(rMed),rMed,0),1),0)))</f>
        <v>14570580</v>
      </c>
      <c r="BF13">
        <f t="array" ref="BF13">IF(OR(cFecha=0,AND(NOT(conHora),11&gt;12)),"",SUMPRODUCT(IFERROR(ISNUMBER(rFecha)*(WEEKDAY(rFecha,2)=3)*IF(conHora,HOUR(rFecha)=10,MONTH(rFecha)=11)*IF(cMed&gt;0,IF(ISNUMBER(rMed),rMed,0),1),0)))</f>
        <v>17103780</v>
      </c>
      <c r="BG13">
        <f t="array" ref="BG13">IF(OR(cFecha=0,AND(NOT(conHora),11&gt;12)),"",SUMPRODUCT(IFERROR(ISNUMBER(rFecha)*(WEEKDAY(rFecha,2)=4)*IF(conHora,HOUR(rFecha)=10,MONTH(rFecha)=11)*IF(cMed&gt;0,IF(ISNUMBER(rMed),rMed,0),1),0)))</f>
        <v>11598120</v>
      </c>
      <c r="BH13">
        <f t="array" ref="BH13">IF(OR(cFecha=0,AND(NOT(conHora),11&gt;12)),"",SUMPRODUCT(IFERROR(ISNUMBER(rFecha)*(WEEKDAY(rFecha,2)=5)*IF(conHora,HOUR(rFecha)=10,MONTH(rFecha)=11)*IF(cMed&gt;0,IF(ISNUMBER(rMed),rMed,0),1),0)))</f>
        <v>12956225</v>
      </c>
      <c r="BI13">
        <f t="array" ref="BI13">IF(OR(cFecha=0,AND(NOT(conHora),11&gt;12)),"",SUMPRODUCT(IFERROR(ISNUMBER(rFecha)*(WEEKDAY(rFecha,2)=6)*IF(conHora,HOUR(rFecha)=10,MONTH(rFecha)=11)*IF(cMed&gt;0,IF(ISNUMBER(rMed),rMed,0),1),0)))</f>
        <v>14086155</v>
      </c>
      <c r="BJ13">
        <f t="array" ref="BJ13">IF(OR(cFecha=0,AND(NOT(conHora),11&gt;12)),"",SUMPRODUCT(IFERROR(ISNUMBER(rFecha)*(WEEKDAY(rFecha,2)=7)*IF(conHora,HOUR(rFecha)=10,MONTH(rFecha)=11)*IF(cMed&gt;0,IF(ISNUMBER(rMed),rMed,0),1),0)))</f>
        <v>15497715</v>
      </c>
      <c r="BL13" t="inlineStr">
        <is>
          <t>Antioquia</t>
        </is>
      </c>
      <c r="BM13" t="inlineStr">
        <is>
          <t>Antioquia</t>
        </is>
      </c>
      <c r="BN13">
        <f>IF(cDepto=0,"",IF(cMed&gt;0,SUMIFS(rMed,rDepto,BM13),COUNTIFS(rDepto,BM13)))</f>
        <v>410638375</v>
      </c>
      <c r="BO13">
        <f>IF(BN13="","",COUNTIF(BN$3:BN$35,"&gt;"&amp;BN13)+COUNTIF(BN$3:BN13,BN13))</f>
        <v>2</v>
      </c>
      <c r="BX13">
        <f>IF(OR(cMed=0,cMed2=0,11&gt;nFilas),NA(),IF(AND(ISNUMBER(INDEX(rMed2,11)),ISNUMBER(INDEX(rMed,11))),INDEX(rMed2,11),NA()))</f>
        <v>4</v>
      </c>
      <c r="BY13">
        <f>IF(OR(cMed=0,cMed2=0,11&gt;nFilas),NA(),IF(AND(ISNUMBER(INDEX(rMed2,11)),ISNUMBER(INDEX(rMed,11))),INDEX(rMed,11),NA()))</f>
        <v>590800</v>
      </c>
      <c r="CA13" t="inlineStr">
        <is>
          <t>Prom2 anterior</t>
        </is>
      </c>
      <c r="CB13">
        <f>IF(OR(cMed2=0,cFecha=0),0,IFERROR(AVERAGEIFS(rMed2,rFecha,"&gt;="&amp;DATE(YEAR(mIni),MONTH(mIni)-1,1),rFecha,"&lt;"&amp;mIni),0))</f>
        <v>3.01639344262295</v>
      </c>
    </row>
    <row r="14">
      <c r="A14" t="n">
        <v>12</v>
      </c>
      <c r="B14" t="str">
        <f t="array" ref="B14">IF(cCat1=0,"",IFERROR(INDEX(rCat1,MATCH(0,COUNTIF(B$2:B13,rCat1&amp;"")+(rCat1&amp;""=""),0))&amp;"",""))</f>
        <v/>
      </c>
      <c r="C14" s="93" t="str">
        <f>IF(B14="","",IF(cMed&gt;0,SUMIFS(rMed,rCat1,B14),COUNTIFS(rCat1,B14)))</f>
        <v/>
      </c>
      <c r="D14" t="str">
        <f>IF(B14="","",COUNTIF(C$3:C$42,"&gt;"&amp;C14)+COUNTIF(C$3:C14,C14))</f>
        <v/>
      </c>
      <c r="E14" t="n">
        <v>12</v>
      </c>
      <c r="F14" t="str">
        <f>IFERROR(INDEX(B$3:B$42,MATCH(E14,D$3:D$42,0)),"")</f>
        <v/>
      </c>
      <c r="G14" s="93" t="str">
        <f>IFERROR(INDEX(C$3:C$42,MATCH(E14,D$3:D$42,0)),"")</f>
        <v/>
      </c>
      <c r="H14" s="94" t="str">
        <f>IF(G14="","",IFERROR(G14/total,""))</f>
        <v/>
      </c>
      <c r="J14" t="n">
        <v>12</v>
      </c>
      <c r="K14" t="str">
        <f t="array" ref="K14">IF(cCat2=0,"",IFERROR(INDEX(rCat2,MATCH(0,COUNTIF(K$2:K13,rCat2&amp;"")+(rCat2&amp;""=""),0))&amp;"",""))</f>
        <v/>
      </c>
      <c r="L14" s="93" t="str">
        <f>IF(K14="","",IF(cMed&gt;0,SUMIFS(rMed,rCat2,K14),COUNTIFS(rCat2,K14)))</f>
        <v/>
      </c>
      <c r="M14" t="str">
        <f>IF(K14="","",COUNTIF(L$3:L$42,"&gt;"&amp;L14)+COUNTIF(L$3:L14,L14))</f>
        <v/>
      </c>
      <c r="N14" t="n">
        <v>12</v>
      </c>
      <c r="O14" t="str">
        <f>IFERROR(INDEX(K$3:K$42,MATCH(N14,M$3:M$42,0)),"")</f>
        <v/>
      </c>
      <c r="P14" s="93" t="str">
        <f>IFERROR(INDEX(L$3:L$42,MATCH(N14,M$3:M$42,0)),"")</f>
        <v/>
      </c>
      <c r="Q14" s="94" t="str">
        <f>IF(P14="","",IFERROR(P14/total,""))</f>
        <v/>
      </c>
      <c r="S14" t="n">
        <v>12</v>
      </c>
      <c r="T14" t="str">
        <f t="array" ref="T14">IF(cEtapa=0,"",IFERROR(INDEX(rEtapa,MATCH(0,COUNTIF(T$2:T13,rEtapa&amp;"")+(rEtapa&amp;""=""),0))&amp;"",""))</f>
        <v/>
      </c>
      <c r="U14" s="93" t="str">
        <f>IF(T14="","",COUNTIFS(rEtapa,T14))</f>
        <v/>
      </c>
      <c r="V14" t="str">
        <f>IF(T14="","",COUNTIF(U$3:U$17,"&gt;"&amp;U14)+COUNTIF(U$3:U14,U14))</f>
        <v/>
      </c>
      <c r="W14" t="n">
        <v>12</v>
      </c>
      <c r="X14" t="str">
        <f>IFERROR(INDEX(T$3:T$17,MATCH(W14,V$3:V$17,0)),"")</f>
        <v/>
      </c>
      <c r="Y14" s="93" t="str">
        <f>IFERROR(INDEX(U$3:U$17,MATCH(W14,V$3:V$17,0)),"")</f>
        <v/>
      </c>
      <c r="Z14" s="94" t="str">
        <f>IF(Y14="","",IFERROR(Y14/SUM(U$3:U$17),""))</f>
        <v/>
      </c>
      <c r="AB14" s="92">
        <f>IF(cFecha=0,"",IF(CHOOSE(gIdx,tBase+11,tBase+77,DATE(YEAR(tBase),MONTH(tBase)+11,1),DATE(YEAR(tBase),MONTH(tBase)+33,1),DATE(YEAR(tBase)+11,1,1))&gt;fMax,"",CHOOSE(gIdx,tBase+11,tBase+77,DATE(YEAR(tBase),MONTH(tBase)+11,1),DATE(YEAR(tBase),MONTH(tBase)+33,1),DATE(YEAR(tBase)+11,1,1))))</f>
        <v>45717.0</v>
      </c>
      <c r="AC14" s="92">
        <f>IF(AB14="","",CHOOSE(gIdx,AB14+1,AB14+7,DATE(YEAR(AB14),MONTH(AB14)+1,1),DATE(YEAR(AB14),MONTH(AB14)+3,1),DATE(YEAR(AB14)+1,1,1)))</f>
        <v>45748.0</v>
      </c>
      <c r="AD14" t="str">
        <f>IF(AB14="","",CHOOSE(MONTH(AB14),"Ene","Feb","Mar","Abr","May","Jun","Jul","Ago","Sep","Oct","Nov","Dic")&amp;" "&amp;RIGHT(YEAR(AB14),2))</f>
        <v>Mar 25</v>
      </c>
      <c r="AE14">
        <f>IF(AB14="",NA(),IF(cMed&gt;0,SUMIFS(rMed,rFecha,"&gt;="&amp;AB14,rFecha,"&lt;"&amp;AC14),COUNTIFS(rFecha,"&gt;="&amp;AB14,rFecha,"&lt;"&amp;AC14)))</f>
        <v>102101070</v>
      </c>
      <c r="AF14">
        <f>IF(AB14="",NA(),AB14)</f>
        <v>45717.0</v>
      </c>
      <c r="AJ14">
        <f>IF(cFecha=0,"",DATE(YEAR(fMax),MONTH(fMax)-12+12,1))</f>
        <v>45901.0</v>
      </c>
      <c r="AK14">
        <f>IF(AJ14="","",DATE(YEAR(AJ14),MONTH(AJ14)+1,1))</f>
        <v>45931.0</v>
      </c>
      <c r="AL14" t="str">
        <f>IF(AJ14="","",CHOOSE(MONTH(AJ14),"Ene","Feb","Mar","Abr","May","Jun","Jul","Ago","Sep","Oct","Nov","Dic")&amp;" "&amp;RIGHT(YEAR(AJ14),2))</f>
        <v>Sep 25</v>
      </c>
      <c r="AM14">
        <f>IF(OR($AJ14="",AM$2=""),0,IF(cCat2&gt;0,IF(cMed&gt;0,SUMIFS(rMed,rFecha,"&gt;="&amp;$AJ14,rFecha,"&lt;"&amp;$AK14,rCat2,AM$2),COUNTIFS(rFecha,"&gt;="&amp;$AJ14,rFecha,"&lt;"&amp;$AK14,rCat2,AM$2)),IF(cMed&gt;0,SUMIFS(rMed,rFecha,"&gt;="&amp;$AJ14,rFecha,"&lt;"&amp;$AK14,rCat1,AM$2),COUNTIFS(rFecha,"&gt;="&amp;$AJ14,rFecha,"&lt;"&amp;$AK14,rCat1,AM$2))))</f>
        <v>63072400</v>
      </c>
      <c r="AN14">
        <f>IF(OR($AJ14="",AN$2=""),0,IF(cCat2&gt;0,IF(cMed&gt;0,SUMIFS(rMed,rFecha,"&gt;="&amp;$AJ14,rFecha,"&lt;"&amp;$AK14,rCat2,AN$2),COUNTIFS(rFecha,"&gt;="&amp;$AJ14,rFecha,"&lt;"&amp;$AK14,rCat2,AN$2)),IF(cMed&gt;0,SUMIFS(rMed,rFecha,"&gt;="&amp;$AJ14,rFecha,"&lt;"&amp;$AK14,rCat1,AN$2),COUNTIFS(rFecha,"&gt;="&amp;$AJ14,rFecha,"&lt;"&amp;$AK14,rCat1,AN$2))))</f>
        <v>7294450</v>
      </c>
      <c r="AO14">
        <f>IF(OR($AJ14="",AO$2=""),0,IF(cCat2&gt;0,IF(cMed&gt;0,SUMIFS(rMed,rFecha,"&gt;="&amp;$AJ14,rFecha,"&lt;"&amp;$AK14,rCat2,AO$2),COUNTIFS(rFecha,"&gt;="&amp;$AJ14,rFecha,"&lt;"&amp;$AK14,rCat2,AO$2)),IF(cMed&gt;0,SUMIFS(rMed,rFecha,"&gt;="&amp;$AJ14,rFecha,"&lt;"&amp;$AK14,rCat1,AO$2),COUNTIFS(rFecha,"&gt;="&amp;$AJ14,rFecha,"&lt;"&amp;$AK14,rCat1,AO$2))))</f>
        <v>11140170</v>
      </c>
      <c r="AP14">
        <f>IF(OR($AJ14="",AP$2=""),0,IF(cCat2&gt;0,IF(cMed&gt;0,SUMIFS(rMed,rFecha,"&gt;="&amp;$AJ14,rFecha,"&lt;"&amp;$AK14,rCat2,AP$2),COUNTIFS(rFecha,"&gt;="&amp;$AJ14,rFecha,"&lt;"&amp;$AK14,rCat2,AP$2)),IF(cMed&gt;0,SUMIFS(rMed,rFecha,"&gt;="&amp;$AJ14,rFecha,"&lt;"&amp;$AK14,rCat1,AP$2),COUNTIFS(rFecha,"&gt;="&amp;$AJ14,rFecha,"&lt;"&amp;$AK14,rCat1,AP$2))))</f>
        <v>6206490</v>
      </c>
      <c r="AQ14">
        <f>MAX(0,AR14-SUM(AM14:AP14))</f>
        <v>8030135</v>
      </c>
      <c r="AR14">
        <f>IF(AJ14="",0,IF(cMed&gt;0,SUMIFS(rMed,rFecha,"&gt;="&amp;$AJ14,rFecha,"&lt;"&amp;$AK14),COUNTIFS(rFecha,"&gt;="&amp;$AJ14,rFecha,"&lt;"&amp;$AK14)))</f>
        <v>95743645</v>
      </c>
      <c r="BC14" t="str">
        <f>IF(conHora,RIGHT("0"&amp;11,2)&amp;":00",IF(12&lt;=12,CHOOSE(12,"Ene","Feb","Mar","Abr","May","Jun","Jul","Ago","Sep","Oct","Nov","Dic"),""))</f>
        <v>11:00</v>
      </c>
      <c r="BD14">
        <f t="array" ref="BD14">IF(OR(cFecha=0,AND(NOT(conHora),12&gt;12)),"",SUMPRODUCT(IFERROR(ISNUMBER(rFecha)*(WEEKDAY(rFecha,2)=1)*IF(conHora,HOUR(rFecha)=11,MONTH(rFecha)=12)*IF(cMed&gt;0,IF(ISNUMBER(rMed),rMed,0),1),0)))</f>
        <v>11544060</v>
      </c>
      <c r="BE14">
        <f t="array" ref="BE14">IF(OR(cFecha=0,AND(NOT(conHora),12&gt;12)),"",SUMPRODUCT(IFERROR(ISNUMBER(rFecha)*(WEEKDAY(rFecha,2)=2)*IF(conHora,HOUR(rFecha)=11,MONTH(rFecha)=12)*IF(cMed&gt;0,IF(ISNUMBER(rMed),rMed,0),1),0)))</f>
        <v>11446180</v>
      </c>
      <c r="BF14">
        <f t="array" ref="BF14">IF(OR(cFecha=0,AND(NOT(conHora),12&gt;12)),"",SUMPRODUCT(IFERROR(ISNUMBER(rFecha)*(WEEKDAY(rFecha,2)=3)*IF(conHora,HOUR(rFecha)=11,MONTH(rFecha)=12)*IF(cMed&gt;0,IF(ISNUMBER(rMed),rMed,0),1),0)))</f>
        <v>12582300</v>
      </c>
      <c r="BG14">
        <f t="array" ref="BG14">IF(OR(cFecha=0,AND(NOT(conHora),12&gt;12)),"",SUMPRODUCT(IFERROR(ISNUMBER(rFecha)*(WEEKDAY(rFecha,2)=4)*IF(conHora,HOUR(rFecha)=11,MONTH(rFecha)=12)*IF(cMed&gt;0,IF(ISNUMBER(rMed),rMed,0),1),0)))</f>
        <v>16290320</v>
      </c>
      <c r="BH14">
        <f t="array" ref="BH14">IF(OR(cFecha=0,AND(NOT(conHora),12&gt;12)),"",SUMPRODUCT(IFERROR(ISNUMBER(rFecha)*(WEEKDAY(rFecha,2)=5)*IF(conHora,HOUR(rFecha)=11,MONTH(rFecha)=12)*IF(cMed&gt;0,IF(ISNUMBER(rMed),rMed,0),1),0)))</f>
        <v>8800590</v>
      </c>
      <c r="BI14">
        <f t="array" ref="BI14">IF(OR(cFecha=0,AND(NOT(conHora),12&gt;12)),"",SUMPRODUCT(IFERROR(ISNUMBER(rFecha)*(WEEKDAY(rFecha,2)=6)*IF(conHora,HOUR(rFecha)=11,MONTH(rFecha)=12)*IF(cMed&gt;0,IF(ISNUMBER(rMed),rMed,0),1),0)))</f>
        <v>16041120</v>
      </c>
      <c r="BJ14">
        <f t="array" ref="BJ14">IF(OR(cFecha=0,AND(NOT(conHora),12&gt;12)),"",SUMPRODUCT(IFERROR(ISNUMBER(rFecha)*(WEEKDAY(rFecha,2)=7)*IF(conHora,HOUR(rFecha)=11,MONTH(rFecha)=12)*IF(cMed&gt;0,IF(ISNUMBER(rMed),rMed,0),1),0)))</f>
        <v>8871160</v>
      </c>
      <c r="BL14" t="inlineStr">
        <is>
          <t>Santander</t>
        </is>
      </c>
      <c r="BM14" t="inlineStr">
        <is>
          <t>Santander</t>
        </is>
      </c>
      <c r="BN14">
        <f>IF(cDepto=0,"",IF(cMed&gt;0,SUMIFS(rMed,rDepto,BM14),COUNTIFS(rDepto,BM14)))</f>
        <v>140976355</v>
      </c>
      <c r="BO14">
        <f>IF(BN14="","",COUNTIF(BN$3:BN$35,"&gt;"&amp;BN14)+COUNTIF(BN$3:BN14,BN14))</f>
        <v>5</v>
      </c>
      <c r="BX14">
        <f>IF(OR(cMed=0,cMed2=0,12&gt;nFilas),NA(),IF(AND(ISNUMBER(INDEX(rMed2,12)),ISNUMBER(INDEX(rMed,12))),INDEX(rMed2,12),NA()))</f>
        <v>5</v>
      </c>
      <c r="BY14">
        <f>IF(OR(cMed=0,cMed2=0,12&gt;nFilas),NA(),IF(AND(ISNUMBER(INDEX(rMed2,12)),ISNUMBER(INDEX(rMed,12))),INDEX(rMed,12),NA()))</f>
        <v>1115500</v>
      </c>
      <c r="CA14" t="inlineStr">
        <is>
          <t>Etapa top</t>
        </is>
      </c>
      <c r="CB14" t="str">
        <f>IF(cEtapa=0,"",X3)</f>
        <v>1. Visita</v>
      </c>
    </row>
    <row r="15">
      <c r="A15" t="n">
        <v>13</v>
      </c>
      <c r="B15" t="str">
        <f t="array" ref="B15">IF(cCat1=0,"",IFERROR(INDEX(rCat1,MATCH(0,COUNTIF(B$2:B14,rCat1&amp;"")+(rCat1&amp;""=""),0))&amp;"",""))</f>
        <v/>
      </c>
      <c r="C15" s="93" t="str">
        <f>IF(B15="","",IF(cMed&gt;0,SUMIFS(rMed,rCat1,B15),COUNTIFS(rCat1,B15)))</f>
        <v/>
      </c>
      <c r="D15" t="str">
        <f>IF(B15="","",COUNTIF(C$3:C$42,"&gt;"&amp;C15)+COUNTIF(C$3:C15,C15))</f>
        <v/>
      </c>
      <c r="E15" t="n">
        <v>13</v>
      </c>
      <c r="F15" t="str">
        <f>IFERROR(INDEX(B$3:B$42,MATCH(E15,D$3:D$42,0)),"")</f>
        <v/>
      </c>
      <c r="G15" s="93" t="str">
        <f>IFERROR(INDEX(C$3:C$42,MATCH(E15,D$3:D$42,0)),"")</f>
        <v/>
      </c>
      <c r="H15" s="94" t="str">
        <f>IF(G15="","",IFERROR(G15/total,""))</f>
        <v/>
      </c>
      <c r="J15" t="n">
        <v>13</v>
      </c>
      <c r="K15" t="str">
        <f t="array" ref="K15">IF(cCat2=0,"",IFERROR(INDEX(rCat2,MATCH(0,COUNTIF(K$2:K14,rCat2&amp;"")+(rCat2&amp;""=""),0))&amp;"",""))</f>
        <v/>
      </c>
      <c r="L15" s="93" t="str">
        <f>IF(K15="","",IF(cMed&gt;0,SUMIFS(rMed,rCat2,K15),COUNTIFS(rCat2,K15)))</f>
        <v/>
      </c>
      <c r="M15" t="str">
        <f>IF(K15="","",COUNTIF(L$3:L$42,"&gt;"&amp;L15)+COUNTIF(L$3:L15,L15))</f>
        <v/>
      </c>
      <c r="N15" t="n">
        <v>13</v>
      </c>
      <c r="O15" t="str">
        <f>IFERROR(INDEX(K$3:K$42,MATCH(N15,M$3:M$42,0)),"")</f>
        <v/>
      </c>
      <c r="P15" s="93" t="str">
        <f>IFERROR(INDEX(L$3:L$42,MATCH(N15,M$3:M$42,0)),"")</f>
        <v/>
      </c>
      <c r="Q15" s="94" t="str">
        <f>IF(P15="","",IFERROR(P15/total,""))</f>
        <v/>
      </c>
      <c r="S15" t="n">
        <v>13</v>
      </c>
      <c r="T15" t="str">
        <f t="array" ref="T15">IF(cEtapa=0,"",IFERROR(INDEX(rEtapa,MATCH(0,COUNTIF(T$2:T14,rEtapa&amp;"")+(rEtapa&amp;""=""),0))&amp;"",""))</f>
        <v/>
      </c>
      <c r="U15" s="93" t="str">
        <f>IF(T15="","",COUNTIFS(rEtapa,T15))</f>
        <v/>
      </c>
      <c r="V15" t="str">
        <f>IF(T15="","",COUNTIF(U$3:U$17,"&gt;"&amp;U15)+COUNTIF(U$3:U15,U15))</f>
        <v/>
      </c>
      <c r="W15" t="n">
        <v>13</v>
      </c>
      <c r="X15" t="str">
        <f>IFERROR(INDEX(T$3:T$17,MATCH(W15,V$3:V$17,0)),"")</f>
        <v/>
      </c>
      <c r="Y15" s="93" t="str">
        <f>IFERROR(INDEX(U$3:U$17,MATCH(W15,V$3:V$17,0)),"")</f>
        <v/>
      </c>
      <c r="Z15" s="94" t="str">
        <f>IF(Y15="","",IFERROR(Y15/SUM(U$3:U$17),""))</f>
        <v/>
      </c>
      <c r="AB15" s="92">
        <f>IF(cFecha=0,"",IF(CHOOSE(gIdx,tBase+12,tBase+84,DATE(YEAR(tBase),MONTH(tBase)+12,1),DATE(YEAR(tBase),MONTH(tBase)+36,1),DATE(YEAR(tBase)+12,1,1))&gt;fMax,"",CHOOSE(gIdx,tBase+12,tBase+84,DATE(YEAR(tBase),MONTH(tBase)+12,1),DATE(YEAR(tBase),MONTH(tBase)+36,1),DATE(YEAR(tBase)+12,1,1))))</f>
        <v>45748.0</v>
      </c>
      <c r="AC15" s="92">
        <f>IF(AB15="","",CHOOSE(gIdx,AB15+1,AB15+7,DATE(YEAR(AB15),MONTH(AB15)+1,1),DATE(YEAR(AB15),MONTH(AB15)+3,1),DATE(YEAR(AB15)+1,1,1)))</f>
        <v>45778.0</v>
      </c>
      <c r="AD15" t="str">
        <f>IF(AB15="","",CHOOSE(MONTH(AB15),"Ene","Feb","Mar","Abr","May","Jun","Jul","Ago","Sep","Oct","Nov","Dic")&amp;" "&amp;RIGHT(YEAR(AB15),2))</f>
        <v>Abr 25</v>
      </c>
      <c r="AE15">
        <f>IF(AB15="",NA(),IF(cMed&gt;0,SUMIFS(rMed,rFecha,"&gt;="&amp;AB15,rFecha,"&lt;"&amp;AC15),COUNTIFS(rFecha,"&gt;="&amp;AB15,rFecha,"&lt;"&amp;AC15)))</f>
        <v>100602290</v>
      </c>
      <c r="AF15">
        <f>IF(AB15="",NA(),AB15)</f>
        <v>45748.0</v>
      </c>
      <c r="BC15" t="str">
        <f>IF(conHora,RIGHT("0"&amp;12,2)&amp;":00",IF(13&lt;=12,CHOOSE(12,"Ene","Feb","Mar","Abr","May","Jun","Jul","Ago","Sep","Oct","Nov","Dic"),""))</f>
        <v>12:00</v>
      </c>
      <c r="BD15">
        <f t="array" ref="BD15">IF(OR(cFecha=0,AND(NOT(conHora),13&gt;12)),"",SUMPRODUCT(IFERROR(ISNUMBER(rFecha)*(WEEKDAY(rFecha,2)=1)*IF(conHora,HOUR(rFecha)=12,MONTH(rFecha)=13)*IF(cMed&gt;0,IF(ISNUMBER(rMed),rMed,0),1),0)))</f>
        <v>24491500</v>
      </c>
      <c r="BE15">
        <f t="array" ref="BE15">IF(OR(cFecha=0,AND(NOT(conHora),13&gt;12)),"",SUMPRODUCT(IFERROR(ISNUMBER(rFecha)*(WEEKDAY(rFecha,2)=2)*IF(conHora,HOUR(rFecha)=12,MONTH(rFecha)=13)*IF(cMed&gt;0,IF(ISNUMBER(rMed),rMed,0),1),0)))</f>
        <v>23652360</v>
      </c>
      <c r="BF15">
        <f t="array" ref="BF15">IF(OR(cFecha=0,AND(NOT(conHora),13&gt;12)),"",SUMPRODUCT(IFERROR(ISNUMBER(rFecha)*(WEEKDAY(rFecha,2)=3)*IF(conHora,HOUR(rFecha)=12,MONTH(rFecha)=13)*IF(cMed&gt;0,IF(ISNUMBER(rMed),rMed,0),1),0)))</f>
        <v>11017760</v>
      </c>
      <c r="BG15">
        <f t="array" ref="BG15">IF(OR(cFecha=0,AND(NOT(conHora),13&gt;12)),"",SUMPRODUCT(IFERROR(ISNUMBER(rFecha)*(WEEKDAY(rFecha,2)=4)*IF(conHora,HOUR(rFecha)=12,MONTH(rFecha)=13)*IF(cMed&gt;0,IF(ISNUMBER(rMed),rMed,0),1),0)))</f>
        <v>13000600</v>
      </c>
      <c r="BH15">
        <f t="array" ref="BH15">IF(OR(cFecha=0,AND(NOT(conHora),13&gt;12)),"",SUMPRODUCT(IFERROR(ISNUMBER(rFecha)*(WEEKDAY(rFecha,2)=5)*IF(conHora,HOUR(rFecha)=12,MONTH(rFecha)=13)*IF(cMed&gt;0,IF(ISNUMBER(rMed),rMed,0),1),0)))</f>
        <v>17687705</v>
      </c>
      <c r="BI15">
        <f t="array" ref="BI15">IF(OR(cFecha=0,AND(NOT(conHora),13&gt;12)),"",SUMPRODUCT(IFERROR(ISNUMBER(rFecha)*(WEEKDAY(rFecha,2)=6)*IF(conHora,HOUR(rFecha)=12,MONTH(rFecha)=13)*IF(cMed&gt;0,IF(ISNUMBER(rMed),rMed,0),1),0)))</f>
        <v>19967620</v>
      </c>
      <c r="BJ15">
        <f t="array" ref="BJ15">IF(OR(cFecha=0,AND(NOT(conHora),13&gt;12)),"",SUMPRODUCT(IFERROR(ISNUMBER(rFecha)*(WEEKDAY(rFecha,2)=7)*IF(conHora,HOUR(rFecha)=12,MONTH(rFecha)=13)*IF(cMed&gt;0,IF(ISNUMBER(rMed),rMed,0),1),0)))</f>
        <v>15097245</v>
      </c>
      <c r="BL15" t="inlineStr">
        <is>
          <t>Arauca</t>
        </is>
      </c>
      <c r="BM15" t="inlineStr">
        <is>
          <t>Arauca</t>
        </is>
      </c>
      <c r="BN15">
        <f>IF(cDepto=0,"",IF(cMed&gt;0,SUMIFS(rMed,rDepto,BM15),COUNTIFS(rDepto,BM15)))</f>
        <v>0</v>
      </c>
      <c r="BO15">
        <f>IF(BN15="","",COUNTIF(BN$3:BN$35,"&gt;"&amp;BN15)+COUNTIF(BN$3:BN15,BN15))</f>
        <v>19</v>
      </c>
      <c r="BX15">
        <f>IF(OR(cMed=0,cMed2=0,13&gt;nFilas),NA(),IF(AND(ISNUMBER(INDEX(rMed2,13)),ISNUMBER(INDEX(rMed,13))),INDEX(rMed2,13),NA()))</f>
        <v>3</v>
      </c>
      <c r="BY15">
        <f>IF(OR(cMed=0,cMed2=0,13&gt;nFilas),NA(),IF(AND(ISNUMBER(INDEX(rMed2,13)),ISNUMBER(INDEX(rMed,13))),INDEX(rMed,13),NA()))</f>
        <v>207900</v>
      </c>
      <c r="CA15" t="inlineStr">
        <is>
          <t>Etapa % total</t>
        </is>
      </c>
      <c r="CB15">
        <f>IF(cEtapa=0,"",IFERROR(COUNTIF(rEtapa,X3)/nFilas,""))</f>
        <v>0.4675</v>
      </c>
    </row>
    <row r="16">
      <c r="A16" t="n">
        <v>14</v>
      </c>
      <c r="B16" t="str">
        <f t="array" ref="B16">IF(cCat1=0,"",IFERROR(INDEX(rCat1,MATCH(0,COUNTIF(B$2:B15,rCat1&amp;"")+(rCat1&amp;""=""),0))&amp;"",""))</f>
        <v/>
      </c>
      <c r="C16" s="93" t="str">
        <f>IF(B16="","",IF(cMed&gt;0,SUMIFS(rMed,rCat1,B16),COUNTIFS(rCat1,B16)))</f>
        <v/>
      </c>
      <c r="D16" t="str">
        <f>IF(B16="","",COUNTIF(C$3:C$42,"&gt;"&amp;C16)+COUNTIF(C$3:C16,C16))</f>
        <v/>
      </c>
      <c r="E16" t="n">
        <v>14</v>
      </c>
      <c r="F16" t="str">
        <f>IFERROR(INDEX(B$3:B$42,MATCH(E16,D$3:D$42,0)),"")</f>
        <v/>
      </c>
      <c r="G16" s="93" t="str">
        <f>IFERROR(INDEX(C$3:C$42,MATCH(E16,D$3:D$42,0)),"")</f>
        <v/>
      </c>
      <c r="H16" s="94" t="str">
        <f>IF(G16="","",IFERROR(G16/total,""))</f>
        <v/>
      </c>
      <c r="J16" t="n">
        <v>14</v>
      </c>
      <c r="K16" t="str">
        <f t="array" ref="K16">IF(cCat2=0,"",IFERROR(INDEX(rCat2,MATCH(0,COUNTIF(K$2:K15,rCat2&amp;"")+(rCat2&amp;""=""),0))&amp;"",""))</f>
        <v/>
      </c>
      <c r="L16" s="93" t="str">
        <f>IF(K16="","",IF(cMed&gt;0,SUMIFS(rMed,rCat2,K16),COUNTIFS(rCat2,K16)))</f>
        <v/>
      </c>
      <c r="M16" t="str">
        <f>IF(K16="","",COUNTIF(L$3:L$42,"&gt;"&amp;L16)+COUNTIF(L$3:L16,L16))</f>
        <v/>
      </c>
      <c r="N16" t="n">
        <v>14</v>
      </c>
      <c r="O16" t="str">
        <f>IFERROR(INDEX(K$3:K$42,MATCH(N16,M$3:M$42,0)),"")</f>
        <v/>
      </c>
      <c r="P16" s="93" t="str">
        <f>IFERROR(INDEX(L$3:L$42,MATCH(N16,M$3:M$42,0)),"")</f>
        <v/>
      </c>
      <c r="Q16" s="94" t="str">
        <f>IF(P16="","",IFERROR(P16/total,""))</f>
        <v/>
      </c>
      <c r="S16" t="n">
        <v>14</v>
      </c>
      <c r="T16" t="str">
        <f t="array" ref="T16">IF(cEtapa=0,"",IFERROR(INDEX(rEtapa,MATCH(0,COUNTIF(T$2:T15,rEtapa&amp;"")+(rEtapa&amp;""=""),0))&amp;"",""))</f>
        <v/>
      </c>
      <c r="U16" s="93" t="str">
        <f>IF(T16="","",COUNTIFS(rEtapa,T16))</f>
        <v/>
      </c>
      <c r="V16" t="str">
        <f>IF(T16="","",COUNTIF(U$3:U$17,"&gt;"&amp;U16)+COUNTIF(U$3:U16,U16))</f>
        <v/>
      </c>
      <c r="W16" t="n">
        <v>14</v>
      </c>
      <c r="X16" t="str">
        <f>IFERROR(INDEX(T$3:T$17,MATCH(W16,V$3:V$17,0)),"")</f>
        <v/>
      </c>
      <c r="Y16" s="93" t="str">
        <f>IFERROR(INDEX(U$3:U$17,MATCH(W16,V$3:V$17,0)),"")</f>
        <v/>
      </c>
      <c r="Z16" s="94" t="str">
        <f>IF(Y16="","",IFERROR(Y16/SUM(U$3:U$17),""))</f>
        <v/>
      </c>
      <c r="AB16" s="92">
        <f>IF(cFecha=0,"",IF(CHOOSE(gIdx,tBase+13,tBase+91,DATE(YEAR(tBase),MONTH(tBase)+13,1),DATE(YEAR(tBase),MONTH(tBase)+39,1),DATE(YEAR(tBase)+13,1,1))&gt;fMax,"",CHOOSE(gIdx,tBase+13,tBase+91,DATE(YEAR(tBase),MONTH(tBase)+13,1),DATE(YEAR(tBase),MONTH(tBase)+39,1),DATE(YEAR(tBase)+13,1,1))))</f>
        <v>45778.0</v>
      </c>
      <c r="AC16" s="92">
        <f>IF(AB16="","",CHOOSE(gIdx,AB16+1,AB16+7,DATE(YEAR(AB16),MONTH(AB16)+1,1),DATE(YEAR(AB16),MONTH(AB16)+3,1),DATE(YEAR(AB16)+1,1,1)))</f>
        <v>45809.0</v>
      </c>
      <c r="AD16" t="str">
        <f>IF(AB16="","",CHOOSE(MONTH(AB16),"Ene","Feb","Mar","Abr","May","Jun","Jul","Ago","Sep","Oct","Nov","Dic")&amp;" "&amp;RIGHT(YEAR(AB16),2))</f>
        <v>May 25</v>
      </c>
      <c r="AE16">
        <f>IF(AB16="",NA(),IF(cMed&gt;0,SUMIFS(rMed,rFecha,"&gt;="&amp;AB16,rFecha,"&lt;"&amp;AC16),COUNTIFS(rFecha,"&gt;="&amp;AB16,rFecha,"&lt;"&amp;AC16)))</f>
        <v>99922825</v>
      </c>
      <c r="AF16">
        <f>IF(AB16="",NA(),AB16)</f>
        <v>45778.0</v>
      </c>
      <c r="BC16" t="str">
        <f>IF(conHora,RIGHT("0"&amp;13,2)&amp;":00",IF(14&lt;=12,CHOOSE(12,"Ene","Feb","Mar","Abr","May","Jun","Jul","Ago","Sep","Oct","Nov","Dic"),""))</f>
        <v>13:00</v>
      </c>
      <c r="BD16">
        <f t="array" ref="BD16">IF(OR(cFecha=0,AND(NOT(conHora),14&gt;12)),"",SUMPRODUCT(IFERROR(ISNUMBER(rFecha)*(WEEKDAY(rFecha,2)=1)*IF(conHora,HOUR(rFecha)=13,MONTH(rFecha)=14)*IF(cMed&gt;0,IF(ISNUMBER(rMed),rMed,0),1),0)))</f>
        <v>27814740</v>
      </c>
      <c r="BE16">
        <f t="array" ref="BE16">IF(OR(cFecha=0,AND(NOT(conHora),14&gt;12)),"",SUMPRODUCT(IFERROR(ISNUMBER(rFecha)*(WEEKDAY(rFecha,2)=2)*IF(conHora,HOUR(rFecha)=13,MONTH(rFecha)=14)*IF(cMed&gt;0,IF(ISNUMBER(rMed),rMed,0),1),0)))</f>
        <v>24106540</v>
      </c>
      <c r="BF16">
        <f t="array" ref="BF16">IF(OR(cFecha=0,AND(NOT(conHora),14&gt;12)),"",SUMPRODUCT(IFERROR(ISNUMBER(rFecha)*(WEEKDAY(rFecha,2)=3)*IF(conHora,HOUR(rFecha)=13,MONTH(rFecha)=14)*IF(cMed&gt;0,IF(ISNUMBER(rMed),rMed,0),1),0)))</f>
        <v>13485440</v>
      </c>
      <c r="BG16">
        <f t="array" ref="BG16">IF(OR(cFecha=0,AND(NOT(conHora),14&gt;12)),"",SUMPRODUCT(IFERROR(ISNUMBER(rFecha)*(WEEKDAY(rFecha,2)=4)*IF(conHora,HOUR(rFecha)=13,MONTH(rFecha)=14)*IF(cMed&gt;0,IF(ISNUMBER(rMed),rMed,0),1),0)))</f>
        <v>28736140</v>
      </c>
      <c r="BH16">
        <f t="array" ref="BH16">IF(OR(cFecha=0,AND(NOT(conHora),14&gt;12)),"",SUMPRODUCT(IFERROR(ISNUMBER(rFecha)*(WEEKDAY(rFecha,2)=5)*IF(conHora,HOUR(rFecha)=13,MONTH(rFecha)=14)*IF(cMed&gt;0,IF(ISNUMBER(rMed),rMed,0),1),0)))</f>
        <v>13181520</v>
      </c>
      <c r="BI16">
        <f t="array" ref="BI16">IF(OR(cFecha=0,AND(NOT(conHora),14&gt;12)),"",SUMPRODUCT(IFERROR(ISNUMBER(rFecha)*(WEEKDAY(rFecha,2)=6)*IF(conHora,HOUR(rFecha)=13,MONTH(rFecha)=14)*IF(cMed&gt;0,IF(ISNUMBER(rMed),rMed,0),1),0)))</f>
        <v>14484810</v>
      </c>
      <c r="BJ16">
        <f t="array" ref="BJ16">IF(OR(cFecha=0,AND(NOT(conHora),14&gt;12)),"",SUMPRODUCT(IFERROR(ISNUMBER(rFecha)*(WEEKDAY(rFecha,2)=7)*IF(conHora,HOUR(rFecha)=13,MONTH(rFecha)=14)*IF(cMed&gt;0,IF(ISNUMBER(rMed),rMed,0),1),0)))</f>
        <v>14865780</v>
      </c>
      <c r="BL16" t="inlineStr">
        <is>
          <t>Risaralda</t>
        </is>
      </c>
      <c r="BM16" t="inlineStr">
        <is>
          <t>Risaralda</t>
        </is>
      </c>
      <c r="BN16">
        <f>IF(cDepto=0,"",IF(cMed&gt;0,SUMIFS(rMed,rDepto,BM16),COUNTIFS(rDepto,BM16)))</f>
        <v>135285040</v>
      </c>
      <c r="BO16">
        <f>IF(BN16="","",COUNTIF(BN$3:BN$35,"&gt;"&amp;BN16)+COUNTIF(BN$3:BN16,BN16))</f>
        <v>6</v>
      </c>
      <c r="BX16">
        <f>IF(OR(cMed=0,cMed2=0,14&gt;nFilas),NA(),IF(AND(ISNUMBER(INDEX(rMed2,14)),ISNUMBER(INDEX(rMed,14))),INDEX(rMed2,14),NA()))</f>
        <v>3</v>
      </c>
      <c r="BY16">
        <f>IF(OR(cMed=0,cMed2=0,14&gt;nFilas),NA(),IF(AND(ISNUMBER(INDEX(rMed2,14)),ISNUMBER(INDEX(rMed,14))),INDEX(rMed,14),NA()))</f>
        <v>222000</v>
      </c>
      <c r="CA16" t="inlineStr">
        <is>
          <t>Etapa % actual</t>
        </is>
      </c>
      <c r="CB16">
        <f>IF(OR(cEtapa=0,cFecha=0),0,IFERROR(COUNTIFS(rEtapa,X3,rFecha,"&gt;="&amp;mIni,rFecha,"&lt;"&amp;DATE(YEAR(mIni),MONTH(mIni)+1,1))/CB5,0))</f>
        <v>0.43</v>
      </c>
    </row>
    <row r="17">
      <c r="A17" t="n">
        <v>15</v>
      </c>
      <c r="B17" t="str">
        <f t="array" ref="B17">IF(cCat1=0,"",IFERROR(INDEX(rCat1,MATCH(0,COUNTIF(B$2:B16,rCat1&amp;"")+(rCat1&amp;""=""),0))&amp;"",""))</f>
        <v/>
      </c>
      <c r="C17" s="93" t="str">
        <f>IF(B17="","",IF(cMed&gt;0,SUMIFS(rMed,rCat1,B17),COUNTIFS(rCat1,B17)))</f>
        <v/>
      </c>
      <c r="D17" t="str">
        <f>IF(B17="","",COUNTIF(C$3:C$42,"&gt;"&amp;C17)+COUNTIF(C$3:C17,C17))</f>
        <v/>
      </c>
      <c r="E17" t="n">
        <v>15</v>
      </c>
      <c r="F17" t="str">
        <f>IFERROR(INDEX(B$3:B$42,MATCH(E17,D$3:D$42,0)),"")</f>
        <v/>
      </c>
      <c r="G17" s="93" t="str">
        <f>IFERROR(INDEX(C$3:C$42,MATCH(E17,D$3:D$42,0)),"")</f>
        <v/>
      </c>
      <c r="H17" s="94" t="str">
        <f>IF(G17="","",IFERROR(G17/total,""))</f>
        <v/>
      </c>
      <c r="J17" t="n">
        <v>15</v>
      </c>
      <c r="K17" t="str">
        <f t="array" ref="K17">IF(cCat2=0,"",IFERROR(INDEX(rCat2,MATCH(0,COUNTIF(K$2:K16,rCat2&amp;"")+(rCat2&amp;""=""),0))&amp;"",""))</f>
        <v/>
      </c>
      <c r="L17" s="93" t="str">
        <f>IF(K17="","",IF(cMed&gt;0,SUMIFS(rMed,rCat2,K17),COUNTIFS(rCat2,K17)))</f>
        <v/>
      </c>
      <c r="M17" t="str">
        <f>IF(K17="","",COUNTIF(L$3:L$42,"&gt;"&amp;L17)+COUNTIF(L$3:L17,L17))</f>
        <v/>
      </c>
      <c r="N17" t="n">
        <v>15</v>
      </c>
      <c r="O17" t="str">
        <f>IFERROR(INDEX(K$3:K$42,MATCH(N17,M$3:M$42,0)),"")</f>
        <v/>
      </c>
      <c r="P17" s="93" t="str">
        <f>IFERROR(INDEX(L$3:L$42,MATCH(N17,M$3:M$42,0)),"")</f>
        <v/>
      </c>
      <c r="Q17" s="94" t="str">
        <f>IF(P17="","",IFERROR(P17/total,""))</f>
        <v/>
      </c>
      <c r="S17" t="n">
        <v>15</v>
      </c>
      <c r="T17" t="str">
        <f t="array" ref="T17">IF(cEtapa=0,"",IFERROR(INDEX(rEtapa,MATCH(0,COUNTIF(T$2:T16,rEtapa&amp;"")+(rEtapa&amp;""=""),0))&amp;"",""))</f>
        <v/>
      </c>
      <c r="U17" s="93" t="str">
        <f>IF(T17="","",COUNTIFS(rEtapa,T17))</f>
        <v/>
      </c>
      <c r="V17" t="str">
        <f>IF(T17="","",COUNTIF(U$3:U$17,"&gt;"&amp;U17)+COUNTIF(U$3:U17,U17))</f>
        <v/>
      </c>
      <c r="W17" t="n">
        <v>15</v>
      </c>
      <c r="X17" t="str">
        <f>IFERROR(INDEX(T$3:T$17,MATCH(W17,V$3:V$17,0)),"")</f>
        <v/>
      </c>
      <c r="Y17" s="93" t="str">
        <f>IFERROR(INDEX(U$3:U$17,MATCH(W17,V$3:V$17,0)),"")</f>
        <v/>
      </c>
      <c r="Z17" s="94" t="str">
        <f>IF(Y17="","",IFERROR(Y17/SUM(U$3:U$17),""))</f>
        <v/>
      </c>
      <c r="AB17" s="92">
        <f>IF(cFecha=0,"",IF(CHOOSE(gIdx,tBase+14,tBase+98,DATE(YEAR(tBase),MONTH(tBase)+14,1),DATE(YEAR(tBase),MONTH(tBase)+42,1),DATE(YEAR(tBase)+14,1,1))&gt;fMax,"",CHOOSE(gIdx,tBase+14,tBase+98,DATE(YEAR(tBase),MONTH(tBase)+14,1),DATE(YEAR(tBase),MONTH(tBase)+42,1),DATE(YEAR(tBase)+14,1,1))))</f>
        <v>45809.0</v>
      </c>
      <c r="AC17" s="92">
        <f>IF(AB17="","",CHOOSE(gIdx,AB17+1,AB17+7,DATE(YEAR(AB17),MONTH(AB17)+1,1),DATE(YEAR(AB17),MONTH(AB17)+3,1),DATE(YEAR(AB17)+1,1,1)))</f>
        <v>45839.0</v>
      </c>
      <c r="AD17" t="str">
        <f>IF(AB17="","",CHOOSE(MONTH(AB17),"Ene","Feb","Mar","Abr","May","Jun","Jul","Ago","Sep","Oct","Nov","Dic")&amp;" "&amp;RIGHT(YEAR(AB17),2))</f>
        <v>Jun 25</v>
      </c>
      <c r="AE17">
        <f>IF(AB17="",NA(),IF(cMed&gt;0,SUMIFS(rMed,rFecha,"&gt;="&amp;AB17,rFecha,"&lt;"&amp;AC17),COUNTIFS(rFecha,"&gt;="&amp;AB17,rFecha,"&lt;"&amp;AC17)))</f>
        <v>123179030</v>
      </c>
      <c r="AF17">
        <f>IF(AB17="",NA(),AB17)</f>
        <v>45809.0</v>
      </c>
      <c r="BC17" t="str">
        <f>IF(conHora,RIGHT("0"&amp;14,2)&amp;":00",IF(15&lt;=12,CHOOSE(12,"Ene","Feb","Mar","Abr","May","Jun","Jul","Ago","Sep","Oct","Nov","Dic"),""))</f>
        <v>14:00</v>
      </c>
      <c r="BD17">
        <f t="array" ref="BD17">IF(OR(cFecha=0,AND(NOT(conHora),15&gt;12)),"",SUMPRODUCT(IFERROR(ISNUMBER(rFecha)*(WEEKDAY(rFecha,2)=1)*IF(conHora,HOUR(rFecha)=14,MONTH(rFecha)=15)*IF(cMed&gt;0,IF(ISNUMBER(rMed),rMed,0),1),0)))</f>
        <v>13464860</v>
      </c>
      <c r="BE17">
        <f t="array" ref="BE17">IF(OR(cFecha=0,AND(NOT(conHora),15&gt;12)),"",SUMPRODUCT(IFERROR(ISNUMBER(rFecha)*(WEEKDAY(rFecha,2)=2)*IF(conHora,HOUR(rFecha)=14,MONTH(rFecha)=15)*IF(cMed&gt;0,IF(ISNUMBER(rMed),rMed,0),1),0)))</f>
        <v>20333540</v>
      </c>
      <c r="BF17">
        <f t="array" ref="BF17">IF(OR(cFecha=0,AND(NOT(conHora),15&gt;12)),"",SUMPRODUCT(IFERROR(ISNUMBER(rFecha)*(WEEKDAY(rFecha,2)=3)*IF(conHora,HOUR(rFecha)=14,MONTH(rFecha)=15)*IF(cMed&gt;0,IF(ISNUMBER(rMed),rMed,0),1),0)))</f>
        <v>5483200</v>
      </c>
      <c r="BG17">
        <f t="array" ref="BG17">IF(OR(cFecha=0,AND(NOT(conHora),15&gt;12)),"",SUMPRODUCT(IFERROR(ISNUMBER(rFecha)*(WEEKDAY(rFecha,2)=4)*IF(conHora,HOUR(rFecha)=14,MONTH(rFecha)=15)*IF(cMed&gt;0,IF(ISNUMBER(rMed),rMed,0),1),0)))</f>
        <v>7943460</v>
      </c>
      <c r="BH17">
        <f t="array" ref="BH17">IF(OR(cFecha=0,AND(NOT(conHora),15&gt;12)),"",SUMPRODUCT(IFERROR(ISNUMBER(rFecha)*(WEEKDAY(rFecha,2)=5)*IF(conHora,HOUR(rFecha)=14,MONTH(rFecha)=15)*IF(cMed&gt;0,IF(ISNUMBER(rMed),rMed,0),1),0)))</f>
        <v>19383445</v>
      </c>
      <c r="BI17">
        <f t="array" ref="BI17">IF(OR(cFecha=0,AND(NOT(conHora),15&gt;12)),"",SUMPRODUCT(IFERROR(ISNUMBER(rFecha)*(WEEKDAY(rFecha,2)=6)*IF(conHora,HOUR(rFecha)=14,MONTH(rFecha)=15)*IF(cMed&gt;0,IF(ISNUMBER(rMed),rMed,0),1),0)))</f>
        <v>23950435</v>
      </c>
      <c r="BJ17">
        <f t="array" ref="BJ17">IF(OR(cFecha=0,AND(NOT(conHora),15&gt;12)),"",SUMPRODUCT(IFERROR(ISNUMBER(rFecha)*(WEEKDAY(rFecha,2)=7)*IF(conHora,HOUR(rFecha)=14,MONTH(rFecha)=15)*IF(cMed&gt;0,IF(ISNUMBER(rMed),rMed,0),1),0)))</f>
        <v>17660710</v>
      </c>
      <c r="BL17" t="inlineStr">
        <is>
          <t>Caldas</t>
        </is>
      </c>
      <c r="BM17" t="inlineStr">
        <is>
          <t>Caldas</t>
        </is>
      </c>
      <c r="BN17">
        <f>IF(cDepto=0,"",IF(cMed&gt;0,SUMIFS(rMed,rDepto,BM17),COUNTIFS(rDepto,BM17)))</f>
        <v>0</v>
      </c>
      <c r="BO17">
        <f>IF(BN17="","",COUNTIF(BN$3:BN$35,"&gt;"&amp;BN17)+COUNTIF(BN$3:BN17,BN17))</f>
        <v>20</v>
      </c>
      <c r="BX17">
        <f>IF(OR(cMed=0,cMed2=0,15&gt;nFilas),NA(),IF(AND(ISNUMBER(INDEX(rMed2,15)),ISNUMBER(INDEX(rMed,15))),INDEX(rMed2,15),NA()))</f>
        <v>4</v>
      </c>
      <c r="BY17">
        <f>IF(OR(cMed=0,cMed2=0,15&gt;nFilas),NA(),IF(AND(ISNUMBER(INDEX(rMed2,15)),ISNUMBER(INDEX(rMed,15))),INDEX(rMed,15),NA()))</f>
        <v>390800</v>
      </c>
      <c r="CA17" t="inlineStr">
        <is>
          <t>Etapa % anterior</t>
        </is>
      </c>
      <c r="CB17">
        <f>IF(OR(cEtapa=0,cFecha=0),0,IFERROR(COUNTIFS(rEtapa,X3,rFecha,"&gt;="&amp;DATE(YEAR(mIni),MONTH(mIni)-1,1),rFecha,"&lt;"&amp;mIni)/CB6,0))</f>
        <v>0.467213114754098</v>
      </c>
    </row>
    <row r="18">
      <c r="A18" t="n">
        <v>16</v>
      </c>
      <c r="B18" t="str">
        <f t="array" ref="B18">IF(cCat1=0,"",IFERROR(INDEX(rCat1,MATCH(0,COUNTIF(B$2:B17,rCat1&amp;"")+(rCat1&amp;""=""),0))&amp;"",""))</f>
        <v/>
      </c>
      <c r="C18" s="93" t="str">
        <f>IF(B18="","",IF(cMed&gt;0,SUMIFS(rMed,rCat1,B18),COUNTIFS(rCat1,B18)))</f>
        <v/>
      </c>
      <c r="D18" t="str">
        <f>IF(B18="","",COUNTIF(C$3:C$42,"&gt;"&amp;C18)+COUNTIF(C$3:C18,C18))</f>
        <v/>
      </c>
      <c r="E18" t="n">
        <v>16</v>
      </c>
      <c r="F18" t="str">
        <f>IFERROR(INDEX(B$3:B$42,MATCH(E18,D$3:D$42,0)),"")</f>
        <v/>
      </c>
      <c r="G18" s="93" t="str">
        <f>IFERROR(INDEX(C$3:C$42,MATCH(E18,D$3:D$42,0)),"")</f>
        <v/>
      </c>
      <c r="H18" s="94" t="str">
        <f>IF(G18="","",IFERROR(G18/total,""))</f>
        <v/>
      </c>
      <c r="J18" t="n">
        <v>16</v>
      </c>
      <c r="K18" t="str">
        <f t="array" ref="K18">IF(cCat2=0,"",IFERROR(INDEX(rCat2,MATCH(0,COUNTIF(K$2:K17,rCat2&amp;"")+(rCat2&amp;""=""),0))&amp;"",""))</f>
        <v/>
      </c>
      <c r="L18" s="93" t="str">
        <f>IF(K18="","",IF(cMed&gt;0,SUMIFS(rMed,rCat2,K18),COUNTIFS(rCat2,K18)))</f>
        <v/>
      </c>
      <c r="M18" t="str">
        <f>IF(K18="","",COUNTIF(L$3:L$42,"&gt;"&amp;L18)+COUNTIF(L$3:L18,L18))</f>
        <v/>
      </c>
      <c r="N18" t="n">
        <v>16</v>
      </c>
      <c r="O18" t="str">
        <f>IFERROR(INDEX(K$3:K$42,MATCH(N18,M$3:M$42,0)),"")</f>
        <v/>
      </c>
      <c r="P18" s="93" t="str">
        <f>IFERROR(INDEX(L$3:L$42,MATCH(N18,M$3:M$42,0)),"")</f>
        <v/>
      </c>
      <c r="Q18" s="94" t="str">
        <f>IF(P18="","",IFERROR(P18/total,""))</f>
        <v/>
      </c>
      <c r="AB18" s="92">
        <f>IF(cFecha=0,"",IF(CHOOSE(gIdx,tBase+15,tBase+105,DATE(YEAR(tBase),MONTH(tBase)+15,1),DATE(YEAR(tBase),MONTH(tBase)+45,1),DATE(YEAR(tBase)+15,1,1))&gt;fMax,"",CHOOSE(gIdx,tBase+15,tBase+105,DATE(YEAR(tBase),MONTH(tBase)+15,1),DATE(YEAR(tBase),MONTH(tBase)+45,1),DATE(YEAR(tBase)+15,1,1))))</f>
        <v>45839.0</v>
      </c>
      <c r="AC18" s="92">
        <f>IF(AB18="","",CHOOSE(gIdx,AB18+1,AB18+7,DATE(YEAR(AB18),MONTH(AB18)+1,1),DATE(YEAR(AB18),MONTH(AB18)+3,1),DATE(YEAR(AB18)+1,1,1)))</f>
        <v>45870.0</v>
      </c>
      <c r="AD18" t="str">
        <f>IF(AB18="","",CHOOSE(MONTH(AB18),"Ene","Feb","Mar","Abr","May","Jun","Jul","Ago","Sep","Oct","Nov","Dic")&amp;" "&amp;RIGHT(YEAR(AB18),2))</f>
        <v>Jul 25</v>
      </c>
      <c r="AE18">
        <f>IF(AB18="",NA(),IF(cMed&gt;0,SUMIFS(rMed,rFecha,"&gt;="&amp;AB18,rFecha,"&lt;"&amp;AC18),COUNTIFS(rFecha,"&gt;="&amp;AB18,rFecha,"&lt;"&amp;AC18)))</f>
        <v>118521475</v>
      </c>
      <c r="AF18">
        <f>IF(AB18="",NA(),AB18)</f>
        <v>45839.0</v>
      </c>
      <c r="BC18" t="str">
        <f>IF(conHora,RIGHT("0"&amp;15,2)&amp;":00",IF(16&lt;=12,CHOOSE(12,"Ene","Feb","Mar","Abr","May","Jun","Jul","Ago","Sep","Oct","Nov","Dic"),""))</f>
        <v>15:00</v>
      </c>
      <c r="BD18">
        <f t="array" ref="BD18">IF(OR(cFecha=0,AND(NOT(conHora),16&gt;12)),"",SUMPRODUCT(IFERROR(ISNUMBER(rFecha)*(WEEKDAY(rFecha,2)=1)*IF(conHora,HOUR(rFecha)=15,MONTH(rFecha)=16)*IF(cMed&gt;0,IF(ISNUMBER(rMed),rMed,0),1),0)))</f>
        <v>16181400</v>
      </c>
      <c r="BE18">
        <f t="array" ref="BE18">IF(OR(cFecha=0,AND(NOT(conHora),16&gt;12)),"",SUMPRODUCT(IFERROR(ISNUMBER(rFecha)*(WEEKDAY(rFecha,2)=2)*IF(conHora,HOUR(rFecha)=15,MONTH(rFecha)=16)*IF(cMed&gt;0,IF(ISNUMBER(rMed),rMed,0),1),0)))</f>
        <v>17546040</v>
      </c>
      <c r="BF18">
        <f t="array" ref="BF18">IF(OR(cFecha=0,AND(NOT(conHora),16&gt;12)),"",SUMPRODUCT(IFERROR(ISNUMBER(rFecha)*(WEEKDAY(rFecha,2)=3)*IF(conHora,HOUR(rFecha)=15,MONTH(rFecha)=16)*IF(cMed&gt;0,IF(ISNUMBER(rMed),rMed,0),1),0)))</f>
        <v>8832280</v>
      </c>
      <c r="BG18">
        <f t="array" ref="BG18">IF(OR(cFecha=0,AND(NOT(conHora),16&gt;12)),"",SUMPRODUCT(IFERROR(ISNUMBER(rFecha)*(WEEKDAY(rFecha,2)=4)*IF(conHora,HOUR(rFecha)=15,MONTH(rFecha)=16)*IF(cMed&gt;0,IF(ISNUMBER(rMed),rMed,0),1),0)))</f>
        <v>19954740</v>
      </c>
      <c r="BH18">
        <f t="array" ref="BH18">IF(OR(cFecha=0,AND(NOT(conHora),16&gt;12)),"",SUMPRODUCT(IFERROR(ISNUMBER(rFecha)*(WEEKDAY(rFecha,2)=5)*IF(conHora,HOUR(rFecha)=15,MONTH(rFecha)=16)*IF(cMed&gt;0,IF(ISNUMBER(rMed),rMed,0),1),0)))</f>
        <v>23668360</v>
      </c>
      <c r="BI18">
        <f t="array" ref="BI18">IF(OR(cFecha=0,AND(NOT(conHora),16&gt;12)),"",SUMPRODUCT(IFERROR(ISNUMBER(rFecha)*(WEEKDAY(rFecha,2)=6)*IF(conHora,HOUR(rFecha)=15,MONTH(rFecha)=16)*IF(cMed&gt;0,IF(ISNUMBER(rMed),rMed,0),1),0)))</f>
        <v>9698320</v>
      </c>
      <c r="BJ18">
        <f t="array" ref="BJ18">IF(OR(cFecha=0,AND(NOT(conHora),16&gt;12)),"",SUMPRODUCT(IFERROR(ISNUMBER(rFecha)*(WEEKDAY(rFecha,2)=7)*IF(conHora,HOUR(rFecha)=15,MONTH(rFecha)=16)*IF(cMed&gt;0,IF(ISNUMBER(rMed),rMed,0),1),0)))</f>
        <v>14531755</v>
      </c>
      <c r="BL18" t="inlineStr">
        <is>
          <t>Cundinamarca</t>
        </is>
      </c>
      <c r="BM18" t="inlineStr">
        <is>
          <t>Cundinamarca</t>
        </is>
      </c>
      <c r="BN18">
        <f>IF(cDepto=0,"",IF(cMed&gt;0,SUMIFS(rMed,rDepto,BM18),COUNTIFS(rDepto,BM18)))</f>
        <v>0</v>
      </c>
      <c r="BO18">
        <f>IF(BN18="","",COUNTIF(BN$3:BN$35,"&gt;"&amp;BN18)+COUNTIF(BN$3:BN18,BN18))</f>
        <v>21</v>
      </c>
      <c r="BX18">
        <f>IF(OR(cMed=0,cMed2=0,16&gt;nFilas),NA(),IF(AND(ISNUMBER(INDEX(rMed2,16)),ISNUMBER(INDEX(rMed,16))),INDEX(rMed2,16),NA()))</f>
        <v>1</v>
      </c>
      <c r="BY18">
        <f>IF(OR(cMed=0,cMed2=0,16&gt;nFilas),NA(),IF(AND(ISNUMBER(INDEX(rMed2,16)),ISNUMBER(INDEX(rMed,16))),INDEX(rMed,16),NA()))</f>
        <v>75400</v>
      </c>
    </row>
    <row r="19">
      <c r="A19" t="n">
        <v>17</v>
      </c>
      <c r="B19" t="str">
        <f t="array" ref="B19">IF(cCat1=0,"",IFERROR(INDEX(rCat1,MATCH(0,COUNTIF(B$2:B18,rCat1&amp;"")+(rCat1&amp;""=""),0))&amp;"",""))</f>
        <v/>
      </c>
      <c r="C19" s="93" t="str">
        <f>IF(B19="","",IF(cMed&gt;0,SUMIFS(rMed,rCat1,B19),COUNTIFS(rCat1,B19)))</f>
        <v/>
      </c>
      <c r="D19" t="str">
        <f>IF(B19="","",COUNTIF(C$3:C$42,"&gt;"&amp;C19)+COUNTIF(C$3:C19,C19))</f>
        <v/>
      </c>
      <c r="E19" t="n">
        <v>17</v>
      </c>
      <c r="F19" t="str">
        <f>IFERROR(INDEX(B$3:B$42,MATCH(E19,D$3:D$42,0)),"")</f>
        <v/>
      </c>
      <c r="G19" s="93" t="str">
        <f>IFERROR(INDEX(C$3:C$42,MATCH(E19,D$3:D$42,0)),"")</f>
        <v/>
      </c>
      <c r="H19" s="94" t="str">
        <f>IF(G19="","",IFERROR(G19/total,""))</f>
        <v/>
      </c>
      <c r="J19" t="n">
        <v>17</v>
      </c>
      <c r="K19" t="str">
        <f t="array" ref="K19">IF(cCat2=0,"",IFERROR(INDEX(rCat2,MATCH(0,COUNTIF(K$2:K18,rCat2&amp;"")+(rCat2&amp;""=""),0))&amp;"",""))</f>
        <v/>
      </c>
      <c r="L19" s="93" t="str">
        <f>IF(K19="","",IF(cMed&gt;0,SUMIFS(rMed,rCat2,K19),COUNTIFS(rCat2,K19)))</f>
        <v/>
      </c>
      <c r="M19" t="str">
        <f>IF(K19="","",COUNTIF(L$3:L$42,"&gt;"&amp;L19)+COUNTIF(L$3:L19,L19))</f>
        <v/>
      </c>
      <c r="N19" t="n">
        <v>17</v>
      </c>
      <c r="O19" t="str">
        <f>IFERROR(INDEX(K$3:K$42,MATCH(N19,M$3:M$42,0)),"")</f>
        <v/>
      </c>
      <c r="P19" s="93" t="str">
        <f>IFERROR(INDEX(L$3:L$42,MATCH(N19,M$3:M$42,0)),"")</f>
        <v/>
      </c>
      <c r="Q19" s="94" t="str">
        <f>IF(P19="","",IFERROR(P19/total,""))</f>
        <v/>
      </c>
      <c r="AB19" s="92">
        <f>IF(cFecha=0,"",IF(CHOOSE(gIdx,tBase+16,tBase+112,DATE(YEAR(tBase),MONTH(tBase)+16,1),DATE(YEAR(tBase),MONTH(tBase)+48,1),DATE(YEAR(tBase)+16,1,1))&gt;fMax,"",CHOOSE(gIdx,tBase+16,tBase+112,DATE(YEAR(tBase),MONTH(tBase)+16,1),DATE(YEAR(tBase),MONTH(tBase)+48,1),DATE(YEAR(tBase)+16,1,1))))</f>
        <v>45870.0</v>
      </c>
      <c r="AC19" s="92">
        <f>IF(AB19="","",CHOOSE(gIdx,AB19+1,AB19+7,DATE(YEAR(AB19),MONTH(AB19)+1,1),DATE(YEAR(AB19),MONTH(AB19)+3,1),DATE(YEAR(AB19)+1,1,1)))</f>
        <v>45901.0</v>
      </c>
      <c r="AD19" t="str">
        <f>IF(AB19="","",CHOOSE(MONTH(AB19),"Ene","Feb","Mar","Abr","May","Jun","Jul","Ago","Sep","Oct","Nov","Dic")&amp;" "&amp;RIGHT(YEAR(AB19),2))</f>
        <v>Ago 25</v>
      </c>
      <c r="AE19">
        <f>IF(AB19="",NA(),IF(cMed&gt;0,SUMIFS(rMed,rFecha,"&gt;="&amp;AB19,rFecha,"&lt;"&amp;AC19),COUNTIFS(rFecha,"&gt;="&amp;AB19,rFecha,"&lt;"&amp;AC19)))</f>
        <v>88947425</v>
      </c>
      <c r="AF19">
        <f>IF(AB19="",NA(),AB19)</f>
        <v>45870.0</v>
      </c>
      <c r="BC19" t="str">
        <f>IF(conHora,RIGHT("0"&amp;16,2)&amp;":00",IF(17&lt;=12,CHOOSE(12,"Ene","Feb","Mar","Abr","May","Jun","Jul","Ago","Sep","Oct","Nov","Dic"),""))</f>
        <v>16:00</v>
      </c>
      <c r="BD19">
        <f t="array" ref="BD19">IF(OR(cFecha=0,AND(NOT(conHora),17&gt;12)),"",SUMPRODUCT(IFERROR(ISNUMBER(rFecha)*(WEEKDAY(rFecha,2)=1)*IF(conHora,HOUR(rFecha)=16,MONTH(rFecha)=17)*IF(cMed&gt;0,IF(ISNUMBER(rMed),rMed,0),1),0)))</f>
        <v>19769920</v>
      </c>
      <c r="BE19">
        <f t="array" ref="BE19">IF(OR(cFecha=0,AND(NOT(conHora),17&gt;12)),"",SUMPRODUCT(IFERROR(ISNUMBER(rFecha)*(WEEKDAY(rFecha,2)=2)*IF(conHora,HOUR(rFecha)=16,MONTH(rFecha)=17)*IF(cMed&gt;0,IF(ISNUMBER(rMed),rMed,0),1),0)))</f>
        <v>14978240</v>
      </c>
      <c r="BF19">
        <f t="array" ref="BF19">IF(OR(cFecha=0,AND(NOT(conHora),17&gt;12)),"",SUMPRODUCT(IFERROR(ISNUMBER(rFecha)*(WEEKDAY(rFecha,2)=3)*IF(conHora,HOUR(rFecha)=16,MONTH(rFecha)=17)*IF(cMed&gt;0,IF(ISNUMBER(rMed),rMed,0),1),0)))</f>
        <v>17505420</v>
      </c>
      <c r="BG19">
        <f t="array" ref="BG19">IF(OR(cFecha=0,AND(NOT(conHora),17&gt;12)),"",SUMPRODUCT(IFERROR(ISNUMBER(rFecha)*(WEEKDAY(rFecha,2)=4)*IF(conHora,HOUR(rFecha)=16,MONTH(rFecha)=17)*IF(cMed&gt;0,IF(ISNUMBER(rMed),rMed,0),1),0)))</f>
        <v>12631560</v>
      </c>
      <c r="BH19">
        <f t="array" ref="BH19">IF(OR(cFecha=0,AND(NOT(conHora),17&gt;12)),"",SUMPRODUCT(IFERROR(ISNUMBER(rFecha)*(WEEKDAY(rFecha,2)=5)*IF(conHora,HOUR(rFecha)=16,MONTH(rFecha)=17)*IF(cMed&gt;0,IF(ISNUMBER(rMed),rMed,0),1),0)))</f>
        <v>15287340</v>
      </c>
      <c r="BI19">
        <f t="array" ref="BI19">IF(OR(cFecha=0,AND(NOT(conHora),17&gt;12)),"",SUMPRODUCT(IFERROR(ISNUMBER(rFecha)*(WEEKDAY(rFecha,2)=6)*IF(conHora,HOUR(rFecha)=16,MONTH(rFecha)=17)*IF(cMed&gt;0,IF(ISNUMBER(rMed),rMed,0),1),0)))</f>
        <v>8509535</v>
      </c>
      <c r="BJ19">
        <f t="array" ref="BJ19">IF(OR(cFecha=0,AND(NOT(conHora),17&gt;12)),"",SUMPRODUCT(IFERROR(ISNUMBER(rFecha)*(WEEKDAY(rFecha,2)=7)*IF(conHora,HOUR(rFecha)=16,MONTH(rFecha)=17)*IF(cMed&gt;0,IF(ISNUMBER(rMed),rMed,0),1),0)))</f>
        <v>39338835</v>
      </c>
      <c r="BL19" t="inlineStr">
        <is>
          <t>Boyacá</t>
        </is>
      </c>
      <c r="BM19" t="inlineStr">
        <is>
          <t>Boyac?</t>
        </is>
      </c>
      <c r="BN19">
        <f>IF(cDepto=0,"",IF(cMed&gt;0,SUMIFS(rMed,rDepto,BM19),COUNTIFS(rDepto,BM19)))</f>
        <v>0</v>
      </c>
      <c r="BO19">
        <f>IF(BN19="","",COUNTIF(BN$3:BN$35,"&gt;"&amp;BN19)+COUNTIF(BN$3:BN19,BN19))</f>
        <v>22</v>
      </c>
      <c r="BX19">
        <f>IF(OR(cMed=0,cMed2=0,17&gt;nFilas),NA(),IF(AND(ISNUMBER(INDEX(rMed2,17)),ISNUMBER(INDEX(rMed,17))),INDEX(rMed2,17),NA()))</f>
        <v>1</v>
      </c>
      <c r="BY19">
        <f>IF(OR(cMed=0,cMed2=0,17&gt;nFilas),NA(),IF(AND(ISNUMBER(INDEX(rMed2,17)),ISNUMBER(INDEX(rMed,17))),INDEX(rMed,17),NA()))</f>
        <v>248400</v>
      </c>
    </row>
    <row r="20">
      <c r="A20" t="n">
        <v>18</v>
      </c>
      <c r="B20" t="str">
        <f t="array" ref="B20">IF(cCat1=0,"",IFERROR(INDEX(rCat1,MATCH(0,COUNTIF(B$2:B19,rCat1&amp;"")+(rCat1&amp;""=""),0))&amp;"",""))</f>
        <v/>
      </c>
      <c r="C20" s="93" t="str">
        <f>IF(B20="","",IF(cMed&gt;0,SUMIFS(rMed,rCat1,B20),COUNTIFS(rCat1,B20)))</f>
        <v/>
      </c>
      <c r="D20" t="str">
        <f>IF(B20="","",COUNTIF(C$3:C$42,"&gt;"&amp;C20)+COUNTIF(C$3:C20,C20))</f>
        <v/>
      </c>
      <c r="E20" t="n">
        <v>18</v>
      </c>
      <c r="F20" t="str">
        <f>IFERROR(INDEX(B$3:B$42,MATCH(E20,D$3:D$42,0)),"")</f>
        <v/>
      </c>
      <c r="G20" s="93" t="str">
        <f>IFERROR(INDEX(C$3:C$42,MATCH(E20,D$3:D$42,0)),"")</f>
        <v/>
      </c>
      <c r="H20" s="94" t="str">
        <f>IF(G20="","",IFERROR(G20/total,""))</f>
        <v/>
      </c>
      <c r="J20" t="n">
        <v>18</v>
      </c>
      <c r="K20" t="str">
        <f t="array" ref="K20">IF(cCat2=0,"",IFERROR(INDEX(rCat2,MATCH(0,COUNTIF(K$2:K19,rCat2&amp;"")+(rCat2&amp;""=""),0))&amp;"",""))</f>
        <v/>
      </c>
      <c r="L20" s="93" t="str">
        <f>IF(K20="","",IF(cMed&gt;0,SUMIFS(rMed,rCat2,K20),COUNTIFS(rCat2,K20)))</f>
        <v/>
      </c>
      <c r="M20" t="str">
        <f>IF(K20="","",COUNTIF(L$3:L$42,"&gt;"&amp;L20)+COUNTIF(L$3:L20,L20))</f>
        <v/>
      </c>
      <c r="N20" t="n">
        <v>18</v>
      </c>
      <c r="O20" t="str">
        <f>IFERROR(INDEX(K$3:K$42,MATCH(N20,M$3:M$42,0)),"")</f>
        <v/>
      </c>
      <c r="P20" s="93" t="str">
        <f>IFERROR(INDEX(L$3:L$42,MATCH(N20,M$3:M$42,0)),"")</f>
        <v/>
      </c>
      <c r="Q20" s="94" t="str">
        <f>IF(P20="","",IFERROR(P20/total,""))</f>
        <v/>
      </c>
      <c r="AB20" s="92">
        <f>IF(cFecha=0,"",IF(CHOOSE(gIdx,tBase+17,tBase+119,DATE(YEAR(tBase),MONTH(tBase)+17,1),DATE(YEAR(tBase),MONTH(tBase)+51,1),DATE(YEAR(tBase)+17,1,1))&gt;fMax,"",CHOOSE(gIdx,tBase+17,tBase+119,DATE(YEAR(tBase),MONTH(tBase)+17,1),DATE(YEAR(tBase),MONTH(tBase)+51,1),DATE(YEAR(tBase)+17,1,1))))</f>
        <v>45901.0</v>
      </c>
      <c r="AC20" s="92">
        <f>IF(AB20="","",CHOOSE(gIdx,AB20+1,AB20+7,DATE(YEAR(AB20),MONTH(AB20)+1,1),DATE(YEAR(AB20),MONTH(AB20)+3,1),DATE(YEAR(AB20)+1,1,1)))</f>
        <v>45931.0</v>
      </c>
      <c r="AD20" t="str">
        <f>IF(AB20="","",CHOOSE(MONTH(AB20),"Ene","Feb","Mar","Abr","May","Jun","Jul","Ago","Sep","Oct","Nov","Dic")&amp;" "&amp;RIGHT(YEAR(AB20),2))</f>
        <v>Sep 25</v>
      </c>
      <c r="AE20">
        <f>IF(AB20="",NA(),IF(cMed&gt;0,SUMIFS(rMed,rFecha,"&gt;="&amp;AB20,rFecha,"&lt;"&amp;AC20),COUNTIFS(rFecha,"&gt;="&amp;AB20,rFecha,"&lt;"&amp;AC20)))</f>
        <v>95743645</v>
      </c>
      <c r="AF20">
        <f>IF(AB20="",NA(),AB20)</f>
        <v>45901.0</v>
      </c>
      <c r="BC20" t="str">
        <f>IF(conHora,RIGHT("0"&amp;17,2)&amp;":00",IF(18&lt;=12,CHOOSE(12,"Ene","Feb","Mar","Abr","May","Jun","Jul","Ago","Sep","Oct","Nov","Dic"),""))</f>
        <v>17:00</v>
      </c>
      <c r="BD20">
        <f t="array" ref="BD20">IF(OR(cFecha=0,AND(NOT(conHora),18&gt;12)),"",SUMPRODUCT(IFERROR(ISNUMBER(rFecha)*(WEEKDAY(rFecha,2)=1)*IF(conHora,HOUR(rFecha)=17,MONTH(rFecha)=18)*IF(cMed&gt;0,IF(ISNUMBER(rMed),rMed,0),1),0)))</f>
        <v>13436800</v>
      </c>
      <c r="BE20">
        <f t="array" ref="BE20">IF(OR(cFecha=0,AND(NOT(conHora),18&gt;12)),"",SUMPRODUCT(IFERROR(ISNUMBER(rFecha)*(WEEKDAY(rFecha,2)=2)*IF(conHora,HOUR(rFecha)=17,MONTH(rFecha)=18)*IF(cMed&gt;0,IF(ISNUMBER(rMed),rMed,0),1),0)))</f>
        <v>14123220</v>
      </c>
      <c r="BF20">
        <f t="array" ref="BF20">IF(OR(cFecha=0,AND(NOT(conHora),18&gt;12)),"",SUMPRODUCT(IFERROR(ISNUMBER(rFecha)*(WEEKDAY(rFecha,2)=3)*IF(conHora,HOUR(rFecha)=17,MONTH(rFecha)=18)*IF(cMed&gt;0,IF(ISNUMBER(rMed),rMed,0),1),0)))</f>
        <v>22488960</v>
      </c>
      <c r="BG20">
        <f t="array" ref="BG20">IF(OR(cFecha=0,AND(NOT(conHora),18&gt;12)),"",SUMPRODUCT(IFERROR(ISNUMBER(rFecha)*(WEEKDAY(rFecha,2)=4)*IF(conHora,HOUR(rFecha)=17,MONTH(rFecha)=18)*IF(cMed&gt;0,IF(ISNUMBER(rMed),rMed,0),1),0)))</f>
        <v>21585140</v>
      </c>
      <c r="BH20">
        <f t="array" ref="BH20">IF(OR(cFecha=0,AND(NOT(conHora),18&gt;12)),"",SUMPRODUCT(IFERROR(ISNUMBER(rFecha)*(WEEKDAY(rFecha,2)=5)*IF(conHora,HOUR(rFecha)=17,MONTH(rFecha)=18)*IF(cMed&gt;0,IF(ISNUMBER(rMed),rMed,0),1),0)))</f>
        <v>21877755</v>
      </c>
      <c r="BI20">
        <f t="array" ref="BI20">IF(OR(cFecha=0,AND(NOT(conHora),18&gt;12)),"",SUMPRODUCT(IFERROR(ISNUMBER(rFecha)*(WEEKDAY(rFecha,2)=6)*IF(conHora,HOUR(rFecha)=17,MONTH(rFecha)=18)*IF(cMed&gt;0,IF(ISNUMBER(rMed),rMed,0),1),0)))</f>
        <v>25209265</v>
      </c>
      <c r="BJ20">
        <f t="array" ref="BJ20">IF(OR(cFecha=0,AND(NOT(conHora),18&gt;12)),"",SUMPRODUCT(IFERROR(ISNUMBER(rFecha)*(WEEKDAY(rFecha,2)=7)*IF(conHora,HOUR(rFecha)=17,MONTH(rFecha)=18)*IF(cMed&gt;0,IF(ISNUMBER(rMed),rMed,0),1),0)))</f>
        <v>28129210</v>
      </c>
      <c r="BL20" t="inlineStr">
        <is>
          <t>Casanare</t>
        </is>
      </c>
      <c r="BM20" t="inlineStr">
        <is>
          <t>Casanare</t>
        </is>
      </c>
      <c r="BN20">
        <f>IF(cDepto=0,"",IF(cMed&gt;0,SUMIFS(rMed,rDepto,BM20),COUNTIFS(rDepto,BM20)))</f>
        <v>0</v>
      </c>
      <c r="BO20">
        <f>IF(BN20="","",COUNTIF(BN$3:BN$35,"&gt;"&amp;BN20)+COUNTIF(BN$3:BN20,BN20))</f>
        <v>23</v>
      </c>
      <c r="BX20">
        <f>IF(OR(cMed=0,cMed2=0,18&gt;nFilas),NA(),IF(AND(ISNUMBER(INDEX(rMed2,18)),ISNUMBER(INDEX(rMed,18))),INDEX(rMed2,18),NA()))</f>
        <v>4</v>
      </c>
      <c r="BY20">
        <f>IF(OR(cMed=0,cMed2=0,18&gt;nFilas),NA(),IF(AND(ISNUMBER(INDEX(rMed2,18)),ISNUMBER(INDEX(rMed,18))),INDEX(rMed,18),NA()))</f>
        <v>4635420</v>
      </c>
    </row>
    <row r="21">
      <c r="A21" t="n">
        <v>19</v>
      </c>
      <c r="B21" t="str">
        <f t="array" ref="B21">IF(cCat1=0,"",IFERROR(INDEX(rCat1,MATCH(0,COUNTIF(B$2:B20,rCat1&amp;"")+(rCat1&amp;""=""),0))&amp;"",""))</f>
        <v/>
      </c>
      <c r="C21" s="93" t="str">
        <f>IF(B21="","",IF(cMed&gt;0,SUMIFS(rMed,rCat1,B21),COUNTIFS(rCat1,B21)))</f>
        <v/>
      </c>
      <c r="D21" t="str">
        <f>IF(B21="","",COUNTIF(C$3:C$42,"&gt;"&amp;C21)+COUNTIF(C$3:C21,C21))</f>
        <v/>
      </c>
      <c r="E21" t="n">
        <v>19</v>
      </c>
      <c r="F21" t="str">
        <f>IFERROR(INDEX(B$3:B$42,MATCH(E21,D$3:D$42,0)),"")</f>
        <v/>
      </c>
      <c r="G21" s="93" t="str">
        <f>IFERROR(INDEX(C$3:C$42,MATCH(E21,D$3:D$42,0)),"")</f>
        <v/>
      </c>
      <c r="H21" s="94" t="str">
        <f>IF(G21="","",IFERROR(G21/total,""))</f>
        <v/>
      </c>
      <c r="J21" t="n">
        <v>19</v>
      </c>
      <c r="K21" t="str">
        <f t="array" ref="K21">IF(cCat2=0,"",IFERROR(INDEX(rCat2,MATCH(0,COUNTIF(K$2:K20,rCat2&amp;"")+(rCat2&amp;""=""),0))&amp;"",""))</f>
        <v/>
      </c>
      <c r="L21" s="93" t="str">
        <f>IF(K21="","",IF(cMed&gt;0,SUMIFS(rMed,rCat2,K21),COUNTIFS(rCat2,K21)))</f>
        <v/>
      </c>
      <c r="M21" t="str">
        <f>IF(K21="","",COUNTIF(L$3:L$42,"&gt;"&amp;L21)+COUNTIF(L$3:L21,L21))</f>
        <v/>
      </c>
      <c r="N21" t="n">
        <v>19</v>
      </c>
      <c r="O21" t="str">
        <f>IFERROR(INDEX(K$3:K$42,MATCH(N21,M$3:M$42,0)),"")</f>
        <v/>
      </c>
      <c r="P21" s="93" t="str">
        <f>IFERROR(INDEX(L$3:L$42,MATCH(N21,M$3:M$42,0)),"")</f>
        <v/>
      </c>
      <c r="Q21" s="94" t="str">
        <f>IF(P21="","",IFERROR(P21/total,""))</f>
        <v/>
      </c>
      <c r="AB21" s="92" t="str">
        <f>IF(cFecha=0,"",IF(CHOOSE(gIdx,tBase+18,tBase+126,DATE(YEAR(tBase),MONTH(tBase)+18,1),DATE(YEAR(tBase),MONTH(tBase)+54,1),DATE(YEAR(tBase)+18,1,1))&gt;fMax,"",CHOOSE(gIdx,tBase+18,tBase+126,DATE(YEAR(tBase),MONTH(tBase)+18,1),DATE(YEAR(tBase),MONTH(tBase)+54,1),DATE(YEAR(tBase)+18,1,1))))</f>
        <v/>
      </c>
      <c r="AC21" s="92" t="str">
        <f>IF(AB21="","",CHOOSE(gIdx,AB21+1,AB21+7,DATE(YEAR(AB21),MONTH(AB21)+1,1),DATE(YEAR(AB21),MONTH(AB21)+3,1),DATE(YEAR(AB21)+1,1,1)))</f>
        <v/>
      </c>
      <c r="AD21" t="str">
        <f>IF(AB21="","",CHOOSE(MONTH(AB21),"Ene","Feb","Mar","Abr","May","Jun","Jul","Ago","Sep","Oct","Nov","Dic")&amp;" "&amp;RIGHT(YEAR(AB21),2))</f>
        <v/>
      </c>
      <c r="AE21" t="e">
        <f>IF(AB21="",NA(),IF(cMed&gt;0,SUMIFS(rMed,rFecha,"&gt;="&amp;AB21,rFecha,"&lt;"&amp;AC21),COUNTIFS(rFecha,"&gt;="&amp;AB21,rFecha,"&lt;"&amp;AC21)))</f>
        <v>#N/A</v>
      </c>
      <c r="AF21" t="e">
        <f>IF(AB21="",NA(),AB21)</f>
        <v>#N/A</v>
      </c>
      <c r="BC21" t="str">
        <f>IF(conHora,RIGHT("0"&amp;18,2)&amp;":00",IF(19&lt;=12,CHOOSE(12,"Ene","Feb","Mar","Abr","May","Jun","Jul","Ago","Sep","Oct","Nov","Dic"),""))</f>
        <v>18:00</v>
      </c>
      <c r="BD21">
        <f t="array" ref="BD21">IF(OR(cFecha=0,AND(NOT(conHora),19&gt;12)),"",SUMPRODUCT(IFERROR(ISNUMBER(rFecha)*(WEEKDAY(rFecha,2)=1)*IF(conHora,HOUR(rFecha)=18,MONTH(rFecha)=19)*IF(cMed&gt;0,IF(ISNUMBER(rMed),rMed,0),1),0)))</f>
        <v>22364360</v>
      </c>
      <c r="BE21">
        <f t="array" ref="BE21">IF(OR(cFecha=0,AND(NOT(conHora),19&gt;12)),"",SUMPRODUCT(IFERROR(ISNUMBER(rFecha)*(WEEKDAY(rFecha,2)=2)*IF(conHora,HOUR(rFecha)=18,MONTH(rFecha)=19)*IF(cMed&gt;0,IF(ISNUMBER(rMed),rMed,0),1),0)))</f>
        <v>22040060</v>
      </c>
      <c r="BF21">
        <f t="array" ref="BF21">IF(OR(cFecha=0,AND(NOT(conHora),19&gt;12)),"",SUMPRODUCT(IFERROR(ISNUMBER(rFecha)*(WEEKDAY(rFecha,2)=3)*IF(conHora,HOUR(rFecha)=18,MONTH(rFecha)=19)*IF(cMed&gt;0,IF(ISNUMBER(rMed),rMed,0),1),0)))</f>
        <v>14184760</v>
      </c>
      <c r="BG21">
        <f t="array" ref="BG21">IF(OR(cFecha=0,AND(NOT(conHora),19&gt;12)),"",SUMPRODUCT(IFERROR(ISNUMBER(rFecha)*(WEEKDAY(rFecha,2)=4)*IF(conHora,HOUR(rFecha)=18,MONTH(rFecha)=19)*IF(cMed&gt;0,IF(ISNUMBER(rMed),rMed,0),1),0)))</f>
        <v>15450700</v>
      </c>
      <c r="BH21">
        <f t="array" ref="BH21">IF(OR(cFecha=0,AND(NOT(conHora),19&gt;12)),"",SUMPRODUCT(IFERROR(ISNUMBER(rFecha)*(WEEKDAY(rFecha,2)=5)*IF(conHora,HOUR(rFecha)=18,MONTH(rFecha)=19)*IF(cMed&gt;0,IF(ISNUMBER(rMed),rMed,0),1),0)))</f>
        <v>28610670</v>
      </c>
      <c r="BI21">
        <f t="array" ref="BI21">IF(OR(cFecha=0,AND(NOT(conHora),19&gt;12)),"",SUMPRODUCT(IFERROR(ISNUMBER(rFecha)*(WEEKDAY(rFecha,2)=6)*IF(conHora,HOUR(rFecha)=18,MONTH(rFecha)=19)*IF(cMed&gt;0,IF(ISNUMBER(rMed),rMed,0),1),0)))</f>
        <v>23183625</v>
      </c>
      <c r="BJ21">
        <f t="array" ref="BJ21">IF(OR(cFecha=0,AND(NOT(conHora),19&gt;12)),"",SUMPRODUCT(IFERROR(ISNUMBER(rFecha)*(WEEKDAY(rFecha,2)=7)*IF(conHora,HOUR(rFecha)=18,MONTH(rFecha)=19)*IF(cMed&gt;0,IF(ISNUMBER(rMed),rMed,0),1),0)))</f>
        <v>30122740</v>
      </c>
      <c r="BL21" t="inlineStr">
        <is>
          <t>Vichada</t>
        </is>
      </c>
      <c r="BM21" t="inlineStr">
        <is>
          <t>Vichada</t>
        </is>
      </c>
      <c r="BN21">
        <f>IF(cDepto=0,"",IF(cMed&gt;0,SUMIFS(rMed,rDepto,BM21),COUNTIFS(rDepto,BM21)))</f>
        <v>0</v>
      </c>
      <c r="BO21">
        <f>IF(BN21="","",COUNTIF(BN$3:BN$35,"&gt;"&amp;BN21)+COUNTIF(BN$3:BN21,BN21))</f>
        <v>24</v>
      </c>
      <c r="BX21">
        <f>IF(OR(cMed=0,cMed2=0,19&gt;nFilas),NA(),IF(AND(ISNUMBER(INDEX(rMed2,19)),ISNUMBER(INDEX(rMed,19))),INDEX(rMed2,19),NA()))</f>
        <v>3</v>
      </c>
      <c r="BY21">
        <f>IF(OR(cMed=0,cMed2=0,19&gt;nFilas),NA(),IF(AND(ISNUMBER(INDEX(rMed2,19)),ISNUMBER(INDEX(rMed,19))),INDEX(rMed,19),NA()))</f>
        <v>2140725</v>
      </c>
    </row>
    <row r="22">
      <c r="A22" t="n">
        <v>20</v>
      </c>
      <c r="B22" t="str">
        <f t="array" ref="B22">IF(cCat1=0,"",IFERROR(INDEX(rCat1,MATCH(0,COUNTIF(B$2:B21,rCat1&amp;"")+(rCat1&amp;""=""),0))&amp;"",""))</f>
        <v/>
      </c>
      <c r="C22" s="93" t="str">
        <f>IF(B22="","",IF(cMed&gt;0,SUMIFS(rMed,rCat1,B22),COUNTIFS(rCat1,B22)))</f>
        <v/>
      </c>
      <c r="D22" t="str">
        <f>IF(B22="","",COUNTIF(C$3:C$42,"&gt;"&amp;C22)+COUNTIF(C$3:C22,C22))</f>
        <v/>
      </c>
      <c r="E22" t="n">
        <v>20</v>
      </c>
      <c r="F22" t="str">
        <f>IFERROR(INDEX(B$3:B$42,MATCH(E22,D$3:D$42,0)),"")</f>
        <v/>
      </c>
      <c r="G22" s="93" t="str">
        <f>IFERROR(INDEX(C$3:C$42,MATCH(E22,D$3:D$42,0)),"")</f>
        <v/>
      </c>
      <c r="H22" s="94" t="str">
        <f>IF(G22="","",IFERROR(G22/total,""))</f>
        <v/>
      </c>
      <c r="J22" t="n">
        <v>20</v>
      </c>
      <c r="K22" t="str">
        <f t="array" ref="K22">IF(cCat2=0,"",IFERROR(INDEX(rCat2,MATCH(0,COUNTIF(K$2:K21,rCat2&amp;"")+(rCat2&amp;""=""),0))&amp;"",""))</f>
        <v/>
      </c>
      <c r="L22" s="93" t="str">
        <f>IF(K22="","",IF(cMed&gt;0,SUMIFS(rMed,rCat2,K22),COUNTIFS(rCat2,K22)))</f>
        <v/>
      </c>
      <c r="M22" t="str">
        <f>IF(K22="","",COUNTIF(L$3:L$42,"&gt;"&amp;L22)+COUNTIF(L$3:L22,L22))</f>
        <v/>
      </c>
      <c r="N22" t="n">
        <v>20</v>
      </c>
      <c r="O22" t="str">
        <f>IFERROR(INDEX(K$3:K$42,MATCH(N22,M$3:M$42,0)),"")</f>
        <v/>
      </c>
      <c r="P22" s="93" t="str">
        <f>IFERROR(INDEX(L$3:L$42,MATCH(N22,M$3:M$42,0)),"")</f>
        <v/>
      </c>
      <c r="Q22" s="94" t="str">
        <f>IF(P22="","",IFERROR(P22/total,""))</f>
        <v/>
      </c>
      <c r="AB22" s="92" t="str">
        <f>IF(cFecha=0,"",IF(CHOOSE(gIdx,tBase+19,tBase+133,DATE(YEAR(tBase),MONTH(tBase)+19,1),DATE(YEAR(tBase),MONTH(tBase)+57,1),DATE(YEAR(tBase)+19,1,1))&gt;fMax,"",CHOOSE(gIdx,tBase+19,tBase+133,DATE(YEAR(tBase),MONTH(tBase)+19,1),DATE(YEAR(tBase),MONTH(tBase)+57,1),DATE(YEAR(tBase)+19,1,1))))</f>
        <v/>
      </c>
      <c r="AC22" s="92" t="str">
        <f>IF(AB22="","",CHOOSE(gIdx,AB22+1,AB22+7,DATE(YEAR(AB22),MONTH(AB22)+1,1),DATE(YEAR(AB22),MONTH(AB22)+3,1),DATE(YEAR(AB22)+1,1,1)))</f>
        <v/>
      </c>
      <c r="AD22" t="str">
        <f>IF(AB22="","",CHOOSE(MONTH(AB22),"Ene","Feb","Mar","Abr","May","Jun","Jul","Ago","Sep","Oct","Nov","Dic")&amp;" "&amp;RIGHT(YEAR(AB22),2))</f>
        <v/>
      </c>
      <c r="AE22" t="e">
        <f>IF(AB22="",NA(),IF(cMed&gt;0,SUMIFS(rMed,rFecha,"&gt;="&amp;AB22,rFecha,"&lt;"&amp;AC22),COUNTIFS(rFecha,"&gt;="&amp;AB22,rFecha,"&lt;"&amp;AC22)))</f>
        <v>#N/A</v>
      </c>
      <c r="AF22" t="e">
        <f>IF(AB22="",NA(),AB22)</f>
        <v>#N/A</v>
      </c>
      <c r="BC22" t="str">
        <f>IF(conHora,RIGHT("0"&amp;19,2)&amp;":00",IF(20&lt;=12,CHOOSE(12,"Ene","Feb","Mar","Abr","May","Jun","Jul","Ago","Sep","Oct","Nov","Dic"),""))</f>
        <v>19:00</v>
      </c>
      <c r="BD22">
        <f t="array" ref="BD22">IF(OR(cFecha=0,AND(NOT(conHora),20&gt;12)),"",SUMPRODUCT(IFERROR(ISNUMBER(rFecha)*(WEEKDAY(rFecha,2)=1)*IF(conHora,HOUR(rFecha)=19,MONTH(rFecha)=20)*IF(cMed&gt;0,IF(ISNUMBER(rMed),rMed,0),1),0)))</f>
        <v>25455960</v>
      </c>
      <c r="BE22">
        <f t="array" ref="BE22">IF(OR(cFecha=0,AND(NOT(conHora),20&gt;12)),"",SUMPRODUCT(IFERROR(ISNUMBER(rFecha)*(WEEKDAY(rFecha,2)=2)*IF(conHora,HOUR(rFecha)=19,MONTH(rFecha)=20)*IF(cMed&gt;0,IF(ISNUMBER(rMed),rMed,0),1),0)))</f>
        <v>20142640</v>
      </c>
      <c r="BF22">
        <f t="array" ref="BF22">IF(OR(cFecha=0,AND(NOT(conHora),20&gt;12)),"",SUMPRODUCT(IFERROR(ISNUMBER(rFecha)*(WEEKDAY(rFecha,2)=3)*IF(conHora,HOUR(rFecha)=19,MONTH(rFecha)=20)*IF(cMed&gt;0,IF(ISNUMBER(rMed),rMed,0),1),0)))</f>
        <v>20767020</v>
      </c>
      <c r="BG22">
        <f t="array" ref="BG22">IF(OR(cFecha=0,AND(NOT(conHora),20&gt;12)),"",SUMPRODUCT(IFERROR(ISNUMBER(rFecha)*(WEEKDAY(rFecha,2)=4)*IF(conHora,HOUR(rFecha)=19,MONTH(rFecha)=20)*IF(cMed&gt;0,IF(ISNUMBER(rMed),rMed,0),1),0)))</f>
        <v>14119080</v>
      </c>
      <c r="BH22">
        <f t="array" ref="BH22">IF(OR(cFecha=0,AND(NOT(conHora),20&gt;12)),"",SUMPRODUCT(IFERROR(ISNUMBER(rFecha)*(WEEKDAY(rFecha,2)=5)*IF(conHora,HOUR(rFecha)=19,MONTH(rFecha)=20)*IF(cMed&gt;0,IF(ISNUMBER(rMed),rMed,0),1),0)))</f>
        <v>18063860</v>
      </c>
      <c r="BI22">
        <f t="array" ref="BI22">IF(OR(cFecha=0,AND(NOT(conHora),20&gt;12)),"",SUMPRODUCT(IFERROR(ISNUMBER(rFecha)*(WEEKDAY(rFecha,2)=6)*IF(conHora,HOUR(rFecha)=19,MONTH(rFecha)=20)*IF(cMed&gt;0,IF(ISNUMBER(rMed),rMed,0),1),0)))</f>
        <v>28659435</v>
      </c>
      <c r="BJ22">
        <f t="array" ref="BJ22">IF(OR(cFecha=0,AND(NOT(conHora),20&gt;12)),"",SUMPRODUCT(IFERROR(ISNUMBER(rFecha)*(WEEKDAY(rFecha,2)=7)*IF(conHora,HOUR(rFecha)=19,MONTH(rFecha)=20)*IF(cMed&gt;0,IF(ISNUMBER(rMed),rMed,0),1),0)))</f>
        <v>15588365</v>
      </c>
      <c r="BL22" t="inlineStr">
        <is>
          <t>Valle del Cauca</t>
        </is>
      </c>
      <c r="BM22" t="inlineStr">
        <is>
          <t>Valle*</t>
        </is>
      </c>
      <c r="BN22">
        <f>IF(cDepto=0,"",IF(cMed&gt;0,SUMIFS(rMed,rDepto,BM22),COUNTIFS(rDepto,BM22)))</f>
        <v>260852225</v>
      </c>
      <c r="BO22">
        <f>IF(BN22="","",COUNTIF(BN$3:BN$35,"&gt;"&amp;BN22)+COUNTIF(BN$3:BN22,BN22))</f>
        <v>3</v>
      </c>
      <c r="BX22">
        <f>IF(OR(cMed=0,cMed2=0,20&gt;nFilas),NA(),IF(AND(ISNUMBER(INDEX(rMed2,20)),ISNUMBER(INDEX(rMed,20))),INDEX(rMed2,20),NA()))</f>
        <v>2</v>
      </c>
      <c r="BY22">
        <f>IF(OR(cMed=0,cMed2=0,20&gt;nFilas),NA(),IF(AND(ISNUMBER(INDEX(rMed2,20)),ISNUMBER(INDEX(rMed,20))),INDEX(rMed,20),NA()))</f>
        <v>399280</v>
      </c>
    </row>
    <row r="23">
      <c r="A23" t="n">
        <v>21</v>
      </c>
      <c r="B23" t="str">
        <f t="array" ref="B23">IF(cCat1=0,"",IFERROR(INDEX(rCat1,MATCH(0,COUNTIF(B$2:B22,rCat1&amp;"")+(rCat1&amp;""=""),0))&amp;"",""))</f>
        <v/>
      </c>
      <c r="C23" s="93" t="str">
        <f>IF(B23="","",IF(cMed&gt;0,SUMIFS(rMed,rCat1,B23),COUNTIFS(rCat1,B23)))</f>
        <v/>
      </c>
      <c r="D23" t="str">
        <f>IF(B23="","",COUNTIF(C$3:C$42,"&gt;"&amp;C23)+COUNTIF(C$3:C23,C23))</f>
        <v/>
      </c>
      <c r="E23" t="n">
        <v>21</v>
      </c>
      <c r="F23" t="str">
        <f>IFERROR(INDEX(B$3:B$42,MATCH(E23,D$3:D$42,0)),"")</f>
        <v/>
      </c>
      <c r="G23" s="93" t="str">
        <f>IFERROR(INDEX(C$3:C$42,MATCH(E23,D$3:D$42,0)),"")</f>
        <v/>
      </c>
      <c r="H23" s="94" t="str">
        <f>IF(G23="","",IFERROR(G23/total,""))</f>
        <v/>
      </c>
      <c r="J23" t="n">
        <v>21</v>
      </c>
      <c r="K23" t="str">
        <f t="array" ref="K23">IF(cCat2=0,"",IFERROR(INDEX(rCat2,MATCH(0,COUNTIF(K$2:K22,rCat2&amp;"")+(rCat2&amp;""=""),0))&amp;"",""))</f>
        <v/>
      </c>
      <c r="L23" s="93" t="str">
        <f>IF(K23="","",IF(cMed&gt;0,SUMIFS(rMed,rCat2,K23),COUNTIFS(rCat2,K23)))</f>
        <v/>
      </c>
      <c r="M23" t="str">
        <f>IF(K23="","",COUNTIF(L$3:L$42,"&gt;"&amp;L23)+COUNTIF(L$3:L23,L23))</f>
        <v/>
      </c>
      <c r="N23" t="n">
        <v>21</v>
      </c>
      <c r="O23" t="str">
        <f>IFERROR(INDEX(K$3:K$42,MATCH(N23,M$3:M$42,0)),"")</f>
        <v/>
      </c>
      <c r="P23" s="93" t="str">
        <f>IFERROR(INDEX(L$3:L$42,MATCH(N23,M$3:M$42,0)),"")</f>
        <v/>
      </c>
      <c r="Q23" s="94" t="str">
        <f>IF(P23="","",IFERROR(P23/total,""))</f>
        <v/>
      </c>
      <c r="AB23" s="92" t="str">
        <f>IF(cFecha=0,"",IF(CHOOSE(gIdx,tBase+20,tBase+140,DATE(YEAR(tBase),MONTH(tBase)+20,1),DATE(YEAR(tBase),MONTH(tBase)+60,1),DATE(YEAR(tBase)+20,1,1))&gt;fMax,"",CHOOSE(gIdx,tBase+20,tBase+140,DATE(YEAR(tBase),MONTH(tBase)+20,1),DATE(YEAR(tBase),MONTH(tBase)+60,1),DATE(YEAR(tBase)+20,1,1))))</f>
        <v/>
      </c>
      <c r="AC23" s="92" t="str">
        <f>IF(AB23="","",CHOOSE(gIdx,AB23+1,AB23+7,DATE(YEAR(AB23),MONTH(AB23)+1,1),DATE(YEAR(AB23),MONTH(AB23)+3,1),DATE(YEAR(AB23)+1,1,1)))</f>
        <v/>
      </c>
      <c r="AD23" t="str">
        <f>IF(AB23="","",CHOOSE(MONTH(AB23),"Ene","Feb","Mar","Abr","May","Jun","Jul","Ago","Sep","Oct","Nov","Dic")&amp;" "&amp;RIGHT(YEAR(AB23),2))</f>
        <v/>
      </c>
      <c r="AE23" t="e">
        <f>IF(AB23="",NA(),IF(cMed&gt;0,SUMIFS(rMed,rFecha,"&gt;="&amp;AB23,rFecha,"&lt;"&amp;AC23),COUNTIFS(rFecha,"&gt;="&amp;AB23,rFecha,"&lt;"&amp;AC23)))</f>
        <v>#N/A</v>
      </c>
      <c r="AF23" t="e">
        <f>IF(AB23="",NA(),AB23)</f>
        <v>#N/A</v>
      </c>
      <c r="BC23" t="str">
        <f>IF(conHora,RIGHT("0"&amp;20,2)&amp;":00",IF(21&lt;=12,CHOOSE(12,"Ene","Feb","Mar","Abr","May","Jun","Jul","Ago","Sep","Oct","Nov","Dic"),""))</f>
        <v>20:00</v>
      </c>
      <c r="BD23">
        <f t="array" ref="BD23">IF(OR(cFecha=0,AND(NOT(conHora),21&gt;12)),"",SUMPRODUCT(IFERROR(ISNUMBER(rFecha)*(WEEKDAY(rFecha,2)=1)*IF(conHora,HOUR(rFecha)=20,MONTH(rFecha)=21)*IF(cMed&gt;0,IF(ISNUMBER(rMed),rMed,0),1),0)))</f>
        <v>32504020</v>
      </c>
      <c r="BE23">
        <f t="array" ref="BE23">IF(OR(cFecha=0,AND(NOT(conHora),21&gt;12)),"",SUMPRODUCT(IFERROR(ISNUMBER(rFecha)*(WEEKDAY(rFecha,2)=2)*IF(conHora,HOUR(rFecha)=20,MONTH(rFecha)=21)*IF(cMed&gt;0,IF(ISNUMBER(rMed),rMed,0),1),0)))</f>
        <v>13605180</v>
      </c>
      <c r="BF23">
        <f t="array" ref="BF23">IF(OR(cFecha=0,AND(NOT(conHora),21&gt;12)),"",SUMPRODUCT(IFERROR(ISNUMBER(rFecha)*(WEEKDAY(rFecha,2)=3)*IF(conHora,HOUR(rFecha)=20,MONTH(rFecha)=21)*IF(cMed&gt;0,IF(ISNUMBER(rMed),rMed,0),1),0)))</f>
        <v>17596760</v>
      </c>
      <c r="BG23">
        <f t="array" ref="BG23">IF(OR(cFecha=0,AND(NOT(conHora),21&gt;12)),"",SUMPRODUCT(IFERROR(ISNUMBER(rFecha)*(WEEKDAY(rFecha,2)=4)*IF(conHora,HOUR(rFecha)=20,MONTH(rFecha)=21)*IF(cMed&gt;0,IF(ISNUMBER(rMed),rMed,0),1),0)))</f>
        <v>27806800</v>
      </c>
      <c r="BH23">
        <f t="array" ref="BH23">IF(OR(cFecha=0,AND(NOT(conHora),21&gt;12)),"",SUMPRODUCT(IFERROR(ISNUMBER(rFecha)*(WEEKDAY(rFecha,2)=5)*IF(conHora,HOUR(rFecha)=20,MONTH(rFecha)=21)*IF(cMed&gt;0,IF(ISNUMBER(rMed),rMed,0),1),0)))</f>
        <v>35800095</v>
      </c>
      <c r="BI23">
        <f t="array" ref="BI23">IF(OR(cFecha=0,AND(NOT(conHora),21&gt;12)),"",SUMPRODUCT(IFERROR(ISNUMBER(rFecha)*(WEEKDAY(rFecha,2)=6)*IF(conHora,HOUR(rFecha)=20,MONTH(rFecha)=21)*IF(cMed&gt;0,IF(ISNUMBER(rMed),rMed,0),1),0)))</f>
        <v>18998725</v>
      </c>
      <c r="BJ23">
        <f t="array" ref="BJ23">IF(OR(cFecha=0,AND(NOT(conHora),21&gt;12)),"",SUMPRODUCT(IFERROR(ISNUMBER(rFecha)*(WEEKDAY(rFecha,2)=7)*IF(conHora,HOUR(rFecha)=20,MONTH(rFecha)=21)*IF(cMed&gt;0,IF(ISNUMBER(rMed),rMed,0),1),0)))</f>
        <v>27288250</v>
      </c>
      <c r="BL23" t="inlineStr">
        <is>
          <t>Quindío</t>
        </is>
      </c>
      <c r="BM23" t="inlineStr">
        <is>
          <t>Quind?o</t>
        </is>
      </c>
      <c r="BN23">
        <f>IF(cDepto=0,"",IF(cMed&gt;0,SUMIFS(rMed,rDepto,BM23),COUNTIFS(rDepto,BM23)))</f>
        <v>0</v>
      </c>
      <c r="BO23">
        <f>IF(BN23="","",COUNTIF(BN$3:BN$35,"&gt;"&amp;BN23)+COUNTIF(BN$3:BN23,BN23))</f>
        <v>25</v>
      </c>
      <c r="BX23">
        <f>IF(OR(cMed=0,cMed2=0,21&gt;nFilas),NA(),IF(AND(ISNUMBER(INDEX(rMed2,21)),ISNUMBER(INDEX(rMed,21))),INDEX(rMed2,21),NA()))</f>
        <v>1</v>
      </c>
      <c r="BY23">
        <f>IF(OR(cMed=0,cMed2=0,21&gt;nFilas),NA(),IF(AND(ISNUMBER(INDEX(rMed2,21)),ISNUMBER(INDEX(rMed,21))),INDEX(rMed,21),NA()))</f>
        <v>180090</v>
      </c>
    </row>
    <row r="24">
      <c r="A24" t="n">
        <v>22</v>
      </c>
      <c r="B24" t="str">
        <f t="array" ref="B24">IF(cCat1=0,"",IFERROR(INDEX(rCat1,MATCH(0,COUNTIF(B$2:B23,rCat1&amp;"")+(rCat1&amp;""=""),0))&amp;"",""))</f>
        <v/>
      </c>
      <c r="C24" s="93" t="str">
        <f>IF(B24="","",IF(cMed&gt;0,SUMIFS(rMed,rCat1,B24),COUNTIFS(rCat1,B24)))</f>
        <v/>
      </c>
      <c r="D24" t="str">
        <f>IF(B24="","",COUNTIF(C$3:C$42,"&gt;"&amp;C24)+COUNTIF(C$3:C24,C24))</f>
        <v/>
      </c>
      <c r="E24" t="n">
        <v>22</v>
      </c>
      <c r="F24" t="str">
        <f>IFERROR(INDEX(B$3:B$42,MATCH(E24,D$3:D$42,0)),"")</f>
        <v/>
      </c>
      <c r="G24" s="93" t="str">
        <f>IFERROR(INDEX(C$3:C$42,MATCH(E24,D$3:D$42,0)),"")</f>
        <v/>
      </c>
      <c r="H24" s="94" t="str">
        <f>IF(G24="","",IFERROR(G24/total,""))</f>
        <v/>
      </c>
      <c r="J24" t="n">
        <v>22</v>
      </c>
      <c r="K24" t="str">
        <f t="array" ref="K24">IF(cCat2=0,"",IFERROR(INDEX(rCat2,MATCH(0,COUNTIF(K$2:K23,rCat2&amp;"")+(rCat2&amp;""=""),0))&amp;"",""))</f>
        <v/>
      </c>
      <c r="L24" s="93" t="str">
        <f>IF(K24="","",IF(cMed&gt;0,SUMIFS(rMed,rCat2,K24),COUNTIFS(rCat2,K24)))</f>
        <v/>
      </c>
      <c r="M24" t="str">
        <f>IF(K24="","",COUNTIF(L$3:L$42,"&gt;"&amp;L24)+COUNTIF(L$3:L24,L24))</f>
        <v/>
      </c>
      <c r="N24" t="n">
        <v>22</v>
      </c>
      <c r="O24" t="str">
        <f>IFERROR(INDEX(K$3:K$42,MATCH(N24,M$3:M$42,0)),"")</f>
        <v/>
      </c>
      <c r="P24" s="93" t="str">
        <f>IFERROR(INDEX(L$3:L$42,MATCH(N24,M$3:M$42,0)),"")</f>
        <v/>
      </c>
      <c r="Q24" s="94" t="str">
        <f>IF(P24="","",IFERROR(P24/total,""))</f>
        <v/>
      </c>
      <c r="AB24" s="92" t="str">
        <f>IF(cFecha=0,"",IF(CHOOSE(gIdx,tBase+21,tBase+147,DATE(YEAR(tBase),MONTH(tBase)+21,1),DATE(YEAR(tBase),MONTH(tBase)+63,1),DATE(YEAR(tBase)+21,1,1))&gt;fMax,"",CHOOSE(gIdx,tBase+21,tBase+147,DATE(YEAR(tBase),MONTH(tBase)+21,1),DATE(YEAR(tBase),MONTH(tBase)+63,1),DATE(YEAR(tBase)+21,1,1))))</f>
        <v/>
      </c>
      <c r="AC24" s="92" t="str">
        <f>IF(AB24="","",CHOOSE(gIdx,AB24+1,AB24+7,DATE(YEAR(AB24),MONTH(AB24)+1,1),DATE(YEAR(AB24),MONTH(AB24)+3,1),DATE(YEAR(AB24)+1,1,1)))</f>
        <v/>
      </c>
      <c r="AD24" t="str">
        <f>IF(AB24="","",CHOOSE(MONTH(AB24),"Ene","Feb","Mar","Abr","May","Jun","Jul","Ago","Sep","Oct","Nov","Dic")&amp;" "&amp;RIGHT(YEAR(AB24),2))</f>
        <v/>
      </c>
      <c r="AE24" t="e">
        <f>IF(AB24="",NA(),IF(cMed&gt;0,SUMIFS(rMed,rFecha,"&gt;="&amp;AB24,rFecha,"&lt;"&amp;AC24),COUNTIFS(rFecha,"&gt;="&amp;AB24,rFecha,"&lt;"&amp;AC24)))</f>
        <v>#N/A</v>
      </c>
      <c r="AF24" t="e">
        <f>IF(AB24="",NA(),AB24)</f>
        <v>#N/A</v>
      </c>
      <c r="BC24" t="str">
        <f>IF(conHora,RIGHT("0"&amp;21,2)&amp;":00",IF(22&lt;=12,CHOOSE(12,"Ene","Feb","Mar","Abr","May","Jun","Jul","Ago","Sep","Oct","Nov","Dic"),""))</f>
        <v>21:00</v>
      </c>
      <c r="BD24">
        <f t="array" ref="BD24">IF(OR(cFecha=0,AND(NOT(conHora),22&gt;12)),"",SUMPRODUCT(IFERROR(ISNUMBER(rFecha)*(WEEKDAY(rFecha,2)=1)*IF(conHora,HOUR(rFecha)=21,MONTH(rFecha)=22)*IF(cMed&gt;0,IF(ISNUMBER(rMed),rMed,0),1),0)))</f>
        <v>15861180</v>
      </c>
      <c r="BE24">
        <f t="array" ref="BE24">IF(OR(cFecha=0,AND(NOT(conHora),22&gt;12)),"",SUMPRODUCT(IFERROR(ISNUMBER(rFecha)*(WEEKDAY(rFecha,2)=2)*IF(conHora,HOUR(rFecha)=21,MONTH(rFecha)=22)*IF(cMed&gt;0,IF(ISNUMBER(rMed),rMed,0),1),0)))</f>
        <v>15808940</v>
      </c>
      <c r="BF24">
        <f t="array" ref="BF24">IF(OR(cFecha=0,AND(NOT(conHora),22&gt;12)),"",SUMPRODUCT(IFERROR(ISNUMBER(rFecha)*(WEEKDAY(rFecha,2)=3)*IF(conHora,HOUR(rFecha)=21,MONTH(rFecha)=22)*IF(cMed&gt;0,IF(ISNUMBER(rMed),rMed,0),1),0)))</f>
        <v>8138300</v>
      </c>
      <c r="BG24">
        <f t="array" ref="BG24">IF(OR(cFecha=0,AND(NOT(conHora),22&gt;12)),"",SUMPRODUCT(IFERROR(ISNUMBER(rFecha)*(WEEKDAY(rFecha,2)=4)*IF(conHora,HOUR(rFecha)=21,MONTH(rFecha)=22)*IF(cMed&gt;0,IF(ISNUMBER(rMed),rMed,0),1),0)))</f>
        <v>16906300</v>
      </c>
      <c r="BH24">
        <f t="array" ref="BH24">IF(OR(cFecha=0,AND(NOT(conHora),22&gt;12)),"",SUMPRODUCT(IFERROR(ISNUMBER(rFecha)*(WEEKDAY(rFecha,2)=5)*IF(conHora,HOUR(rFecha)=21,MONTH(rFecha)=22)*IF(cMed&gt;0,IF(ISNUMBER(rMed),rMed,0),1),0)))</f>
        <v>12490000</v>
      </c>
      <c r="BI24">
        <f t="array" ref="BI24">IF(OR(cFecha=0,AND(NOT(conHora),22&gt;12)),"",SUMPRODUCT(IFERROR(ISNUMBER(rFecha)*(WEEKDAY(rFecha,2)=6)*IF(conHora,HOUR(rFecha)=21,MONTH(rFecha)=22)*IF(cMed&gt;0,IF(ISNUMBER(rMed),rMed,0),1),0)))</f>
        <v>20211305</v>
      </c>
      <c r="BJ24">
        <f t="array" ref="BJ24">IF(OR(cFecha=0,AND(NOT(conHora),22&gt;12)),"",SUMPRODUCT(IFERROR(ISNUMBER(rFecha)*(WEEKDAY(rFecha,2)=7)*IF(conHora,HOUR(rFecha)=21,MONTH(rFecha)=22)*IF(cMed&gt;0,IF(ISNUMBER(rMed),rMed,0),1),0)))</f>
        <v>24033665</v>
      </c>
      <c r="BL24" t="inlineStr">
        <is>
          <t>Tolima</t>
        </is>
      </c>
      <c r="BM24" t="inlineStr">
        <is>
          <t>Tolima</t>
        </is>
      </c>
      <c r="BN24">
        <f>IF(cDepto=0,"",IF(cMed&gt;0,SUMIFS(rMed,rDepto,BM24),COUNTIFS(rDepto,BM24)))</f>
        <v>0</v>
      </c>
      <c r="BO24">
        <f>IF(BN24="","",COUNTIF(BN$3:BN$35,"&gt;"&amp;BN24)+COUNTIF(BN$3:BN24,BN24))</f>
        <v>26</v>
      </c>
      <c r="BX24">
        <f>IF(OR(cMed=0,cMed2=0,22&gt;nFilas),NA(),IF(AND(ISNUMBER(INDEX(rMed2,22)),ISNUMBER(INDEX(rMed,22))),INDEX(rMed2,22),NA()))</f>
        <v>5</v>
      </c>
      <c r="BY24">
        <f>IF(OR(cMed=0,cMed2=0,22&gt;nFilas),NA(),IF(AND(ISNUMBER(INDEX(rMed2,22)),ISNUMBER(INDEX(rMed,22))),INDEX(rMed,22),NA()))</f>
        <v>656650</v>
      </c>
    </row>
    <row r="25">
      <c r="A25" t="n">
        <v>23</v>
      </c>
      <c r="B25" t="str">
        <f t="array" ref="B25">IF(cCat1=0,"",IFERROR(INDEX(rCat1,MATCH(0,COUNTIF(B$2:B24,rCat1&amp;"")+(rCat1&amp;""=""),0))&amp;"",""))</f>
        <v/>
      </c>
      <c r="C25" s="93" t="str">
        <f>IF(B25="","",IF(cMed&gt;0,SUMIFS(rMed,rCat1,B25),COUNTIFS(rCat1,B25)))</f>
        <v/>
      </c>
      <c r="D25" t="str">
        <f>IF(B25="","",COUNTIF(C$3:C$42,"&gt;"&amp;C25)+COUNTIF(C$3:C25,C25))</f>
        <v/>
      </c>
      <c r="E25" t="n">
        <v>23</v>
      </c>
      <c r="F25" t="str">
        <f>IFERROR(INDEX(B$3:B$42,MATCH(E25,D$3:D$42,0)),"")</f>
        <v/>
      </c>
      <c r="G25" s="93" t="str">
        <f>IFERROR(INDEX(C$3:C$42,MATCH(E25,D$3:D$42,0)),"")</f>
        <v/>
      </c>
      <c r="H25" s="94" t="str">
        <f>IF(G25="","",IFERROR(G25/total,""))</f>
        <v/>
      </c>
      <c r="J25" t="n">
        <v>23</v>
      </c>
      <c r="K25" t="str">
        <f t="array" ref="K25">IF(cCat2=0,"",IFERROR(INDEX(rCat2,MATCH(0,COUNTIF(K$2:K24,rCat2&amp;"")+(rCat2&amp;""=""),0))&amp;"",""))</f>
        <v/>
      </c>
      <c r="L25" s="93" t="str">
        <f>IF(K25="","",IF(cMed&gt;0,SUMIFS(rMed,rCat2,K25),COUNTIFS(rCat2,K25)))</f>
        <v/>
      </c>
      <c r="M25" t="str">
        <f>IF(K25="","",COUNTIF(L$3:L$42,"&gt;"&amp;L25)+COUNTIF(L$3:L25,L25))</f>
        <v/>
      </c>
      <c r="N25" t="n">
        <v>23</v>
      </c>
      <c r="O25" t="str">
        <f>IFERROR(INDEX(K$3:K$42,MATCH(N25,M$3:M$42,0)),"")</f>
        <v/>
      </c>
      <c r="P25" s="93" t="str">
        <f>IFERROR(INDEX(L$3:L$42,MATCH(N25,M$3:M$42,0)),"")</f>
        <v/>
      </c>
      <c r="Q25" s="94" t="str">
        <f>IF(P25="","",IFERROR(P25/total,""))</f>
        <v/>
      </c>
      <c r="AB25" s="92" t="str">
        <f>IF(cFecha=0,"",IF(CHOOSE(gIdx,tBase+22,tBase+154,DATE(YEAR(tBase),MONTH(tBase)+22,1),DATE(YEAR(tBase),MONTH(tBase)+66,1),DATE(YEAR(tBase)+22,1,1))&gt;fMax,"",CHOOSE(gIdx,tBase+22,tBase+154,DATE(YEAR(tBase),MONTH(tBase)+22,1),DATE(YEAR(tBase),MONTH(tBase)+66,1),DATE(YEAR(tBase)+22,1,1))))</f>
        <v/>
      </c>
      <c r="AC25" s="92" t="str">
        <f>IF(AB25="","",CHOOSE(gIdx,AB25+1,AB25+7,DATE(YEAR(AB25),MONTH(AB25)+1,1),DATE(YEAR(AB25),MONTH(AB25)+3,1),DATE(YEAR(AB25)+1,1,1)))</f>
        <v/>
      </c>
      <c r="AD25" t="str">
        <f>IF(AB25="","",CHOOSE(MONTH(AB25),"Ene","Feb","Mar","Abr","May","Jun","Jul","Ago","Sep","Oct","Nov","Dic")&amp;" "&amp;RIGHT(YEAR(AB25),2))</f>
        <v/>
      </c>
      <c r="AE25" t="e">
        <f>IF(AB25="",NA(),IF(cMed&gt;0,SUMIFS(rMed,rFecha,"&gt;="&amp;AB25,rFecha,"&lt;"&amp;AC25),COUNTIFS(rFecha,"&gt;="&amp;AB25,rFecha,"&lt;"&amp;AC25)))</f>
        <v>#N/A</v>
      </c>
      <c r="AF25" t="e">
        <f>IF(AB25="",NA(),AB25)</f>
        <v>#N/A</v>
      </c>
      <c r="BC25" t="str">
        <f>IF(conHora,RIGHT("0"&amp;22,2)&amp;":00",IF(23&lt;=12,CHOOSE(12,"Ene","Feb","Mar","Abr","May","Jun","Jul","Ago","Sep","Oct","Nov","Dic"),""))</f>
        <v>22:00</v>
      </c>
      <c r="BD25">
        <f t="array" ref="BD25">IF(OR(cFecha=0,AND(NOT(conHora),23&gt;12)),"",SUMPRODUCT(IFERROR(ISNUMBER(rFecha)*(WEEKDAY(rFecha,2)=1)*IF(conHora,HOUR(rFecha)=22,MONTH(rFecha)=23)*IF(cMed&gt;0,IF(ISNUMBER(rMed),rMed,0),1),0)))</f>
        <v>21330100</v>
      </c>
      <c r="BE25">
        <f t="array" ref="BE25">IF(OR(cFecha=0,AND(NOT(conHora),23&gt;12)),"",SUMPRODUCT(IFERROR(ISNUMBER(rFecha)*(WEEKDAY(rFecha,2)=2)*IF(conHora,HOUR(rFecha)=22,MONTH(rFecha)=23)*IF(cMed&gt;0,IF(ISNUMBER(rMed),rMed,0),1),0)))</f>
        <v>9996720</v>
      </c>
      <c r="BF25">
        <f t="array" ref="BF25">IF(OR(cFecha=0,AND(NOT(conHora),23&gt;12)),"",SUMPRODUCT(IFERROR(ISNUMBER(rFecha)*(WEEKDAY(rFecha,2)=3)*IF(conHora,HOUR(rFecha)=22,MONTH(rFecha)=23)*IF(cMed&gt;0,IF(ISNUMBER(rMed),rMed,0),1),0)))</f>
        <v>4404820</v>
      </c>
      <c r="BG25">
        <f t="array" ref="BG25">IF(OR(cFecha=0,AND(NOT(conHora),23&gt;12)),"",SUMPRODUCT(IFERROR(ISNUMBER(rFecha)*(WEEKDAY(rFecha,2)=4)*IF(conHora,HOUR(rFecha)=22,MONTH(rFecha)=23)*IF(cMed&gt;0,IF(ISNUMBER(rMed),rMed,0),1),0)))</f>
        <v>15881400</v>
      </c>
      <c r="BH25">
        <f t="array" ref="BH25">IF(OR(cFecha=0,AND(NOT(conHora),23&gt;12)),"",SUMPRODUCT(IFERROR(ISNUMBER(rFecha)*(WEEKDAY(rFecha,2)=5)*IF(conHora,HOUR(rFecha)=22,MONTH(rFecha)=23)*IF(cMed&gt;0,IF(ISNUMBER(rMed),rMed,0),1),0)))</f>
        <v>16525560</v>
      </c>
      <c r="BI25">
        <f t="array" ref="BI25">IF(OR(cFecha=0,AND(NOT(conHora),23&gt;12)),"",SUMPRODUCT(IFERROR(ISNUMBER(rFecha)*(WEEKDAY(rFecha,2)=6)*IF(conHora,HOUR(rFecha)=22,MONTH(rFecha)=23)*IF(cMed&gt;0,IF(ISNUMBER(rMed),rMed,0),1),0)))</f>
        <v>14719790</v>
      </c>
      <c r="BJ25">
        <f t="array" ref="BJ25">IF(OR(cFecha=0,AND(NOT(conHora),23&gt;12)),"",SUMPRODUCT(IFERROR(ISNUMBER(rFecha)*(WEEKDAY(rFecha,2)=7)*IF(conHora,HOUR(rFecha)=22,MONTH(rFecha)=23)*IF(cMed&gt;0,IF(ISNUMBER(rMed),rMed,0),1),0)))</f>
        <v>7277890</v>
      </c>
      <c r="BL25" t="inlineStr">
        <is>
          <t>Bogotá D.C.</t>
        </is>
      </c>
      <c r="BM25" t="inlineStr">
        <is>
          <t>Bogot?*</t>
        </is>
      </c>
      <c r="BN25">
        <f>IF(cDepto=0,"",IF(cMed&gt;0,SUMIFS(rMed,rDepto,BM25),COUNTIFS(rDepto,BM25)))</f>
        <v>554388700</v>
      </c>
      <c r="BO25">
        <f>IF(BN25="","",COUNTIF(BN$3:BN$35,"&gt;"&amp;BN25)+COUNTIF(BN$3:BN25,BN25))</f>
        <v>1</v>
      </c>
      <c r="BX25">
        <f>IF(OR(cMed=0,cMed2=0,23&gt;nFilas),NA(),IF(AND(ISNUMBER(INDEX(rMed2,23)),ISNUMBER(INDEX(rMed,23))),INDEX(rMed2,23),NA()))</f>
        <v>3</v>
      </c>
      <c r="BY25">
        <f>IF(OR(cMed=0,cMed2=0,23&gt;nFilas),NA(),IF(AND(ISNUMBER(INDEX(rMed2,23)),ISNUMBER(INDEX(rMed,23))),INDEX(rMed,23),NA()))</f>
        <v>326025</v>
      </c>
    </row>
    <row r="26">
      <c r="A26" t="n">
        <v>24</v>
      </c>
      <c r="B26" t="str">
        <f t="array" ref="B26">IF(cCat1=0,"",IFERROR(INDEX(rCat1,MATCH(0,COUNTIF(B$2:B25,rCat1&amp;"")+(rCat1&amp;""=""),0))&amp;"",""))</f>
        <v/>
      </c>
      <c r="C26" s="93" t="str">
        <f>IF(B26="","",IF(cMed&gt;0,SUMIFS(rMed,rCat1,B26),COUNTIFS(rCat1,B26)))</f>
        <v/>
      </c>
      <c r="D26" t="str">
        <f>IF(B26="","",COUNTIF(C$3:C$42,"&gt;"&amp;C26)+COUNTIF(C$3:C26,C26))</f>
        <v/>
      </c>
      <c r="E26" t="n">
        <v>24</v>
      </c>
      <c r="F26" t="str">
        <f>IFERROR(INDEX(B$3:B$42,MATCH(E26,D$3:D$42,0)),"")</f>
        <v/>
      </c>
      <c r="G26" s="93" t="str">
        <f>IFERROR(INDEX(C$3:C$42,MATCH(E26,D$3:D$42,0)),"")</f>
        <v/>
      </c>
      <c r="H26" s="94" t="str">
        <f>IF(G26="","",IFERROR(G26/total,""))</f>
        <v/>
      </c>
      <c r="J26" t="n">
        <v>24</v>
      </c>
      <c r="K26" t="str">
        <f t="array" ref="K26">IF(cCat2=0,"",IFERROR(INDEX(rCat2,MATCH(0,COUNTIF(K$2:K25,rCat2&amp;"")+(rCat2&amp;""=""),0))&amp;"",""))</f>
        <v/>
      </c>
      <c r="L26" s="93" t="str">
        <f>IF(K26="","",IF(cMed&gt;0,SUMIFS(rMed,rCat2,K26),COUNTIFS(rCat2,K26)))</f>
        <v/>
      </c>
      <c r="M26" t="str">
        <f>IF(K26="","",COUNTIF(L$3:L$42,"&gt;"&amp;L26)+COUNTIF(L$3:L26,L26))</f>
        <v/>
      </c>
      <c r="N26" t="n">
        <v>24</v>
      </c>
      <c r="O26" t="str">
        <f>IFERROR(INDEX(K$3:K$42,MATCH(N26,M$3:M$42,0)),"")</f>
        <v/>
      </c>
      <c r="P26" s="93" t="str">
        <f>IFERROR(INDEX(L$3:L$42,MATCH(N26,M$3:M$42,0)),"")</f>
        <v/>
      </c>
      <c r="Q26" s="94" t="str">
        <f>IF(P26="","",IFERROR(P26/total,""))</f>
        <v/>
      </c>
      <c r="AB26" s="92" t="str">
        <f>IF(cFecha=0,"",IF(CHOOSE(gIdx,tBase+23,tBase+161,DATE(YEAR(tBase),MONTH(tBase)+23,1),DATE(YEAR(tBase),MONTH(tBase)+69,1),DATE(YEAR(tBase)+23,1,1))&gt;fMax,"",CHOOSE(gIdx,tBase+23,tBase+161,DATE(YEAR(tBase),MONTH(tBase)+23,1),DATE(YEAR(tBase),MONTH(tBase)+69,1),DATE(YEAR(tBase)+23,1,1))))</f>
        <v/>
      </c>
      <c r="AC26" s="92" t="str">
        <f>IF(AB26="","",CHOOSE(gIdx,AB26+1,AB26+7,DATE(YEAR(AB26),MONTH(AB26)+1,1),DATE(YEAR(AB26),MONTH(AB26)+3,1),DATE(YEAR(AB26)+1,1,1)))</f>
        <v/>
      </c>
      <c r="AD26" t="str">
        <f>IF(AB26="","",CHOOSE(MONTH(AB26),"Ene","Feb","Mar","Abr","May","Jun","Jul","Ago","Sep","Oct","Nov","Dic")&amp;" "&amp;RIGHT(YEAR(AB26),2))</f>
        <v/>
      </c>
      <c r="AE26" t="e">
        <f>IF(AB26="",NA(),IF(cMed&gt;0,SUMIFS(rMed,rFecha,"&gt;="&amp;AB26,rFecha,"&lt;"&amp;AC26),COUNTIFS(rFecha,"&gt;="&amp;AB26,rFecha,"&lt;"&amp;AC26)))</f>
        <v>#N/A</v>
      </c>
      <c r="AF26" t="e">
        <f>IF(AB26="",NA(),AB26)</f>
        <v>#N/A</v>
      </c>
      <c r="BC26" t="str">
        <f>IF(conHora,RIGHT("0"&amp;23,2)&amp;":00",IF(24&lt;=12,CHOOSE(12,"Ene","Feb","Mar","Abr","May","Jun","Jul","Ago","Sep","Oct","Nov","Dic"),""))</f>
        <v>23:00</v>
      </c>
      <c r="BD26">
        <f t="array" ref="BD26">IF(OR(cFecha=0,AND(NOT(conHora),24&gt;12)),"",SUMPRODUCT(IFERROR(ISNUMBER(rFecha)*(WEEKDAY(rFecha,2)=1)*IF(conHora,HOUR(rFecha)=23,MONTH(rFecha)=24)*IF(cMed&gt;0,IF(ISNUMBER(rMed),rMed,0),1),0)))</f>
        <v>6042800</v>
      </c>
      <c r="BE26">
        <f t="array" ref="BE26">IF(OR(cFecha=0,AND(NOT(conHora),24&gt;12)),"",SUMPRODUCT(IFERROR(ISNUMBER(rFecha)*(WEEKDAY(rFecha,2)=2)*IF(conHora,HOUR(rFecha)=23,MONTH(rFecha)=24)*IF(cMed&gt;0,IF(ISNUMBER(rMed),rMed,0),1),0)))</f>
        <v>617880</v>
      </c>
      <c r="BF26">
        <f t="array" ref="BF26">IF(OR(cFecha=0,AND(NOT(conHora),24&gt;12)),"",SUMPRODUCT(IFERROR(ISNUMBER(rFecha)*(WEEKDAY(rFecha,2)=3)*IF(conHora,HOUR(rFecha)=23,MONTH(rFecha)=24)*IF(cMed&gt;0,IF(ISNUMBER(rMed),rMed,0),1),0)))</f>
        <v>6211080</v>
      </c>
      <c r="BG26">
        <f t="array" ref="BG26">IF(OR(cFecha=0,AND(NOT(conHora),24&gt;12)),"",SUMPRODUCT(IFERROR(ISNUMBER(rFecha)*(WEEKDAY(rFecha,2)=4)*IF(conHora,HOUR(rFecha)=23,MONTH(rFecha)=24)*IF(cMed&gt;0,IF(ISNUMBER(rMed),rMed,0),1),0)))</f>
        <v>4108960</v>
      </c>
      <c r="BH26">
        <f t="array" ref="BH26">IF(OR(cFecha=0,AND(NOT(conHora),24&gt;12)),"",SUMPRODUCT(IFERROR(ISNUMBER(rFecha)*(WEEKDAY(rFecha,2)=5)*IF(conHora,HOUR(rFecha)=23,MONTH(rFecha)=24)*IF(cMed&gt;0,IF(ISNUMBER(rMed),rMed,0),1),0)))</f>
        <v>6298645</v>
      </c>
      <c r="BI26">
        <f t="array" ref="BI26">IF(OR(cFecha=0,AND(NOT(conHora),24&gt;12)),"",SUMPRODUCT(IFERROR(ISNUMBER(rFecha)*(WEEKDAY(rFecha,2)=6)*IF(conHora,HOUR(rFecha)=23,MONTH(rFecha)=24)*IF(cMed&gt;0,IF(ISNUMBER(rMed),rMed,0),1),0)))</f>
        <v>5190200</v>
      </c>
      <c r="BJ26">
        <f t="array" ref="BJ26">IF(OR(cFecha=0,AND(NOT(conHora),24&gt;12)),"",SUMPRODUCT(IFERROR(ISNUMBER(rFecha)*(WEEKDAY(rFecha,2)=7)*IF(conHora,HOUR(rFecha)=23,MONTH(rFecha)=24)*IF(cMed&gt;0,IF(ISNUMBER(rMed),rMed,0),1),0)))</f>
        <v>11527090</v>
      </c>
      <c r="BL26" t="inlineStr">
        <is>
          <t>Meta</t>
        </is>
      </c>
      <c r="BM26" t="inlineStr">
        <is>
          <t>Meta</t>
        </is>
      </c>
      <c r="BN26">
        <f>IF(cDepto=0,"",IF(cMed&gt;0,SUMIFS(rMed,rDepto,BM26),COUNTIFS(rDepto,BM26)))</f>
        <v>83519275</v>
      </c>
      <c r="BO26">
        <f>IF(BN26="","",COUNTIF(BN$3:BN$35,"&gt;"&amp;BN26)+COUNTIF(BN$3:BN26,BN26))</f>
        <v>8</v>
      </c>
      <c r="BX26">
        <f>IF(OR(cMed=0,cMed2=0,24&gt;nFilas),NA(),IF(AND(ISNUMBER(INDEX(rMed2,24)),ISNUMBER(INDEX(rMed,24))),INDEX(rMed2,24),NA()))</f>
        <v>2</v>
      </c>
      <c r="BY26">
        <f>IF(OR(cMed=0,cMed2=0,24&gt;nFilas),NA(),IF(AND(ISNUMBER(INDEX(rMed2,24)),ISNUMBER(INDEX(rMed,24))),INDEX(rMed,24),NA()))</f>
        <v>155710</v>
      </c>
    </row>
    <row r="27">
      <c r="A27" t="n">
        <v>25</v>
      </c>
      <c r="B27" t="str">
        <f t="array" ref="B27">IF(cCat1=0,"",IFERROR(INDEX(rCat1,MATCH(0,COUNTIF(B$2:B26,rCat1&amp;"")+(rCat1&amp;""=""),0))&amp;"",""))</f>
        <v/>
      </c>
      <c r="C27" s="93" t="str">
        <f>IF(B27="","",IF(cMed&gt;0,SUMIFS(rMed,rCat1,B27),COUNTIFS(rCat1,B27)))</f>
        <v/>
      </c>
      <c r="D27" t="str">
        <f>IF(B27="","",COUNTIF(C$3:C$42,"&gt;"&amp;C27)+COUNTIF(C$3:C27,C27))</f>
        <v/>
      </c>
      <c r="E27" t="n">
        <v>25</v>
      </c>
      <c r="F27" t="str">
        <f>IFERROR(INDEX(B$3:B$42,MATCH(E27,D$3:D$42,0)),"")</f>
        <v/>
      </c>
      <c r="G27" s="93" t="str">
        <f>IFERROR(INDEX(C$3:C$42,MATCH(E27,D$3:D$42,0)),"")</f>
        <v/>
      </c>
      <c r="H27" s="94" t="str">
        <f>IF(G27="","",IFERROR(G27/total,""))</f>
        <v/>
      </c>
      <c r="J27" t="n">
        <v>25</v>
      </c>
      <c r="K27" t="str">
        <f t="array" ref="K27">IF(cCat2=0,"",IFERROR(INDEX(rCat2,MATCH(0,COUNTIF(K$2:K26,rCat2&amp;"")+(rCat2&amp;""=""),0))&amp;"",""))</f>
        <v/>
      </c>
      <c r="L27" s="93" t="str">
        <f>IF(K27="","",IF(cMed&gt;0,SUMIFS(rMed,rCat2,K27),COUNTIFS(rCat2,K27)))</f>
        <v/>
      </c>
      <c r="M27" t="str">
        <f>IF(K27="","",COUNTIF(L$3:L$42,"&gt;"&amp;L27)+COUNTIF(L$3:L27,L27))</f>
        <v/>
      </c>
      <c r="N27" t="n">
        <v>25</v>
      </c>
      <c r="O27" t="str">
        <f>IFERROR(INDEX(K$3:K$42,MATCH(N27,M$3:M$42,0)),"")</f>
        <v/>
      </c>
      <c r="P27" s="93" t="str">
        <f>IFERROR(INDEX(L$3:L$42,MATCH(N27,M$3:M$42,0)),"")</f>
        <v/>
      </c>
      <c r="Q27" s="94" t="str">
        <f>IF(P27="","",IFERROR(P27/total,""))</f>
        <v/>
      </c>
      <c r="BL27" t="inlineStr">
        <is>
          <t>Guainía</t>
        </is>
      </c>
      <c r="BM27" t="inlineStr">
        <is>
          <t>Guain?a</t>
        </is>
      </c>
      <c r="BN27">
        <f>IF(cDepto=0,"",IF(cMed&gt;0,SUMIFS(rMed,rDepto,BM27),COUNTIFS(rDepto,BM27)))</f>
        <v>0</v>
      </c>
      <c r="BO27">
        <f>IF(BN27="","",COUNTIF(BN$3:BN$35,"&gt;"&amp;BN27)+COUNTIF(BN$3:BN27,BN27))</f>
        <v>27</v>
      </c>
      <c r="BX27">
        <f>IF(OR(cMed=0,cMed2=0,25&gt;nFilas),NA(),IF(AND(ISNUMBER(INDEX(rMed2,25)),ISNUMBER(INDEX(rMed,25))),INDEX(rMed2,25),NA()))</f>
        <v>2</v>
      </c>
      <c r="BY27">
        <f>IF(OR(cMed=0,cMed2=0,25&gt;nFilas),NA(),IF(AND(ISNUMBER(INDEX(rMed2,25)),ISNUMBER(INDEX(rMed,25))),INDEX(rMed,25),NA()))</f>
        <v>571090</v>
      </c>
    </row>
    <row r="28">
      <c r="A28" t="n">
        <v>26</v>
      </c>
      <c r="B28" t="str">
        <f t="array" ref="B28">IF(cCat1=0,"",IFERROR(INDEX(rCat1,MATCH(0,COUNTIF(B$2:B27,rCat1&amp;"")+(rCat1&amp;""=""),0))&amp;"",""))</f>
        <v/>
      </c>
      <c r="C28" s="93" t="str">
        <f>IF(B28="","",IF(cMed&gt;0,SUMIFS(rMed,rCat1,B28),COUNTIFS(rCat1,B28)))</f>
        <v/>
      </c>
      <c r="D28" t="str">
        <f>IF(B28="","",COUNTIF(C$3:C$42,"&gt;"&amp;C28)+COUNTIF(C$3:C28,C28))</f>
        <v/>
      </c>
      <c r="E28" t="n">
        <v>26</v>
      </c>
      <c r="F28" t="str">
        <f>IFERROR(INDEX(B$3:B$42,MATCH(E28,D$3:D$42,0)),"")</f>
        <v/>
      </c>
      <c r="G28" s="93" t="str">
        <f>IFERROR(INDEX(C$3:C$42,MATCH(E28,D$3:D$42,0)),"")</f>
        <v/>
      </c>
      <c r="H28" s="94" t="str">
        <f>IF(G28="","",IFERROR(G28/total,""))</f>
        <v/>
      </c>
      <c r="J28" t="n">
        <v>26</v>
      </c>
      <c r="K28" t="str">
        <f t="array" ref="K28">IF(cCat2=0,"",IFERROR(INDEX(rCat2,MATCH(0,COUNTIF(K$2:K27,rCat2&amp;"")+(rCat2&amp;""=""),0))&amp;"",""))</f>
        <v/>
      </c>
      <c r="L28" s="93" t="str">
        <f>IF(K28="","",IF(cMed&gt;0,SUMIFS(rMed,rCat2,K28),COUNTIFS(rCat2,K28)))</f>
        <v/>
      </c>
      <c r="M28" t="str">
        <f>IF(K28="","",COUNTIF(L$3:L$42,"&gt;"&amp;L28)+COUNTIF(L$3:L28,L28))</f>
        <v/>
      </c>
      <c r="N28" t="n">
        <v>26</v>
      </c>
      <c r="O28" t="str">
        <f>IFERROR(INDEX(K$3:K$42,MATCH(N28,M$3:M$42,0)),"")</f>
        <v/>
      </c>
      <c r="P28" s="93" t="str">
        <f>IFERROR(INDEX(L$3:L$42,MATCH(N28,M$3:M$42,0)),"")</f>
        <v/>
      </c>
      <c r="Q28" s="94" t="str">
        <f>IF(P28="","",IFERROR(P28/total,""))</f>
        <v/>
      </c>
      <c r="BL28" t="inlineStr">
        <is>
          <t>Cauca</t>
        </is>
      </c>
      <c r="BM28" t="inlineStr">
        <is>
          <t>Cauca</t>
        </is>
      </c>
      <c r="BN28">
        <f>IF(cDepto=0,"",IF(cMed&gt;0,SUMIFS(rMed,rDepto,BM28),COUNTIFS(rDepto,BM28)))</f>
        <v>0</v>
      </c>
      <c r="BO28">
        <f>IF(BN28="","",COUNTIF(BN$3:BN$35,"&gt;"&amp;BN28)+COUNTIF(BN$3:BN28,BN28))</f>
        <v>28</v>
      </c>
      <c r="BX28">
        <f>IF(OR(cMed=0,cMed2=0,26&gt;nFilas),NA(),IF(AND(ISNUMBER(INDEX(rMed2,26)),ISNUMBER(INDEX(rMed,26))),INDEX(rMed2,26),NA()))</f>
        <v>5</v>
      </c>
      <c r="BY28">
        <f>IF(OR(cMed=0,cMed2=0,26&gt;nFilas),NA(),IF(AND(ISNUMBER(INDEX(rMed2,26)),ISNUMBER(INDEX(rMed,26))),INDEX(rMed,26),NA()))</f>
        <v>4210725</v>
      </c>
    </row>
    <row r="29">
      <c r="A29" t="n">
        <v>27</v>
      </c>
      <c r="B29" t="str">
        <f t="array" ref="B29">IF(cCat1=0,"",IFERROR(INDEX(rCat1,MATCH(0,COUNTIF(B$2:B28,rCat1&amp;"")+(rCat1&amp;""=""),0))&amp;"",""))</f>
        <v/>
      </c>
      <c r="C29" s="93" t="str">
        <f>IF(B29="","",IF(cMed&gt;0,SUMIFS(rMed,rCat1,B29),COUNTIFS(rCat1,B29)))</f>
        <v/>
      </c>
      <c r="D29" t="str">
        <f>IF(B29="","",COUNTIF(C$3:C$42,"&gt;"&amp;C29)+COUNTIF(C$3:C29,C29))</f>
        <v/>
      </c>
      <c r="E29" t="n">
        <v>27</v>
      </c>
      <c r="F29" t="str">
        <f>IFERROR(INDEX(B$3:B$42,MATCH(E29,D$3:D$42,0)),"")</f>
        <v/>
      </c>
      <c r="G29" s="93" t="str">
        <f>IFERROR(INDEX(C$3:C$42,MATCH(E29,D$3:D$42,0)),"")</f>
        <v/>
      </c>
      <c r="H29" s="94" t="str">
        <f>IF(G29="","",IFERROR(G29/total,""))</f>
        <v/>
      </c>
      <c r="J29" t="n">
        <v>27</v>
      </c>
      <c r="K29" t="str">
        <f t="array" ref="K29">IF(cCat2=0,"",IFERROR(INDEX(rCat2,MATCH(0,COUNTIF(K$2:K28,rCat2&amp;"")+(rCat2&amp;""=""),0))&amp;"",""))</f>
        <v/>
      </c>
      <c r="L29" s="93" t="str">
        <f>IF(K29="","",IF(cMed&gt;0,SUMIFS(rMed,rCat2,K29),COUNTIFS(rCat2,K29)))</f>
        <v/>
      </c>
      <c r="M29" t="str">
        <f>IF(K29="","",COUNTIF(L$3:L$42,"&gt;"&amp;L29)+COUNTIF(L$3:L29,L29))</f>
        <v/>
      </c>
      <c r="N29" t="n">
        <v>27</v>
      </c>
      <c r="O29" t="str">
        <f>IFERROR(INDEX(K$3:K$42,MATCH(N29,M$3:M$42,0)),"")</f>
        <v/>
      </c>
      <c r="P29" s="93" t="str">
        <f>IFERROR(INDEX(L$3:L$42,MATCH(N29,M$3:M$42,0)),"")</f>
        <v/>
      </c>
      <c r="Q29" s="94" t="str">
        <f>IF(P29="","",IFERROR(P29/total,""))</f>
        <v/>
      </c>
      <c r="BL29" t="inlineStr">
        <is>
          <t>Huila</t>
        </is>
      </c>
      <c r="BM29" t="inlineStr">
        <is>
          <t>Huila</t>
        </is>
      </c>
      <c r="BN29">
        <f>IF(cDepto=0,"",IF(cMed&gt;0,SUMIFS(rMed,rDepto,BM29),COUNTIFS(rDepto,BM29)))</f>
        <v>48591155</v>
      </c>
      <c r="BO29">
        <f>IF(BN29="","",COUNTIF(BN$3:BN$35,"&gt;"&amp;BN29)+COUNTIF(BN$3:BN29,BN29))</f>
        <v>10</v>
      </c>
      <c r="BX29">
        <f>IF(OR(cMed=0,cMed2=0,27&gt;nFilas),NA(),IF(AND(ISNUMBER(INDEX(rMed2,27)),ISNUMBER(INDEX(rMed,27))),INDEX(rMed2,27),NA()))</f>
        <v>1</v>
      </c>
      <c r="BY29">
        <f>IF(OR(cMed=0,cMed2=0,27&gt;nFilas),NA(),IF(AND(ISNUMBER(INDEX(rMed2,27)),ISNUMBER(INDEX(rMed,27))),INDEX(rMed,27),NA()))</f>
        <v>1087900</v>
      </c>
    </row>
    <row r="30">
      <c r="A30" t="n">
        <v>28</v>
      </c>
      <c r="B30" t="str">
        <f t="array" ref="B30">IF(cCat1=0,"",IFERROR(INDEX(rCat1,MATCH(0,COUNTIF(B$2:B29,rCat1&amp;"")+(rCat1&amp;""=""),0))&amp;"",""))</f>
        <v/>
      </c>
      <c r="C30" s="93" t="str">
        <f>IF(B30="","",IF(cMed&gt;0,SUMIFS(rMed,rCat1,B30),COUNTIFS(rCat1,B30)))</f>
        <v/>
      </c>
      <c r="D30" t="str">
        <f>IF(B30="","",COUNTIF(C$3:C$42,"&gt;"&amp;C30)+COUNTIF(C$3:C30,C30))</f>
        <v/>
      </c>
      <c r="E30" t="n">
        <v>28</v>
      </c>
      <c r="F30" t="str">
        <f>IFERROR(INDEX(B$3:B$42,MATCH(E30,D$3:D$42,0)),"")</f>
        <v/>
      </c>
      <c r="G30" s="93" t="str">
        <f>IFERROR(INDEX(C$3:C$42,MATCH(E30,D$3:D$42,0)),"")</f>
        <v/>
      </c>
      <c r="H30" s="94" t="str">
        <f>IF(G30="","",IFERROR(G30/total,""))</f>
        <v/>
      </c>
      <c r="J30" t="n">
        <v>28</v>
      </c>
      <c r="K30" t="str">
        <f t="array" ref="K30">IF(cCat2=0,"",IFERROR(INDEX(rCat2,MATCH(0,COUNTIF(K$2:K29,rCat2&amp;"")+(rCat2&amp;""=""),0))&amp;"",""))</f>
        <v/>
      </c>
      <c r="L30" s="93" t="str">
        <f>IF(K30="","",IF(cMed&gt;0,SUMIFS(rMed,rCat2,K30),COUNTIFS(rCat2,K30)))</f>
        <v/>
      </c>
      <c r="M30" t="str">
        <f>IF(K30="","",COUNTIF(L$3:L$42,"&gt;"&amp;L30)+COUNTIF(L$3:L30,L30))</f>
        <v/>
      </c>
      <c r="N30" t="n">
        <v>28</v>
      </c>
      <c r="O30" t="str">
        <f>IFERROR(INDEX(K$3:K$42,MATCH(N30,M$3:M$42,0)),"")</f>
        <v/>
      </c>
      <c r="P30" s="93" t="str">
        <f>IFERROR(INDEX(L$3:L$42,MATCH(N30,M$3:M$42,0)),"")</f>
        <v/>
      </c>
      <c r="Q30" s="94" t="str">
        <f>IF(P30="","",IFERROR(P30/total,""))</f>
        <v/>
      </c>
      <c r="BL30" t="inlineStr">
        <is>
          <t>Caquetá</t>
        </is>
      </c>
      <c r="BM30" t="inlineStr">
        <is>
          <t>Caquet?</t>
        </is>
      </c>
      <c r="BN30">
        <f>IF(cDepto=0,"",IF(cMed&gt;0,SUMIFS(rMed,rDepto,BM30),COUNTIFS(rDepto,BM30)))</f>
        <v>0</v>
      </c>
      <c r="BO30">
        <f>IF(BN30="","",COUNTIF(BN$3:BN$35,"&gt;"&amp;BN30)+COUNTIF(BN$3:BN30,BN30))</f>
        <v>29</v>
      </c>
      <c r="BX30">
        <f>IF(OR(cMed=0,cMed2=0,28&gt;nFilas),NA(),IF(AND(ISNUMBER(INDEX(rMed2,28)),ISNUMBER(INDEX(rMed,28))),INDEX(rMed2,28),NA()))</f>
        <v>2</v>
      </c>
      <c r="BY30">
        <f>IF(OR(cMed=0,cMed2=0,28&gt;nFilas),NA(),IF(AND(ISNUMBER(INDEX(rMed2,28)),ISNUMBER(INDEX(rMed,28))),INDEX(rMed,28),NA()))</f>
        <v>2319780</v>
      </c>
    </row>
    <row r="31">
      <c r="A31" t="n">
        <v>29</v>
      </c>
      <c r="B31" t="str">
        <f t="array" ref="B31">IF(cCat1=0,"",IFERROR(INDEX(rCat1,MATCH(0,COUNTIF(B$2:B30,rCat1&amp;"")+(rCat1&amp;""=""),0))&amp;"",""))</f>
        <v/>
      </c>
      <c r="C31" s="93" t="str">
        <f>IF(B31="","",IF(cMed&gt;0,SUMIFS(rMed,rCat1,B31),COUNTIFS(rCat1,B31)))</f>
        <v/>
      </c>
      <c r="D31" t="str">
        <f>IF(B31="","",COUNTIF(C$3:C$42,"&gt;"&amp;C31)+COUNTIF(C$3:C31,C31))</f>
        <v/>
      </c>
      <c r="E31" t="n">
        <v>29</v>
      </c>
      <c r="F31" t="str">
        <f>IFERROR(INDEX(B$3:B$42,MATCH(E31,D$3:D$42,0)),"")</f>
        <v/>
      </c>
      <c r="G31" s="93" t="str">
        <f>IFERROR(INDEX(C$3:C$42,MATCH(E31,D$3:D$42,0)),"")</f>
        <v/>
      </c>
      <c r="H31" s="94" t="str">
        <f>IF(G31="","",IFERROR(G31/total,""))</f>
        <v/>
      </c>
      <c r="J31" t="n">
        <v>29</v>
      </c>
      <c r="K31" t="str">
        <f t="array" ref="K31">IF(cCat2=0,"",IFERROR(INDEX(rCat2,MATCH(0,COUNTIF(K$2:K30,rCat2&amp;"")+(rCat2&amp;""=""),0))&amp;"",""))</f>
        <v/>
      </c>
      <c r="L31" s="93" t="str">
        <f>IF(K31="","",IF(cMed&gt;0,SUMIFS(rMed,rCat2,K31),COUNTIFS(rCat2,K31)))</f>
        <v/>
      </c>
      <c r="M31" t="str">
        <f>IF(K31="","",COUNTIF(L$3:L$42,"&gt;"&amp;L31)+COUNTIF(L$3:L31,L31))</f>
        <v/>
      </c>
      <c r="N31" t="n">
        <v>29</v>
      </c>
      <c r="O31" t="str">
        <f>IFERROR(INDEX(K$3:K$42,MATCH(N31,M$3:M$42,0)),"")</f>
        <v/>
      </c>
      <c r="P31" s="93" t="str">
        <f>IFERROR(INDEX(L$3:L$42,MATCH(N31,M$3:M$42,0)),"")</f>
        <v/>
      </c>
      <c r="Q31" s="94" t="str">
        <f>IF(P31="","",IFERROR(P31/total,""))</f>
        <v/>
      </c>
      <c r="BL31" t="inlineStr">
        <is>
          <t>Guaviare</t>
        </is>
      </c>
      <c r="BM31" t="inlineStr">
        <is>
          <t>Guaviare</t>
        </is>
      </c>
      <c r="BN31">
        <f>IF(cDepto=0,"",IF(cMed&gt;0,SUMIFS(rMed,rDepto,BM31),COUNTIFS(rDepto,BM31)))</f>
        <v>0</v>
      </c>
      <c r="BO31">
        <f>IF(BN31="","",COUNTIF(BN$3:BN$35,"&gt;"&amp;BN31)+COUNTIF(BN$3:BN31,BN31))</f>
        <v>30</v>
      </c>
      <c r="BX31">
        <f>IF(OR(cMed=0,cMed2=0,29&gt;nFilas),NA(),IF(AND(ISNUMBER(INDEX(rMed2,29)),ISNUMBER(INDEX(rMed,29))),INDEX(rMed2,29),NA()))</f>
        <v>2</v>
      </c>
      <c r="BY31">
        <f>IF(OR(cMed=0,cMed2=0,29&gt;nFilas),NA(),IF(AND(ISNUMBER(INDEX(rMed2,29)),ISNUMBER(INDEX(rMed,29))),INDEX(rMed,29),NA()))</f>
        <v>184920</v>
      </c>
    </row>
    <row r="32">
      <c r="A32" t="n">
        <v>30</v>
      </c>
      <c r="B32" t="str">
        <f t="array" ref="B32">IF(cCat1=0,"",IFERROR(INDEX(rCat1,MATCH(0,COUNTIF(B$2:B31,rCat1&amp;"")+(rCat1&amp;""=""),0))&amp;"",""))</f>
        <v/>
      </c>
      <c r="C32" s="93" t="str">
        <f>IF(B32="","",IF(cMed&gt;0,SUMIFS(rMed,rCat1,B32),COUNTIFS(rCat1,B32)))</f>
        <v/>
      </c>
      <c r="D32" t="str">
        <f>IF(B32="","",COUNTIF(C$3:C$42,"&gt;"&amp;C32)+COUNTIF(C$3:C32,C32))</f>
        <v/>
      </c>
      <c r="E32" t="n">
        <v>30</v>
      </c>
      <c r="F32" t="str">
        <f>IFERROR(INDEX(B$3:B$42,MATCH(E32,D$3:D$42,0)),"")</f>
        <v/>
      </c>
      <c r="G32" s="93" t="str">
        <f>IFERROR(INDEX(C$3:C$42,MATCH(E32,D$3:D$42,0)),"")</f>
        <v/>
      </c>
      <c r="H32" s="94" t="str">
        <f>IF(G32="","",IFERROR(G32/total,""))</f>
        <v/>
      </c>
      <c r="J32" t="n">
        <v>30</v>
      </c>
      <c r="K32" t="str">
        <f t="array" ref="K32">IF(cCat2=0,"",IFERROR(INDEX(rCat2,MATCH(0,COUNTIF(K$2:K31,rCat2&amp;"")+(rCat2&amp;""=""),0))&amp;"",""))</f>
        <v/>
      </c>
      <c r="L32" s="93" t="str">
        <f>IF(K32="","",IF(cMed&gt;0,SUMIFS(rMed,rCat2,K32),COUNTIFS(rCat2,K32)))</f>
        <v/>
      </c>
      <c r="M32" t="str">
        <f>IF(K32="","",COUNTIF(L$3:L$42,"&gt;"&amp;L32)+COUNTIF(L$3:L32,L32))</f>
        <v/>
      </c>
      <c r="N32" t="n">
        <v>30</v>
      </c>
      <c r="O32" t="str">
        <f>IFERROR(INDEX(K$3:K$42,MATCH(N32,M$3:M$42,0)),"")</f>
        <v/>
      </c>
      <c r="P32" s="93" t="str">
        <f>IFERROR(INDEX(L$3:L$42,MATCH(N32,M$3:M$42,0)),"")</f>
        <v/>
      </c>
      <c r="Q32" s="94" t="str">
        <f>IF(P32="","",IFERROR(P32/total,""))</f>
        <v/>
      </c>
      <c r="BL32" t="inlineStr">
        <is>
          <t>Vaupés</t>
        </is>
      </c>
      <c r="BM32" t="inlineStr">
        <is>
          <t>Vaup?s</t>
        </is>
      </c>
      <c r="BN32">
        <f>IF(cDepto=0,"",IF(cMed&gt;0,SUMIFS(rMed,rDepto,BM32),COUNTIFS(rDepto,BM32)))</f>
        <v>0</v>
      </c>
      <c r="BO32">
        <f>IF(BN32="","",COUNTIF(BN$3:BN$35,"&gt;"&amp;BN32)+COUNTIF(BN$3:BN32,BN32))</f>
        <v>31</v>
      </c>
      <c r="BX32">
        <f>IF(OR(cMed=0,cMed2=0,30&gt;nFilas),NA(),IF(AND(ISNUMBER(INDEX(rMed2,30)),ISNUMBER(INDEX(rMed,30))),INDEX(rMed2,30),NA()))</f>
        <v>4</v>
      </c>
      <c r="BY32">
        <f>IF(OR(cMed=0,cMed2=0,30&gt;nFilas),NA(),IF(AND(ISNUMBER(INDEX(rMed2,30)),ISNUMBER(INDEX(rMed,30))),INDEX(rMed,30),NA()))</f>
        <v>327520</v>
      </c>
    </row>
    <row r="33">
      <c r="A33" t="n">
        <v>31</v>
      </c>
      <c r="B33" t="str">
        <f t="array" ref="B33">IF(cCat1=0,"",IFERROR(INDEX(rCat1,MATCH(0,COUNTIF(B$2:B32,rCat1&amp;"")+(rCat1&amp;""=""),0))&amp;"",""))</f>
        <v/>
      </c>
      <c r="C33" s="93" t="str">
        <f>IF(B33="","",IF(cMed&gt;0,SUMIFS(rMed,rCat1,B33),COUNTIFS(rCat1,B33)))</f>
        <v/>
      </c>
      <c r="D33" t="str">
        <f>IF(B33="","",COUNTIF(C$3:C$42,"&gt;"&amp;C33)+COUNTIF(C$3:C33,C33))</f>
        <v/>
      </c>
      <c r="E33" t="n">
        <v>31</v>
      </c>
      <c r="F33" t="str">
        <f>IFERROR(INDEX(B$3:B$42,MATCH(E33,D$3:D$42,0)),"")</f>
        <v/>
      </c>
      <c r="G33" s="93" t="str">
        <f>IFERROR(INDEX(C$3:C$42,MATCH(E33,D$3:D$42,0)),"")</f>
        <v/>
      </c>
      <c r="H33" s="94" t="str">
        <f>IF(G33="","",IFERROR(G33/total,""))</f>
        <v/>
      </c>
      <c r="J33" t="n">
        <v>31</v>
      </c>
      <c r="K33" t="str">
        <f t="array" ref="K33">IF(cCat2=0,"",IFERROR(INDEX(rCat2,MATCH(0,COUNTIF(K$2:K32,rCat2&amp;"")+(rCat2&amp;""=""),0))&amp;"",""))</f>
        <v/>
      </c>
      <c r="L33" s="93" t="str">
        <f>IF(K33="","",IF(cMed&gt;0,SUMIFS(rMed,rCat2,K33),COUNTIFS(rCat2,K33)))</f>
        <v/>
      </c>
      <c r="M33" t="str">
        <f>IF(K33="","",COUNTIF(L$3:L$42,"&gt;"&amp;L33)+COUNTIF(L$3:L33,L33))</f>
        <v/>
      </c>
      <c r="N33" t="n">
        <v>31</v>
      </c>
      <c r="O33" t="str">
        <f>IFERROR(INDEX(K$3:K$42,MATCH(N33,M$3:M$42,0)),"")</f>
        <v/>
      </c>
      <c r="P33" s="93" t="str">
        <f>IFERROR(INDEX(L$3:L$42,MATCH(N33,M$3:M$42,0)),"")</f>
        <v/>
      </c>
      <c r="Q33" s="94" t="str">
        <f>IF(P33="","",IFERROR(P33/total,""))</f>
        <v/>
      </c>
      <c r="BL33" t="inlineStr">
        <is>
          <t>Nariño</t>
        </is>
      </c>
      <c r="BM33" t="inlineStr">
        <is>
          <t>Nari?o</t>
        </is>
      </c>
      <c r="BN33">
        <f>IF(cDepto=0,"",IF(cMed&gt;0,SUMIFS(rMed,rDepto,BM33),COUNTIFS(rDepto,BM33)))</f>
        <v>68536175</v>
      </c>
      <c r="BO33">
        <f>IF(BN33="","",COUNTIF(BN$3:BN$35,"&gt;"&amp;BN33)+COUNTIF(BN$3:BN33,BN33))</f>
        <v>9</v>
      </c>
      <c r="BX33">
        <f>IF(OR(cMed=0,cMed2=0,31&gt;nFilas),NA(),IF(AND(ISNUMBER(INDEX(rMed2,31)),ISNUMBER(INDEX(rMed,31))),INDEX(rMed2,31),NA()))</f>
        <v>4</v>
      </c>
      <c r="BY33">
        <f>IF(OR(cMed=0,cMed2=0,31&gt;nFilas),NA(),IF(AND(ISNUMBER(INDEX(rMed2,31)),ISNUMBER(INDEX(rMed,31))),INDEX(rMed,31),NA()))</f>
        <v>2523200</v>
      </c>
    </row>
    <row r="34">
      <c r="A34" t="n">
        <v>32</v>
      </c>
      <c r="B34" t="str">
        <f t="array" ref="B34">IF(cCat1=0,"",IFERROR(INDEX(rCat1,MATCH(0,COUNTIF(B$2:B33,rCat1&amp;"")+(rCat1&amp;""=""),0))&amp;"",""))</f>
        <v/>
      </c>
      <c r="C34" s="93" t="str">
        <f>IF(B34="","",IF(cMed&gt;0,SUMIFS(rMed,rCat1,B34),COUNTIFS(rCat1,B34)))</f>
        <v/>
      </c>
      <c r="D34" t="str">
        <f>IF(B34="","",COUNTIF(C$3:C$42,"&gt;"&amp;C34)+COUNTIF(C$3:C34,C34))</f>
        <v/>
      </c>
      <c r="E34" t="n">
        <v>32</v>
      </c>
      <c r="F34" t="str">
        <f>IFERROR(INDEX(B$3:B$42,MATCH(E34,D$3:D$42,0)),"")</f>
        <v/>
      </c>
      <c r="G34" s="93" t="str">
        <f>IFERROR(INDEX(C$3:C$42,MATCH(E34,D$3:D$42,0)),"")</f>
        <v/>
      </c>
      <c r="H34" s="94" t="str">
        <f>IF(G34="","",IFERROR(G34/total,""))</f>
        <v/>
      </c>
      <c r="J34" t="n">
        <v>32</v>
      </c>
      <c r="K34" t="str">
        <f t="array" ref="K34">IF(cCat2=0,"",IFERROR(INDEX(rCat2,MATCH(0,COUNTIF(K$2:K33,rCat2&amp;"")+(rCat2&amp;""=""),0))&amp;"",""))</f>
        <v/>
      </c>
      <c r="L34" s="93" t="str">
        <f>IF(K34="","",IF(cMed&gt;0,SUMIFS(rMed,rCat2,K34),COUNTIFS(rCat2,K34)))</f>
        <v/>
      </c>
      <c r="M34" t="str">
        <f>IF(K34="","",COUNTIF(L$3:L$42,"&gt;"&amp;L34)+COUNTIF(L$3:L34,L34))</f>
        <v/>
      </c>
      <c r="N34" t="n">
        <v>32</v>
      </c>
      <c r="O34" t="str">
        <f>IFERROR(INDEX(K$3:K$42,MATCH(N34,M$3:M$42,0)),"")</f>
        <v/>
      </c>
      <c r="P34" s="93" t="str">
        <f>IFERROR(INDEX(L$3:L$42,MATCH(N34,M$3:M$42,0)),"")</f>
        <v/>
      </c>
      <c r="Q34" s="94" t="str">
        <f>IF(P34="","",IFERROR(P34/total,""))</f>
        <v/>
      </c>
      <c r="BL34" t="inlineStr">
        <is>
          <t>Putumayo</t>
        </is>
      </c>
      <c r="BM34" t="inlineStr">
        <is>
          <t>Putumayo</t>
        </is>
      </c>
      <c r="BN34">
        <f>IF(cDepto=0,"",IF(cMed&gt;0,SUMIFS(rMed,rDepto,BM34),COUNTIFS(rDepto,BM34)))</f>
        <v>0</v>
      </c>
      <c r="BO34">
        <f>IF(BN34="","",COUNTIF(BN$3:BN$35,"&gt;"&amp;BN34)+COUNTIF(BN$3:BN34,BN34))</f>
        <v>32</v>
      </c>
      <c r="BX34">
        <f>IF(OR(cMed=0,cMed2=0,32&gt;nFilas),NA(),IF(AND(ISNUMBER(INDEX(rMed2,32)),ISNUMBER(INDEX(rMed,32))),INDEX(rMed2,32),NA()))</f>
        <v>2</v>
      </c>
      <c r="BY34">
        <f>IF(OR(cMed=0,cMed2=0,32&gt;nFilas),NA(),IF(AND(ISNUMBER(INDEX(rMed2,32)),ISNUMBER(INDEX(rMed,32))),INDEX(rMed,32),NA()))</f>
        <v>542800</v>
      </c>
    </row>
    <row r="35">
      <c r="A35" t="n">
        <v>33</v>
      </c>
      <c r="B35" t="str">
        <f t="array" ref="B35">IF(cCat1=0,"",IFERROR(INDEX(rCat1,MATCH(0,COUNTIF(B$2:B34,rCat1&amp;"")+(rCat1&amp;""=""),0))&amp;"",""))</f>
        <v/>
      </c>
      <c r="C35" s="93" t="str">
        <f>IF(B35="","",IF(cMed&gt;0,SUMIFS(rMed,rCat1,B35),COUNTIFS(rCat1,B35)))</f>
        <v/>
      </c>
      <c r="D35" t="str">
        <f>IF(B35="","",COUNTIF(C$3:C$42,"&gt;"&amp;C35)+COUNTIF(C$3:C35,C35))</f>
        <v/>
      </c>
      <c r="E35" t="n">
        <v>33</v>
      </c>
      <c r="F35" t="str">
        <f>IFERROR(INDEX(B$3:B$42,MATCH(E35,D$3:D$42,0)),"")</f>
        <v/>
      </c>
      <c r="G35" s="93" t="str">
        <f>IFERROR(INDEX(C$3:C$42,MATCH(E35,D$3:D$42,0)),"")</f>
        <v/>
      </c>
      <c r="H35" s="94" t="str">
        <f>IF(G35="","",IFERROR(G35/total,""))</f>
        <v/>
      </c>
      <c r="J35" t="n">
        <v>33</v>
      </c>
      <c r="K35" t="str">
        <f t="array" ref="K35">IF(cCat2=0,"",IFERROR(INDEX(rCat2,MATCH(0,COUNTIF(K$2:K34,rCat2&amp;"")+(rCat2&amp;""=""),0))&amp;"",""))</f>
        <v/>
      </c>
      <c r="L35" s="93" t="str">
        <f>IF(K35="","",IF(cMed&gt;0,SUMIFS(rMed,rCat2,K35),COUNTIFS(rCat2,K35)))</f>
        <v/>
      </c>
      <c r="M35" t="str">
        <f>IF(K35="","",COUNTIF(L$3:L$42,"&gt;"&amp;L35)+COUNTIF(L$3:L35,L35))</f>
        <v/>
      </c>
      <c r="N35" t="n">
        <v>33</v>
      </c>
      <c r="O35" t="str">
        <f>IFERROR(INDEX(K$3:K$42,MATCH(N35,M$3:M$42,0)),"")</f>
        <v/>
      </c>
      <c r="P35" s="93" t="str">
        <f>IFERROR(INDEX(L$3:L$42,MATCH(N35,M$3:M$42,0)),"")</f>
        <v/>
      </c>
      <c r="Q35" s="94" t="str">
        <f>IF(P35="","",IFERROR(P35/total,""))</f>
        <v/>
      </c>
      <c r="BL35" t="inlineStr">
        <is>
          <t>Amazonas</t>
        </is>
      </c>
      <c r="BM35" t="inlineStr">
        <is>
          <t>Amazonas</t>
        </is>
      </c>
      <c r="BN35">
        <f>IF(cDepto=0,"",IF(cMed&gt;0,SUMIFS(rMed,rDepto,BM35),COUNTIFS(rDepto,BM35)))</f>
        <v>0</v>
      </c>
      <c r="BO35">
        <f>IF(BN35="","",COUNTIF(BN$3:BN$35,"&gt;"&amp;BN35)+COUNTIF(BN$3:BN35,BN35))</f>
        <v>33</v>
      </c>
      <c r="BX35">
        <f>IF(OR(cMed=0,cMed2=0,33&gt;nFilas),NA(),IF(AND(ISNUMBER(INDEX(rMed2,33)),ISNUMBER(INDEX(rMed,33))),INDEX(rMed2,33),NA()))</f>
        <v>1</v>
      </c>
      <c r="BY35">
        <f>IF(OR(cMed=0,cMed2=0,33&gt;nFilas),NA(),IF(AND(ISNUMBER(INDEX(rMed2,33)),ISNUMBER(INDEX(rMed,33))),INDEX(rMed,33),NA()))</f>
        <v>66500</v>
      </c>
    </row>
    <row r="36">
      <c r="A36" t="n">
        <v>34</v>
      </c>
      <c r="B36" t="str">
        <f t="array" ref="B36">IF(cCat1=0,"",IFERROR(INDEX(rCat1,MATCH(0,COUNTIF(B$2:B35,rCat1&amp;"")+(rCat1&amp;""=""),0))&amp;"",""))</f>
        <v/>
      </c>
      <c r="C36" s="93" t="str">
        <f>IF(B36="","",IF(cMed&gt;0,SUMIFS(rMed,rCat1,B36),COUNTIFS(rCat1,B36)))</f>
        <v/>
      </c>
      <c r="D36" t="str">
        <f>IF(B36="","",COUNTIF(C$3:C$42,"&gt;"&amp;C36)+COUNTIF(C$3:C36,C36))</f>
        <v/>
      </c>
      <c r="E36" t="n">
        <v>34</v>
      </c>
      <c r="F36" t="str">
        <f>IFERROR(INDEX(B$3:B$42,MATCH(E36,D$3:D$42,0)),"")</f>
        <v/>
      </c>
      <c r="G36" s="93" t="str">
        <f>IFERROR(INDEX(C$3:C$42,MATCH(E36,D$3:D$42,0)),"")</f>
        <v/>
      </c>
      <c r="H36" s="94" t="str">
        <f>IF(G36="","",IFERROR(G36/total,""))</f>
        <v/>
      </c>
      <c r="J36" t="n">
        <v>34</v>
      </c>
      <c r="K36" t="str">
        <f t="array" ref="K36">IF(cCat2=0,"",IFERROR(INDEX(rCat2,MATCH(0,COUNTIF(K$2:K35,rCat2&amp;"")+(rCat2&amp;""=""),0))&amp;"",""))</f>
        <v/>
      </c>
      <c r="L36" s="93" t="str">
        <f>IF(K36="","",IF(cMed&gt;0,SUMIFS(rMed,rCat2,K36),COUNTIFS(rCat2,K36)))</f>
        <v/>
      </c>
      <c r="M36" t="str">
        <f>IF(K36="","",COUNTIF(L$3:L$42,"&gt;"&amp;L36)+COUNTIF(L$3:L36,L36))</f>
        <v/>
      </c>
      <c r="N36" t="n">
        <v>34</v>
      </c>
      <c r="O36" t="str">
        <f>IFERROR(INDEX(K$3:K$42,MATCH(N36,M$3:M$42,0)),"")</f>
        <v/>
      </c>
      <c r="P36" s="93" t="str">
        <f>IFERROR(INDEX(L$3:L$42,MATCH(N36,M$3:M$42,0)),"")</f>
        <v/>
      </c>
      <c r="Q36" s="94" t="str">
        <f>IF(P36="","",IFERROR(P36/total,""))</f>
        <v/>
      </c>
      <c r="BX36">
        <f>IF(OR(cMed=0,cMed2=0,34&gt;nFilas),NA(),IF(AND(ISNUMBER(INDEX(rMed2,34)),ISNUMBER(INDEX(rMed,34))),INDEX(rMed2,34),NA()))</f>
        <v>1</v>
      </c>
      <c r="BY36">
        <f>IF(OR(cMed=0,cMed2=0,34&gt;nFilas),NA(),IF(AND(ISNUMBER(INDEX(rMed2,34)),ISNUMBER(INDEX(rMed,34))),INDEX(rMed,34),NA()))</f>
        <v>231800</v>
      </c>
    </row>
    <row r="37">
      <c r="A37" t="n">
        <v>35</v>
      </c>
      <c r="B37" t="str">
        <f t="array" ref="B37">IF(cCat1=0,"",IFERROR(INDEX(rCat1,MATCH(0,COUNTIF(B$2:B36,rCat1&amp;"")+(rCat1&amp;""=""),0))&amp;"",""))</f>
        <v/>
      </c>
      <c r="C37" s="93" t="str">
        <f>IF(B37="","",IF(cMed&gt;0,SUMIFS(rMed,rCat1,B37),COUNTIFS(rCat1,B37)))</f>
        <v/>
      </c>
      <c r="D37" t="str">
        <f>IF(B37="","",COUNTIF(C$3:C$42,"&gt;"&amp;C37)+COUNTIF(C$3:C37,C37))</f>
        <v/>
      </c>
      <c r="E37" t="n">
        <v>35</v>
      </c>
      <c r="F37" t="str">
        <f>IFERROR(INDEX(B$3:B$42,MATCH(E37,D$3:D$42,0)),"")</f>
        <v/>
      </c>
      <c r="G37" s="93" t="str">
        <f>IFERROR(INDEX(C$3:C$42,MATCH(E37,D$3:D$42,0)),"")</f>
        <v/>
      </c>
      <c r="H37" s="94" t="str">
        <f>IF(G37="","",IFERROR(G37/total,""))</f>
        <v/>
      </c>
      <c r="J37" t="n">
        <v>35</v>
      </c>
      <c r="K37" t="str">
        <f t="array" ref="K37">IF(cCat2=0,"",IFERROR(INDEX(rCat2,MATCH(0,COUNTIF(K$2:K36,rCat2&amp;"")+(rCat2&amp;""=""),0))&amp;"",""))</f>
        <v/>
      </c>
      <c r="L37" s="93" t="str">
        <f>IF(K37="","",IF(cMed&gt;0,SUMIFS(rMed,rCat2,K37),COUNTIFS(rCat2,K37)))</f>
        <v/>
      </c>
      <c r="M37" t="str">
        <f>IF(K37="","",COUNTIF(L$3:L$42,"&gt;"&amp;L37)+COUNTIF(L$3:L37,L37))</f>
        <v/>
      </c>
      <c r="N37" t="n">
        <v>35</v>
      </c>
      <c r="O37" t="str">
        <f>IFERROR(INDEX(K$3:K$42,MATCH(N37,M$3:M$42,0)),"")</f>
        <v/>
      </c>
      <c r="P37" s="93" t="str">
        <f>IFERROR(INDEX(L$3:L$42,MATCH(N37,M$3:M$42,0)),"")</f>
        <v/>
      </c>
      <c r="Q37" s="94" t="str">
        <f>IF(P37="","",IFERROR(P37/total,""))</f>
        <v/>
      </c>
      <c r="BX37">
        <f>IF(OR(cMed=0,cMed2=0,35&gt;nFilas),NA(),IF(AND(ISNUMBER(INDEX(rMed2,35)),ISNUMBER(INDEX(rMed,35))),INDEX(rMed2,35),NA()))</f>
        <v>1</v>
      </c>
      <c r="BY37">
        <f>IF(OR(cMed=0,cMed2=0,35&gt;nFilas),NA(),IF(AND(ISNUMBER(INDEX(rMed2,35)),ISNUMBER(INDEX(rMed,35))),INDEX(rMed,35),NA()))</f>
        <v>252800</v>
      </c>
    </row>
    <row r="38">
      <c r="A38" t="n">
        <v>36</v>
      </c>
      <c r="B38" t="str">
        <f t="array" ref="B38">IF(cCat1=0,"",IFERROR(INDEX(rCat1,MATCH(0,COUNTIF(B$2:B37,rCat1&amp;"")+(rCat1&amp;""=""),0))&amp;"",""))</f>
        <v/>
      </c>
      <c r="C38" s="93" t="str">
        <f>IF(B38="","",IF(cMed&gt;0,SUMIFS(rMed,rCat1,B38),COUNTIFS(rCat1,B38)))</f>
        <v/>
      </c>
      <c r="D38" t="str">
        <f>IF(B38="","",COUNTIF(C$3:C$42,"&gt;"&amp;C38)+COUNTIF(C$3:C38,C38))</f>
        <v/>
      </c>
      <c r="E38" t="n">
        <v>36</v>
      </c>
      <c r="F38" t="str">
        <f>IFERROR(INDEX(B$3:B$42,MATCH(E38,D$3:D$42,0)),"")</f>
        <v/>
      </c>
      <c r="G38" s="93" t="str">
        <f>IFERROR(INDEX(C$3:C$42,MATCH(E38,D$3:D$42,0)),"")</f>
        <v/>
      </c>
      <c r="H38" s="94" t="str">
        <f>IF(G38="","",IFERROR(G38/total,""))</f>
        <v/>
      </c>
      <c r="J38" t="n">
        <v>36</v>
      </c>
      <c r="K38" t="str">
        <f t="array" ref="K38">IF(cCat2=0,"",IFERROR(INDEX(rCat2,MATCH(0,COUNTIF(K$2:K37,rCat2&amp;"")+(rCat2&amp;""=""),0))&amp;"",""))</f>
        <v/>
      </c>
      <c r="L38" s="93" t="str">
        <f>IF(K38="","",IF(cMed&gt;0,SUMIFS(rMed,rCat2,K38),COUNTIFS(rCat2,K38)))</f>
        <v/>
      </c>
      <c r="M38" t="str">
        <f>IF(K38="","",COUNTIF(L$3:L$42,"&gt;"&amp;L38)+COUNTIF(L$3:L38,L38))</f>
        <v/>
      </c>
      <c r="N38" t="n">
        <v>36</v>
      </c>
      <c r="O38" t="str">
        <f>IFERROR(INDEX(K$3:K$42,MATCH(N38,M$3:M$42,0)),"")</f>
        <v/>
      </c>
      <c r="P38" s="93" t="str">
        <f>IFERROR(INDEX(L$3:L$42,MATCH(N38,M$3:M$42,0)),"")</f>
        <v/>
      </c>
      <c r="Q38" s="94" t="str">
        <f>IF(P38="","",IFERROR(P38/total,""))</f>
        <v/>
      </c>
      <c r="BX38">
        <f>IF(OR(cMed=0,cMed2=0,36&gt;nFilas),NA(),IF(AND(ISNUMBER(INDEX(rMed2,36)),ISNUMBER(INDEX(rMed,36))),INDEX(rMed2,36),NA()))</f>
        <v>4</v>
      </c>
      <c r="BY38">
        <f>IF(OR(cMed=0,cMed2=0,36&gt;nFilas),NA(),IF(AND(ISNUMBER(INDEX(rMed2,36)),ISNUMBER(INDEX(rMed,36))),INDEX(rMed,36),NA()))</f>
        <v>3862800</v>
      </c>
    </row>
    <row r="39">
      <c r="A39" t="n">
        <v>37</v>
      </c>
      <c r="B39" t="str">
        <f t="array" ref="B39">IF(cCat1=0,"",IFERROR(INDEX(rCat1,MATCH(0,COUNTIF(B$2:B38,rCat1&amp;"")+(rCat1&amp;""=""),0))&amp;"",""))</f>
        <v/>
      </c>
      <c r="C39" s="93" t="str">
        <f>IF(B39="","",IF(cMed&gt;0,SUMIFS(rMed,rCat1,B39),COUNTIFS(rCat1,B39)))</f>
        <v/>
      </c>
      <c r="D39" t="str">
        <f>IF(B39="","",COUNTIF(C$3:C$42,"&gt;"&amp;C39)+COUNTIF(C$3:C39,C39))</f>
        <v/>
      </c>
      <c r="E39" t="n">
        <v>37</v>
      </c>
      <c r="F39" t="str">
        <f>IFERROR(INDEX(B$3:B$42,MATCH(E39,D$3:D$42,0)),"")</f>
        <v/>
      </c>
      <c r="G39" s="93" t="str">
        <f>IFERROR(INDEX(C$3:C$42,MATCH(E39,D$3:D$42,0)),"")</f>
        <v/>
      </c>
      <c r="H39" s="94" t="str">
        <f>IF(G39="","",IFERROR(G39/total,""))</f>
        <v/>
      </c>
      <c r="J39" t="n">
        <v>37</v>
      </c>
      <c r="K39" t="str">
        <f t="array" ref="K39">IF(cCat2=0,"",IFERROR(INDEX(rCat2,MATCH(0,COUNTIF(K$2:K38,rCat2&amp;"")+(rCat2&amp;""=""),0))&amp;"",""))</f>
        <v/>
      </c>
      <c r="L39" s="93" t="str">
        <f>IF(K39="","",IF(cMed&gt;0,SUMIFS(rMed,rCat2,K39),COUNTIFS(rCat2,K39)))</f>
        <v/>
      </c>
      <c r="M39" t="str">
        <f>IF(K39="","",COUNTIF(L$3:L$42,"&gt;"&amp;L39)+COUNTIF(L$3:L39,L39))</f>
        <v/>
      </c>
      <c r="N39" t="n">
        <v>37</v>
      </c>
      <c r="O39" t="str">
        <f>IFERROR(INDEX(K$3:K$42,MATCH(N39,M$3:M$42,0)),"")</f>
        <v/>
      </c>
      <c r="P39" s="93" t="str">
        <f>IFERROR(INDEX(L$3:L$42,MATCH(N39,M$3:M$42,0)),"")</f>
        <v/>
      </c>
      <c r="Q39" s="94" t="str">
        <f>IF(P39="","",IFERROR(P39/total,""))</f>
        <v/>
      </c>
      <c r="BX39">
        <f>IF(OR(cMed=0,cMed2=0,37&gt;nFilas),NA(),IF(AND(ISNUMBER(INDEX(rMed2,37)),ISNUMBER(INDEX(rMed,37))),INDEX(rMed2,37),NA()))</f>
        <v>5</v>
      </c>
      <c r="BY39">
        <f>IF(OR(cMed=0,cMed2=0,37&gt;nFilas),NA(),IF(AND(ISNUMBER(INDEX(rMed2,37)),ISNUMBER(INDEX(rMed,37))),INDEX(rMed,37),NA()))</f>
        <v>1334000</v>
      </c>
    </row>
    <row r="40">
      <c r="A40" t="n">
        <v>38</v>
      </c>
      <c r="B40" t="str">
        <f t="array" ref="B40">IF(cCat1=0,"",IFERROR(INDEX(rCat1,MATCH(0,COUNTIF(B$2:B39,rCat1&amp;"")+(rCat1&amp;""=""),0))&amp;"",""))</f>
        <v/>
      </c>
      <c r="C40" s="93" t="str">
        <f>IF(B40="","",IF(cMed&gt;0,SUMIFS(rMed,rCat1,B40),COUNTIFS(rCat1,B40)))</f>
        <v/>
      </c>
      <c r="D40" t="str">
        <f>IF(B40="","",COUNTIF(C$3:C$42,"&gt;"&amp;C40)+COUNTIF(C$3:C40,C40))</f>
        <v/>
      </c>
      <c r="E40" t="n">
        <v>38</v>
      </c>
      <c r="F40" t="str">
        <f>IFERROR(INDEX(B$3:B$42,MATCH(E40,D$3:D$42,0)),"")</f>
        <v/>
      </c>
      <c r="G40" s="93" t="str">
        <f>IFERROR(INDEX(C$3:C$42,MATCH(E40,D$3:D$42,0)),"")</f>
        <v/>
      </c>
      <c r="H40" s="94" t="str">
        <f>IF(G40="","",IFERROR(G40/total,""))</f>
        <v/>
      </c>
      <c r="J40" t="n">
        <v>38</v>
      </c>
      <c r="K40" t="str">
        <f t="array" ref="K40">IF(cCat2=0,"",IFERROR(INDEX(rCat2,MATCH(0,COUNTIF(K$2:K39,rCat2&amp;"")+(rCat2&amp;""=""),0))&amp;"",""))</f>
        <v/>
      </c>
      <c r="L40" s="93" t="str">
        <f>IF(K40="","",IF(cMed&gt;0,SUMIFS(rMed,rCat2,K40),COUNTIFS(rCat2,K40)))</f>
        <v/>
      </c>
      <c r="M40" t="str">
        <f>IF(K40="","",COUNTIF(L$3:L$42,"&gt;"&amp;L40)+COUNTIF(L$3:L40,L40))</f>
        <v/>
      </c>
      <c r="N40" t="n">
        <v>38</v>
      </c>
      <c r="O40" t="str">
        <f>IFERROR(INDEX(K$3:K$42,MATCH(N40,M$3:M$42,0)),"")</f>
        <v/>
      </c>
      <c r="P40" s="93" t="str">
        <f>IFERROR(INDEX(L$3:L$42,MATCH(N40,M$3:M$42,0)),"")</f>
        <v/>
      </c>
      <c r="Q40" s="94" t="str">
        <f>IF(P40="","",IFERROR(P40/total,""))</f>
        <v/>
      </c>
      <c r="BX40">
        <f>IF(OR(cMed=0,cMed2=0,38&gt;nFilas),NA(),IF(AND(ISNUMBER(INDEX(rMed2,38)),ISNUMBER(INDEX(rMed,38))),INDEX(rMed2,38),NA()))</f>
        <v>4</v>
      </c>
      <c r="BY40">
        <f>IF(OR(cMed=0,cMed2=0,38&gt;nFilas),NA(),IF(AND(ISNUMBER(INDEX(rMed2,38)),ISNUMBER(INDEX(rMed,38))),INDEX(rMed,38),NA()))</f>
        <v>669600</v>
      </c>
    </row>
    <row r="41">
      <c r="A41" t="n">
        <v>39</v>
      </c>
      <c r="B41" t="str">
        <f t="array" ref="B41">IF(cCat1=0,"",IFERROR(INDEX(rCat1,MATCH(0,COUNTIF(B$2:B40,rCat1&amp;"")+(rCat1&amp;""=""),0))&amp;"",""))</f>
        <v/>
      </c>
      <c r="C41" s="93" t="str">
        <f>IF(B41="","",IF(cMed&gt;0,SUMIFS(rMed,rCat1,B41),COUNTIFS(rCat1,B41)))</f>
        <v/>
      </c>
      <c r="D41" t="str">
        <f>IF(B41="","",COUNTIF(C$3:C$42,"&gt;"&amp;C41)+COUNTIF(C$3:C41,C41))</f>
        <v/>
      </c>
      <c r="E41" t="n">
        <v>39</v>
      </c>
      <c r="F41" t="str">
        <f>IFERROR(INDEX(B$3:B$42,MATCH(E41,D$3:D$42,0)),"")</f>
        <v/>
      </c>
      <c r="G41" s="93" t="str">
        <f>IFERROR(INDEX(C$3:C$42,MATCH(E41,D$3:D$42,0)),"")</f>
        <v/>
      </c>
      <c r="H41" s="94" t="str">
        <f>IF(G41="","",IFERROR(G41/total,""))</f>
        <v/>
      </c>
      <c r="J41" t="n">
        <v>39</v>
      </c>
      <c r="K41" t="str">
        <f t="array" ref="K41">IF(cCat2=0,"",IFERROR(INDEX(rCat2,MATCH(0,COUNTIF(K$2:K40,rCat2&amp;"")+(rCat2&amp;""=""),0))&amp;"",""))</f>
        <v/>
      </c>
      <c r="L41" s="93" t="str">
        <f>IF(K41="","",IF(cMed&gt;0,SUMIFS(rMed,rCat2,K41),COUNTIFS(rCat2,K41)))</f>
        <v/>
      </c>
      <c r="M41" t="str">
        <f>IF(K41="","",COUNTIF(L$3:L$42,"&gt;"&amp;L41)+COUNTIF(L$3:L41,L41))</f>
        <v/>
      </c>
      <c r="N41" t="n">
        <v>39</v>
      </c>
      <c r="O41" t="str">
        <f>IFERROR(INDEX(K$3:K$42,MATCH(N41,M$3:M$42,0)),"")</f>
        <v/>
      </c>
      <c r="P41" s="93" t="str">
        <f>IFERROR(INDEX(L$3:L$42,MATCH(N41,M$3:M$42,0)),"")</f>
        <v/>
      </c>
      <c r="Q41" s="94" t="str">
        <f>IF(P41="","",IFERROR(P41/total,""))</f>
        <v/>
      </c>
      <c r="BX41">
        <f>IF(OR(cMed=0,cMed2=0,39&gt;nFilas),NA(),IF(AND(ISNUMBER(INDEX(rMed2,39)),ISNUMBER(INDEX(rMed,39))),INDEX(rMed2,39),NA()))</f>
        <v>5</v>
      </c>
      <c r="BY41">
        <f>IF(OR(cMed=0,cMed2=0,39&gt;nFilas),NA(),IF(AND(ISNUMBER(INDEX(rMed2,39)),ISNUMBER(INDEX(rMed,39))),INDEX(rMed,39),NA()))</f>
        <v>4618500</v>
      </c>
    </row>
    <row r="42">
      <c r="A42" t="n">
        <v>40</v>
      </c>
      <c r="B42" t="str">
        <f t="array" ref="B42">IF(cCat1=0,"",IFERROR(INDEX(rCat1,MATCH(0,COUNTIF(B$2:B41,rCat1&amp;"")+(rCat1&amp;""=""),0))&amp;"",""))</f>
        <v/>
      </c>
      <c r="C42" s="93" t="str">
        <f>IF(B42="","",IF(cMed&gt;0,SUMIFS(rMed,rCat1,B42),COUNTIFS(rCat1,B42)))</f>
        <v/>
      </c>
      <c r="D42" t="str">
        <f>IF(B42="","",COUNTIF(C$3:C$42,"&gt;"&amp;C42)+COUNTIF(C$3:C42,C42))</f>
        <v/>
      </c>
      <c r="E42" t="n">
        <v>40</v>
      </c>
      <c r="F42" t="str">
        <f>IFERROR(INDEX(B$3:B$42,MATCH(E42,D$3:D$42,0)),"")</f>
        <v/>
      </c>
      <c r="G42" s="93" t="str">
        <f>IFERROR(INDEX(C$3:C$42,MATCH(E42,D$3:D$42,0)),"")</f>
        <v/>
      </c>
      <c r="H42" s="94" t="str">
        <f>IF(G42="","",IFERROR(G42/total,""))</f>
        <v/>
      </c>
      <c r="J42" t="n">
        <v>40</v>
      </c>
      <c r="K42" t="str">
        <f t="array" ref="K42">IF(cCat2=0,"",IFERROR(INDEX(rCat2,MATCH(0,COUNTIF(K$2:K41,rCat2&amp;"")+(rCat2&amp;""=""),0))&amp;"",""))</f>
        <v/>
      </c>
      <c r="L42" s="93" t="str">
        <f>IF(K42="","",IF(cMed&gt;0,SUMIFS(rMed,rCat2,K42),COUNTIFS(rCat2,K42)))</f>
        <v/>
      </c>
      <c r="M42" t="str">
        <f>IF(K42="","",COUNTIF(L$3:L$42,"&gt;"&amp;L42)+COUNTIF(L$3:L42,L42))</f>
        <v/>
      </c>
      <c r="N42" t="n">
        <v>40</v>
      </c>
      <c r="O42" t="str">
        <f>IFERROR(INDEX(K$3:K$42,MATCH(N42,M$3:M$42,0)),"")</f>
        <v/>
      </c>
      <c r="P42" s="93" t="str">
        <f>IFERROR(INDEX(L$3:L$42,MATCH(N42,M$3:M$42,0)),"")</f>
        <v/>
      </c>
      <c r="Q42" s="94" t="str">
        <f>IF(P42="","",IFERROR(P42/total,""))</f>
        <v/>
      </c>
      <c r="BX42">
        <f>IF(OR(cMed=0,cMed2=0,40&gt;nFilas),NA(),IF(AND(ISNUMBER(INDEX(rMed2,40)),ISNUMBER(INDEX(rMed,40))),INDEX(rMed2,40),NA()))</f>
        <v>1</v>
      </c>
      <c r="BY42">
        <f>IF(OR(cMed=0,cMed2=0,40&gt;nFilas),NA(),IF(AND(ISNUMBER(INDEX(rMed2,40)),ISNUMBER(INDEX(rMed,40))),INDEX(rMed,40),NA()))</f>
        <v>234200</v>
      </c>
    </row>
    <row r="43">
      <c r="BX43">
        <f>IF(OR(cMed=0,cMed2=0,41&gt;nFilas),NA(),IF(AND(ISNUMBER(INDEX(rMed2,41)),ISNUMBER(INDEX(rMed,41))),INDEX(rMed2,41),NA()))</f>
        <v>1</v>
      </c>
      <c r="BY43">
        <f>IF(OR(cMed=0,cMed2=0,41&gt;nFilas),NA(),IF(AND(ISNUMBER(INDEX(rMed2,41)),ISNUMBER(INDEX(rMed,41))),INDEX(rMed,41),NA()))</f>
        <v>50000</v>
      </c>
    </row>
    <row r="44">
      <c r="BX44">
        <f>IF(OR(cMed=0,cMed2=0,42&gt;nFilas),NA(),IF(AND(ISNUMBER(INDEX(rMed2,42)),ISNUMBER(INDEX(rMed,42))),INDEX(rMed2,42),NA()))</f>
        <v>1</v>
      </c>
      <c r="BY44">
        <f>IF(OR(cMed=0,cMed2=0,42&gt;nFilas),NA(),IF(AND(ISNUMBER(INDEX(rMed2,42)),ISNUMBER(INDEX(rMed,42))),INDEX(rMed,42),NA()))</f>
        <v>133055</v>
      </c>
    </row>
    <row r="45">
      <c r="BX45">
        <f>IF(OR(cMed=0,cMed2=0,43&gt;nFilas),NA(),IF(AND(ISNUMBER(INDEX(rMed2,43)),ISNUMBER(INDEX(rMed,43))),INDEX(rMed2,43),NA()))</f>
        <v>2</v>
      </c>
      <c r="BY45">
        <f>IF(OR(cMed=0,cMed2=0,43&gt;nFilas),NA(),IF(AND(ISNUMBER(INDEX(rMed2,43)),ISNUMBER(INDEX(rMed,43))),INDEX(rMed,43),NA()))</f>
        <v>412620</v>
      </c>
    </row>
    <row r="46">
      <c r="BX46">
        <f>IF(OR(cMed=0,cMed2=0,44&gt;nFilas),NA(),IF(AND(ISNUMBER(INDEX(rMed2,44)),ISNUMBER(INDEX(rMed,44))),INDEX(rMed2,44),NA()))</f>
        <v>3</v>
      </c>
      <c r="BY46">
        <f>IF(OR(cMed=0,cMed2=0,44&gt;nFilas),NA(),IF(AND(ISNUMBER(INDEX(rMed2,44)),ISNUMBER(INDEX(rMed,44))),INDEX(rMed,44),NA()))</f>
        <v>348105</v>
      </c>
    </row>
    <row r="47">
      <c r="BX47">
        <f>IF(OR(cMed=0,cMed2=0,45&gt;nFilas),NA(),IF(AND(ISNUMBER(INDEX(rMed2,45)),ISNUMBER(INDEX(rMed,45))),INDEX(rMed2,45),NA()))</f>
        <v>5</v>
      </c>
      <c r="BY47">
        <f>IF(OR(cMed=0,cMed2=0,45&gt;nFilas),NA(),IF(AND(ISNUMBER(INDEX(rMed2,45)),ISNUMBER(INDEX(rMed,45))),INDEX(rMed,45),NA()))</f>
        <v>1361025</v>
      </c>
    </row>
    <row r="48">
      <c r="BX48">
        <f>IF(OR(cMed=0,cMed2=0,46&gt;nFilas),NA(),IF(AND(ISNUMBER(INDEX(rMed2,46)),ISNUMBER(INDEX(rMed,46))),INDEX(rMed2,46),NA()))</f>
        <v>2</v>
      </c>
      <c r="BY48">
        <f>IF(OR(cMed=0,cMed2=0,46&gt;nFilas),NA(),IF(AND(ISNUMBER(INDEX(rMed2,46)),ISNUMBER(INDEX(rMed,46))),INDEX(rMed,46),NA()))</f>
        <v>334420</v>
      </c>
    </row>
    <row r="49">
      <c r="BX49">
        <f>IF(OR(cMed=0,cMed2=0,47&gt;nFilas),NA(),IF(AND(ISNUMBER(INDEX(rMed2,47)),ISNUMBER(INDEX(rMed,47))),INDEX(rMed2,47),NA()))</f>
        <v>2</v>
      </c>
      <c r="BY49">
        <f>IF(OR(cMed=0,cMed2=0,47&gt;nFilas),NA(),IF(AND(ISNUMBER(INDEX(rMed2,47)),ISNUMBER(INDEX(rMed,47))),INDEX(rMed,47),NA()))</f>
        <v>294630</v>
      </c>
    </row>
    <row r="50">
      <c r="BX50">
        <f>IF(OR(cMed=0,cMed2=0,48&gt;nFilas),NA(),IF(AND(ISNUMBER(INDEX(rMed2,48)),ISNUMBER(INDEX(rMed,48))),INDEX(rMed2,48),NA()))</f>
        <v>3</v>
      </c>
      <c r="BY50">
        <f>IF(OR(cMed=0,cMed2=0,48&gt;nFilas),NA(),IF(AND(ISNUMBER(INDEX(rMed2,48)),ISNUMBER(INDEX(rMed,48))),INDEX(rMed,48),NA()))</f>
        <v>379845</v>
      </c>
    </row>
    <row r="51">
      <c r="BX51">
        <f>IF(OR(cMed=0,cMed2=0,49&gt;nFilas),NA(),IF(AND(ISNUMBER(INDEX(rMed2,49)),ISNUMBER(INDEX(rMed,49))),INDEX(rMed2,49),NA()))</f>
        <v>1</v>
      </c>
      <c r="BY51">
        <f>IF(OR(cMed=0,cMed2=0,49&gt;nFilas),NA(),IF(AND(ISNUMBER(INDEX(rMed2,49)),ISNUMBER(INDEX(rMed,49))),INDEX(rMed,49),NA()))</f>
        <v>100050</v>
      </c>
    </row>
    <row r="52">
      <c r="BX52">
        <f>IF(OR(cMed=0,cMed2=0,50&gt;nFilas),NA(),IF(AND(ISNUMBER(INDEX(rMed2,50)),ISNUMBER(INDEX(rMed,50))),INDEX(rMed2,50),NA()))</f>
        <v>3</v>
      </c>
      <c r="BY52">
        <f>IF(OR(cMed=0,cMed2=0,50&gt;nFilas),NA(),IF(AND(ISNUMBER(INDEX(rMed2,50)),ISNUMBER(INDEX(rMed,50))),INDEX(rMed,50),NA()))</f>
        <v>3309930</v>
      </c>
    </row>
    <row r="53">
      <c r="BX53">
        <f>IF(OR(cMed=0,cMed2=0,51&gt;nFilas),NA(),IF(AND(ISNUMBER(INDEX(rMed2,51)),ISNUMBER(INDEX(rMed,51))),INDEX(rMed2,51),NA()))</f>
        <v>5</v>
      </c>
      <c r="BY53">
        <f>IF(OR(cMed=0,cMed2=0,51&gt;nFilas),NA(),IF(AND(ISNUMBER(INDEX(rMed2,51)),ISNUMBER(INDEX(rMed,51))),INDEX(rMed,51),NA()))</f>
        <v>3573050</v>
      </c>
    </row>
    <row r="54">
      <c r="BX54">
        <f>IF(OR(cMed=0,cMed2=0,52&gt;nFilas),NA(),IF(AND(ISNUMBER(INDEX(rMed2,52)),ISNUMBER(INDEX(rMed,52))),INDEX(rMed2,52),NA()))</f>
        <v>2</v>
      </c>
      <c r="BY54">
        <f>IF(OR(cMed=0,cMed2=0,52&gt;nFilas),NA(),IF(AND(ISNUMBER(INDEX(rMed2,52)),ISNUMBER(INDEX(rMed,52))),INDEX(rMed,52),NA()))</f>
        <v>2150270</v>
      </c>
    </row>
    <row r="55">
      <c r="BX55">
        <f>IF(OR(cMed=0,cMed2=0,53&gt;nFilas),NA(),IF(AND(ISNUMBER(INDEX(rMed2,53)),ISNUMBER(INDEX(rMed,53))),INDEX(rMed2,53),NA()))</f>
        <v>5</v>
      </c>
      <c r="BY55">
        <f>IF(OR(cMed=0,cMed2=0,53&gt;nFilas),NA(),IF(AND(ISNUMBER(INDEX(rMed2,53)),ISNUMBER(INDEX(rMed,53))),INDEX(rMed,53),NA()))</f>
        <v>5138200</v>
      </c>
    </row>
    <row r="56">
      <c r="BX56">
        <f>IF(OR(cMed=0,cMed2=0,54&gt;nFilas),NA(),IF(AND(ISNUMBER(INDEX(rMed2,54)),ISNUMBER(INDEX(rMed,54))),INDEX(rMed2,54),NA()))</f>
        <v>1</v>
      </c>
      <c r="BY56">
        <f>IF(OR(cMed=0,cMed2=0,54&gt;nFilas),NA(),IF(AND(ISNUMBER(INDEX(rMed2,54)),ISNUMBER(INDEX(rMed,54))),INDEX(rMed,54),NA()))</f>
        <v>166060</v>
      </c>
    </row>
    <row r="57">
      <c r="BX57">
        <f>IF(OR(cMed=0,cMed2=0,55&gt;nFilas),NA(),IF(AND(ISNUMBER(INDEX(rMed2,55)),ISNUMBER(INDEX(rMed,55))),INDEX(rMed2,55),NA()))</f>
        <v>4</v>
      </c>
      <c r="BY57">
        <f>IF(OR(cMed=0,cMed2=0,55&gt;nFilas),NA(),IF(AND(ISNUMBER(INDEX(rMed2,55)),ISNUMBER(INDEX(rMed,55))),INDEX(rMed,55),NA()))</f>
        <v>716220</v>
      </c>
    </row>
    <row r="58">
      <c r="BX58">
        <f>IF(OR(cMed=0,cMed2=0,56&gt;nFilas),NA(),IF(AND(ISNUMBER(INDEX(rMed2,56)),ISNUMBER(INDEX(rMed,56))),INDEX(rMed2,56),NA()))</f>
        <v>2</v>
      </c>
      <c r="BY58">
        <f>IF(OR(cMed=0,cMed2=0,56&gt;nFilas),NA(),IF(AND(ISNUMBER(INDEX(rMed2,56)),ISNUMBER(INDEX(rMed,56))),INDEX(rMed,56),NA()))</f>
        <v>151110</v>
      </c>
    </row>
    <row r="59">
      <c r="BX59">
        <f>IF(OR(cMed=0,cMed2=0,57&gt;nFilas),NA(),IF(AND(ISNUMBER(INDEX(rMed2,57)),ISNUMBER(INDEX(rMed,57))),INDEX(rMed2,57),NA()))</f>
        <v>5</v>
      </c>
      <c r="BY59">
        <f>IF(OR(cMed=0,cMed2=0,57&gt;nFilas),NA(),IF(AND(ISNUMBER(INDEX(rMed2,57)),ISNUMBER(INDEX(rMed,57))),INDEX(rMed,57),NA()))</f>
        <v>764750</v>
      </c>
    </row>
    <row r="60">
      <c r="BX60">
        <f>IF(OR(cMed=0,cMed2=0,58&gt;nFilas),NA(),IF(AND(ISNUMBER(INDEX(rMed2,58)),ISNUMBER(INDEX(rMed,58))),INDEX(rMed2,58),NA()))</f>
        <v>2</v>
      </c>
      <c r="BY60">
        <f>IF(OR(cMed=0,cMed2=0,58&gt;nFilas),NA(),IF(AND(ISNUMBER(INDEX(rMed2,58)),ISNUMBER(INDEX(rMed,58))),INDEX(rMed,58),NA()))</f>
        <v>217200</v>
      </c>
    </row>
    <row r="61">
      <c r="BX61">
        <f>IF(OR(cMed=0,cMed2=0,59&gt;nFilas),NA(),IF(AND(ISNUMBER(INDEX(rMed2,59)),ISNUMBER(INDEX(rMed,59))),INDEX(rMed2,59),NA()))</f>
        <v>3</v>
      </c>
      <c r="BY61">
        <f>IF(OR(cMed=0,cMed2=0,59&gt;nFilas),NA(),IF(AND(ISNUMBER(INDEX(rMed2,59)),ISNUMBER(INDEX(rMed,59))),INDEX(rMed,59),NA()))</f>
        <v>816000</v>
      </c>
    </row>
    <row r="62">
      <c r="BX62">
        <f>IF(OR(cMed=0,cMed2=0,60&gt;nFilas),NA(),IF(AND(ISNUMBER(INDEX(rMed2,60)),ISNUMBER(INDEX(rMed,60))),INDEX(rMed2,60),NA()))</f>
        <v>1</v>
      </c>
      <c r="BY62">
        <f>IF(OR(cMed=0,cMed2=0,60&gt;nFilas),NA(),IF(AND(ISNUMBER(INDEX(rMed2,60)),ISNUMBER(INDEX(rMed,60))),INDEX(rMed,60),NA()))</f>
        <v>80800</v>
      </c>
    </row>
    <row r="63">
      <c r="BX63">
        <f>IF(OR(cMed=0,cMed2=0,61&gt;nFilas),NA(),IF(AND(ISNUMBER(INDEX(rMed2,61)),ISNUMBER(INDEX(rMed,61))),INDEX(rMed2,61),NA()))</f>
        <v>2</v>
      </c>
      <c r="BY63">
        <f>IF(OR(cMed=0,cMed2=0,61&gt;nFilas),NA(),IF(AND(ISNUMBER(INDEX(rMed2,61)),ISNUMBER(INDEX(rMed,61))),INDEX(rMed,61),NA()))</f>
        <v>234400</v>
      </c>
    </row>
    <row r="64">
      <c r="BX64">
        <f>IF(OR(cMed=0,cMed2=0,62&gt;nFilas),NA(),IF(AND(ISNUMBER(INDEX(rMed2,62)),ISNUMBER(INDEX(rMed,62))),INDEX(rMed2,62),NA()))</f>
        <v>5</v>
      </c>
      <c r="BY64">
        <f>IF(OR(cMed=0,cMed2=0,62&gt;nFilas),NA(),IF(AND(ISNUMBER(INDEX(rMed2,62)),ISNUMBER(INDEX(rMed,62))),INDEX(rMed,62),NA()))</f>
        <v>507000</v>
      </c>
    </row>
    <row r="65">
      <c r="BX65">
        <f>IF(OR(cMed=0,cMed2=0,63&gt;nFilas),NA(),IF(AND(ISNUMBER(INDEX(rMed2,63)),ISNUMBER(INDEX(rMed,63))),INDEX(rMed2,63),NA()))</f>
        <v>4</v>
      </c>
      <c r="BY65">
        <f>IF(OR(cMed=0,cMed2=0,63&gt;nFilas),NA(),IF(AND(ISNUMBER(INDEX(rMed2,63)),ISNUMBER(INDEX(rMed,63))),INDEX(rMed,63),NA()))</f>
        <v>634000</v>
      </c>
    </row>
    <row r="66">
      <c r="BX66">
        <f>IF(OR(cMed=0,cMed2=0,64&gt;nFilas),NA(),IF(AND(ISNUMBER(INDEX(rMed2,64)),ISNUMBER(INDEX(rMed,64))),INDEX(rMed2,64),NA()))</f>
        <v>2</v>
      </c>
      <c r="BY66">
        <f>IF(OR(cMed=0,cMed2=0,64&gt;nFilas),NA(),IF(AND(ISNUMBER(INDEX(rMed2,64)),ISNUMBER(INDEX(rMed,64))),INDEX(rMed,64),NA()))</f>
        <v>1952000</v>
      </c>
    </row>
    <row r="67">
      <c r="BX67">
        <f>IF(OR(cMed=0,cMed2=0,65&gt;nFilas),NA(),IF(AND(ISNUMBER(INDEX(rMed2,65)),ISNUMBER(INDEX(rMed,65))),INDEX(rMed2,65),NA()))</f>
        <v>4</v>
      </c>
      <c r="BY67">
        <f>IF(OR(cMed=0,cMed2=0,65&gt;nFilas),NA(),IF(AND(ISNUMBER(INDEX(rMed2,65)),ISNUMBER(INDEX(rMed,65))),INDEX(rMed,65),NA()))</f>
        <v>483200</v>
      </c>
    </row>
    <row r="68">
      <c r="BX68">
        <f>IF(OR(cMed=0,cMed2=0,66&gt;nFilas),NA(),IF(AND(ISNUMBER(INDEX(rMed2,66)),ISNUMBER(INDEX(rMed,66))),INDEX(rMed2,66),NA()))</f>
        <v>4</v>
      </c>
      <c r="BY68">
        <f>IF(OR(cMed=0,cMed2=0,66&gt;nFilas),NA(),IF(AND(ISNUMBER(INDEX(rMed2,66)),ISNUMBER(INDEX(rMed,66))),INDEX(rMed,66),NA()))</f>
        <v>335600</v>
      </c>
    </row>
    <row r="69">
      <c r="BX69">
        <f>IF(OR(cMed=0,cMed2=0,67&gt;nFilas),NA(),IF(AND(ISNUMBER(INDEX(rMed2,67)),ISNUMBER(INDEX(rMed,67))),INDEX(rMed2,67),NA()))</f>
        <v>1</v>
      </c>
      <c r="BY69">
        <f>IF(OR(cMed=0,cMed2=0,67&gt;nFilas),NA(),IF(AND(ISNUMBER(INDEX(rMed2,67)),ISNUMBER(INDEX(rMed,67))),INDEX(rMed,67),NA()))</f>
        <v>76500</v>
      </c>
    </row>
    <row r="70">
      <c r="BX70">
        <f>IF(OR(cMed=0,cMed2=0,68&gt;nFilas),NA(),IF(AND(ISNUMBER(INDEX(rMed2,68)),ISNUMBER(INDEX(rMed,68))),INDEX(rMed2,68),NA()))</f>
        <v>2</v>
      </c>
      <c r="BY70">
        <f>IF(OR(cMed=0,cMed2=0,68&gt;nFilas),NA(),IF(AND(ISNUMBER(INDEX(rMed2,68)),ISNUMBER(INDEX(rMed,68))),INDEX(rMed,68),NA()))</f>
        <v>1790400</v>
      </c>
    </row>
    <row r="71">
      <c r="BX71">
        <f>IF(OR(cMed=0,cMed2=0,69&gt;nFilas),NA(),IF(AND(ISNUMBER(INDEX(rMed2,69)),ISNUMBER(INDEX(rMed,69))),INDEX(rMed2,69),NA()))</f>
        <v>3</v>
      </c>
      <c r="BY71">
        <f>IF(OR(cMed=0,cMed2=0,69&gt;nFilas),NA(),IF(AND(ISNUMBER(INDEX(rMed2,69)),ISNUMBER(INDEX(rMed,69))),INDEX(rMed,69),NA()))</f>
        <v>235800</v>
      </c>
    </row>
    <row r="72">
      <c r="BX72">
        <f>IF(OR(cMed=0,cMed2=0,70&gt;nFilas),NA(),IF(AND(ISNUMBER(INDEX(rMed2,70)),ISNUMBER(INDEX(rMed,70))),INDEX(rMed2,70),NA()))</f>
        <v>1</v>
      </c>
      <c r="BY72">
        <f>IF(OR(cMed=0,cMed2=0,70&gt;nFilas),NA(),IF(AND(ISNUMBER(INDEX(rMed2,70)),ISNUMBER(INDEX(rMed,70))),INDEX(rMed,70),NA()))</f>
        <v>65500</v>
      </c>
    </row>
    <row r="73">
      <c r="BX73">
        <f>IF(OR(cMed=0,cMed2=0,71&gt;nFilas),NA(),IF(AND(ISNUMBER(INDEX(rMed2,71)),ISNUMBER(INDEX(rMed,71))),INDEX(rMed2,71),NA()))</f>
        <v>5</v>
      </c>
      <c r="BY73">
        <f>IF(OR(cMed=0,cMed2=0,71&gt;nFilas),NA(),IF(AND(ISNUMBER(INDEX(rMed2,71)),ISNUMBER(INDEX(rMed,71))),INDEX(rMed,71),NA()))</f>
        <v>689000</v>
      </c>
    </row>
    <row r="74">
      <c r="BX74">
        <f>IF(OR(cMed=0,cMed2=0,72&gt;nFilas),NA(),IF(AND(ISNUMBER(INDEX(rMed2,72)),ISNUMBER(INDEX(rMed,72))),INDEX(rMed2,72),NA()))</f>
        <v>4</v>
      </c>
      <c r="BY74">
        <f>IF(OR(cMed=0,cMed2=0,72&gt;nFilas),NA(),IF(AND(ISNUMBER(INDEX(rMed2,72)),ISNUMBER(INDEX(rMed,72))),INDEX(rMed,72),NA()))</f>
        <v>309600</v>
      </c>
    </row>
    <row r="75">
      <c r="BX75">
        <f>IF(OR(cMed=0,cMed2=0,73&gt;nFilas),NA(),IF(AND(ISNUMBER(INDEX(rMed2,73)),ISNUMBER(INDEX(rMed,73))),INDEX(rMed2,73),NA()))</f>
        <v>4</v>
      </c>
      <c r="BY75">
        <f>IF(OR(cMed=0,cMed2=0,73&gt;nFilas),NA(),IF(AND(ISNUMBER(INDEX(rMed2,73)),ISNUMBER(INDEX(rMed,73))),INDEX(rMed,73),NA()))</f>
        <v>508800</v>
      </c>
    </row>
    <row r="76">
      <c r="BX76">
        <f>IF(OR(cMed=0,cMed2=0,74&gt;nFilas),NA(),IF(AND(ISNUMBER(INDEX(rMed2,74)),ISNUMBER(INDEX(rMed,74))),INDEX(rMed2,74),NA()))</f>
        <v>2</v>
      </c>
      <c r="BY76">
        <f>IF(OR(cMed=0,cMed2=0,74&gt;nFilas),NA(),IF(AND(ISNUMBER(INDEX(rMed2,74)),ISNUMBER(INDEX(rMed,74))),INDEX(rMed,74),NA()))</f>
        <v>302000</v>
      </c>
    </row>
    <row r="77">
      <c r="BX77">
        <f>IF(OR(cMed=0,cMed2=0,75&gt;nFilas),NA(),IF(AND(ISNUMBER(INDEX(rMed2,75)),ISNUMBER(INDEX(rMed,75))),INDEX(rMed2,75),NA()))</f>
        <v>4</v>
      </c>
      <c r="BY77">
        <f>IF(OR(cMed=0,cMed2=0,75&gt;nFilas),NA(),IF(AND(ISNUMBER(INDEX(rMed2,75)),ISNUMBER(INDEX(rMed,75))),INDEX(rMed,75),NA()))</f>
        <v>609200</v>
      </c>
    </row>
    <row r="78">
      <c r="BX78">
        <f>IF(OR(cMed=0,cMed2=0,76&gt;nFilas),NA(),IF(AND(ISNUMBER(INDEX(rMed2,76)),ISNUMBER(INDEX(rMed,76))),INDEX(rMed2,76),NA()))</f>
        <v>5</v>
      </c>
      <c r="BY78">
        <f>IF(OR(cMed=0,cMed2=0,76&gt;nFilas),NA(),IF(AND(ISNUMBER(INDEX(rMed2,76)),ISNUMBER(INDEX(rMed,76))),INDEX(rMed,76),NA()))</f>
        <v>722000</v>
      </c>
    </row>
    <row r="79">
      <c r="BX79">
        <f>IF(OR(cMed=0,cMed2=0,77&gt;nFilas),NA(),IF(AND(ISNUMBER(INDEX(rMed2,77)),ISNUMBER(INDEX(rMed,77))),INDEX(rMed2,77),NA()))</f>
        <v>5</v>
      </c>
      <c r="BY79">
        <f>IF(OR(cMed=0,cMed2=0,77&gt;nFilas),NA(),IF(AND(ISNUMBER(INDEX(rMed2,77)),ISNUMBER(INDEX(rMed,77))),INDEX(rMed,77),NA()))</f>
        <v>722500</v>
      </c>
    </row>
    <row r="80">
      <c r="BX80">
        <f>IF(OR(cMed=0,cMed2=0,78&gt;nFilas),NA(),IF(AND(ISNUMBER(INDEX(rMed2,78)),ISNUMBER(INDEX(rMed,78))),INDEX(rMed2,78),NA()))</f>
        <v>4</v>
      </c>
      <c r="BY80">
        <f>IF(OR(cMed=0,cMed2=0,78&gt;nFilas),NA(),IF(AND(ISNUMBER(INDEX(rMed2,78)),ISNUMBER(INDEX(rMed,78))),INDEX(rMed,78),NA()))</f>
        <v>282000</v>
      </c>
    </row>
    <row r="81">
      <c r="BX81">
        <f>IF(OR(cMed=0,cMed2=0,79&gt;nFilas),NA(),IF(AND(ISNUMBER(INDEX(rMed2,79)),ISNUMBER(INDEX(rMed,79))),INDEX(rMed2,79),NA()))</f>
        <v>1</v>
      </c>
      <c r="BY81">
        <f>IF(OR(cMed=0,cMed2=0,79&gt;nFilas),NA(),IF(AND(ISNUMBER(INDEX(rMed2,79)),ISNUMBER(INDEX(rMed,79))),INDEX(rMed,79),NA()))</f>
        <v>198100</v>
      </c>
    </row>
    <row r="82">
      <c r="BX82">
        <f>IF(OR(cMed=0,cMed2=0,80&gt;nFilas),NA(),IF(AND(ISNUMBER(INDEX(rMed2,80)),ISNUMBER(INDEX(rMed,80))),INDEX(rMed2,80),NA()))</f>
        <v>2</v>
      </c>
      <c r="BY82">
        <f>IF(OR(cMed=0,cMed2=0,80&gt;nFilas),NA(),IF(AND(ISNUMBER(INDEX(rMed2,80)),ISNUMBER(INDEX(rMed,80))),INDEX(rMed,80),NA()))</f>
        <v>338200</v>
      </c>
    </row>
    <row r="83">
      <c r="BX83">
        <f>IF(OR(cMed=0,cMed2=0,81&gt;nFilas),NA(),IF(AND(ISNUMBER(INDEX(rMed2,81)),ISNUMBER(INDEX(rMed,81))),INDEX(rMed2,81),NA()))</f>
        <v>3</v>
      </c>
      <c r="BY83">
        <f>IF(OR(cMed=0,cMed2=0,81&gt;nFilas),NA(),IF(AND(ISNUMBER(INDEX(rMed2,81)),ISNUMBER(INDEX(rMed,81))),INDEX(rMed,81),NA()))</f>
        <v>271800</v>
      </c>
    </row>
    <row r="84">
      <c r="BX84">
        <f>IF(OR(cMed=0,cMed2=0,82&gt;nFilas),NA(),IF(AND(ISNUMBER(INDEX(rMed2,82)),ISNUMBER(INDEX(rMed,82))),INDEX(rMed2,82),NA()))</f>
        <v>5</v>
      </c>
      <c r="BY84">
        <f>IF(OR(cMed=0,cMed2=0,82&gt;nFilas),NA(),IF(AND(ISNUMBER(INDEX(rMed2,82)),ISNUMBER(INDEX(rMed,82))),INDEX(rMed,82),NA()))</f>
        <v>3175500</v>
      </c>
    </row>
    <row r="85">
      <c r="BX85">
        <f>IF(OR(cMed=0,cMed2=0,83&gt;nFilas),NA(),IF(AND(ISNUMBER(INDEX(rMed2,83)),ISNUMBER(INDEX(rMed,83))),INDEX(rMed2,83),NA()))</f>
        <v>3</v>
      </c>
      <c r="BY85">
        <f>IF(OR(cMed=0,cMed2=0,83&gt;nFilas),NA(),IF(AND(ISNUMBER(INDEX(rMed2,83)),ISNUMBER(INDEX(rMed,83))),INDEX(rMed,83),NA()))</f>
        <v>3235410</v>
      </c>
    </row>
    <row r="86">
      <c r="BX86">
        <f>IF(OR(cMed=0,cMed2=0,84&gt;nFilas),NA(),IF(AND(ISNUMBER(INDEX(rMed2,84)),ISNUMBER(INDEX(rMed,84))),INDEX(rMed2,84),NA()))</f>
        <v>2</v>
      </c>
      <c r="BY86">
        <f>IF(OR(cMed=0,cMed2=0,84&gt;nFilas),NA(),IF(AND(ISNUMBER(INDEX(rMed2,84)),ISNUMBER(INDEX(rMed,84))),INDEX(rMed,84),NA()))</f>
        <v>445510</v>
      </c>
    </row>
    <row r="87">
      <c r="BX87">
        <f>IF(OR(cMed=0,cMed2=0,85&gt;nFilas),NA(),IF(AND(ISNUMBER(INDEX(rMed2,85)),ISNUMBER(INDEX(rMed,85))),INDEX(rMed2,85),NA()))</f>
        <v>5</v>
      </c>
      <c r="BY87">
        <f>IF(OR(cMed=0,cMed2=0,85&gt;nFilas),NA(),IF(AND(ISNUMBER(INDEX(rMed2,85)),ISNUMBER(INDEX(rMed,85))),INDEX(rMed,85),NA()))</f>
        <v>518650</v>
      </c>
    </row>
    <row r="88">
      <c r="BX88">
        <f>IF(OR(cMed=0,cMed2=0,86&gt;nFilas),NA(),IF(AND(ISNUMBER(INDEX(rMed2,86)),ISNUMBER(INDEX(rMed,86))),INDEX(rMed2,86),NA()))</f>
        <v>3</v>
      </c>
      <c r="BY88">
        <f>IF(OR(cMed=0,cMed2=0,86&gt;nFilas),NA(),IF(AND(ISNUMBER(INDEX(rMed2,86)),ISNUMBER(INDEX(rMed,86))),INDEX(rMed,86),NA()))</f>
        <v>664815</v>
      </c>
    </row>
    <row r="89">
      <c r="BX89">
        <f>IF(OR(cMed=0,cMed2=0,87&gt;nFilas),NA(),IF(AND(ISNUMBER(INDEX(rMed2,87)),ISNUMBER(INDEX(rMed,87))),INDEX(rMed2,87),NA()))</f>
        <v>2</v>
      </c>
      <c r="BY89">
        <f>IF(OR(cMed=0,cMed2=0,87&gt;nFilas),NA(),IF(AND(ISNUMBER(INDEX(rMed2,87)),ISNUMBER(INDEX(rMed,87))),INDEX(rMed,87),NA()))</f>
        <v>145360</v>
      </c>
    </row>
    <row r="90">
      <c r="BX90">
        <f>IF(OR(cMed=0,cMed2=0,88&gt;nFilas),NA(),IF(AND(ISNUMBER(INDEX(rMed2,88)),ISNUMBER(INDEX(rMed,88))),INDEX(rMed2,88),NA()))</f>
        <v>3</v>
      </c>
      <c r="BY90">
        <f>IF(OR(cMed=0,cMed2=0,88&gt;nFilas),NA(),IF(AND(ISNUMBER(INDEX(rMed2,88)),ISNUMBER(INDEX(rMed,88))),INDEX(rMed,88),NA()))</f>
        <v>272895</v>
      </c>
    </row>
    <row r="91">
      <c r="BX91">
        <f>IF(OR(cMed=0,cMed2=0,89&gt;nFilas),NA(),IF(AND(ISNUMBER(INDEX(rMed2,89)),ISNUMBER(INDEX(rMed,89))),INDEX(rMed2,89),NA()))</f>
        <v>1</v>
      </c>
      <c r="BY91">
        <f>IF(OR(cMed=0,cMed2=0,89&gt;nFilas),NA(),IF(AND(ISNUMBER(INDEX(rMed2,89)),ISNUMBER(INDEX(rMed,89))),INDEX(rMed,89),NA()))</f>
        <v>110745</v>
      </c>
    </row>
    <row r="92">
      <c r="BX92">
        <f>IF(OR(cMed=0,cMed2=0,90&gt;nFilas),NA(),IF(AND(ISNUMBER(INDEX(rMed2,90)),ISNUMBER(INDEX(rMed,90))),INDEX(rMed2,90),NA()))</f>
        <v>5</v>
      </c>
      <c r="BY92">
        <f>IF(OR(cMed=0,cMed2=0,90&gt;nFilas),NA(),IF(AND(ISNUMBER(INDEX(rMed2,90)),ISNUMBER(INDEX(rMed,90))),INDEX(rMed,90),NA()))</f>
        <v>1261550</v>
      </c>
    </row>
    <row r="93">
      <c r="BX93">
        <f>IF(OR(cMed=0,cMed2=0,91&gt;nFilas),NA(),IF(AND(ISNUMBER(INDEX(rMed2,91)),ISNUMBER(INDEX(rMed,91))),INDEX(rMed2,91),NA()))</f>
        <v>2</v>
      </c>
      <c r="BY93">
        <f>IF(OR(cMed=0,cMed2=0,91&gt;nFilas),NA(),IF(AND(ISNUMBER(INDEX(rMed2,91)),ISNUMBER(INDEX(rMed,91))),INDEX(rMed,91),NA()))</f>
        <v>329360</v>
      </c>
    </row>
    <row r="94">
      <c r="BX94">
        <f>IF(OR(cMed=0,cMed2=0,92&gt;nFilas),NA(),IF(AND(ISNUMBER(INDEX(rMed2,92)),ISNUMBER(INDEX(rMed,92))),INDEX(rMed2,92),NA()))</f>
        <v>1</v>
      </c>
      <c r="BY94">
        <f>IF(OR(cMed=0,cMed2=0,92&gt;nFilas),NA(),IF(AND(ISNUMBER(INDEX(rMed2,92)),ISNUMBER(INDEX(rMed,92))),INDEX(rMed,92),NA()))</f>
        <v>210910</v>
      </c>
    </row>
    <row r="95">
      <c r="BX95">
        <f>IF(OR(cMed=0,cMed2=0,93&gt;nFilas),NA(),IF(AND(ISNUMBER(INDEX(rMed2,93)),ISNUMBER(INDEX(rMed,93))),INDEX(rMed2,93),NA()))</f>
        <v>2</v>
      </c>
      <c r="BY95">
        <f>IF(OR(cMed=0,cMed2=0,93&gt;nFilas),NA(),IF(AND(ISNUMBER(INDEX(rMed2,93)),ISNUMBER(INDEX(rMed,93))),INDEX(rMed,93),NA()))</f>
        <v>1692110</v>
      </c>
    </row>
    <row r="96">
      <c r="BX96">
        <f>IF(OR(cMed=0,cMed2=0,94&gt;nFilas),NA(),IF(AND(ISNUMBER(INDEX(rMed2,94)),ISNUMBER(INDEX(rMed,94))),INDEX(rMed2,94),NA()))</f>
        <v>1</v>
      </c>
      <c r="BY96">
        <f>IF(OR(cMed=0,cMed2=0,94&gt;nFilas),NA(),IF(AND(ISNUMBER(INDEX(rMed2,94)),ISNUMBER(INDEX(rMed,94))),INDEX(rMed,94),NA()))</f>
        <v>147500</v>
      </c>
    </row>
    <row r="97">
      <c r="BX97">
        <f>IF(OR(cMed=0,cMed2=0,95&gt;nFilas),NA(),IF(AND(ISNUMBER(INDEX(rMed2,95)),ISNUMBER(INDEX(rMed,95))),INDEX(rMed2,95),NA()))</f>
        <v>2</v>
      </c>
      <c r="BY97">
        <f>IF(OR(cMed=0,cMed2=0,95&gt;nFilas),NA(),IF(AND(ISNUMBER(INDEX(rMed2,95)),ISNUMBER(INDEX(rMed,95))),INDEX(rMed,95),NA()))</f>
        <v>222400</v>
      </c>
    </row>
    <row r="98">
      <c r="BX98">
        <f>IF(OR(cMed=0,cMed2=0,96&gt;nFilas),NA(),IF(AND(ISNUMBER(INDEX(rMed2,96)),ISNUMBER(INDEX(rMed,96))),INDEX(rMed2,96),NA()))</f>
        <v>1</v>
      </c>
      <c r="BY98">
        <f>IF(OR(cMed=0,cMed2=0,96&gt;nFilas),NA(),IF(AND(ISNUMBER(INDEX(rMed2,96)),ISNUMBER(INDEX(rMed,96))),INDEX(rMed,96),NA()))</f>
        <v>128400</v>
      </c>
    </row>
    <row r="99">
      <c r="BX99">
        <f>IF(OR(cMed=0,cMed2=0,97&gt;nFilas),NA(),IF(AND(ISNUMBER(INDEX(rMed2,97)),ISNUMBER(INDEX(rMed,97))),INDEX(rMed2,97),NA()))</f>
        <v>3</v>
      </c>
      <c r="BY99">
        <f>IF(OR(cMed=0,cMed2=0,97&gt;nFilas),NA(),IF(AND(ISNUMBER(INDEX(rMed2,97)),ISNUMBER(INDEX(rMed,97))),INDEX(rMed,97),NA()))</f>
        <v>446700</v>
      </c>
    </row>
    <row r="100">
      <c r="BX100">
        <f>IF(OR(cMed=0,cMed2=0,98&gt;nFilas),NA(),IF(AND(ISNUMBER(INDEX(rMed2,98)),ISNUMBER(INDEX(rMed,98))),INDEX(rMed2,98),NA()))</f>
        <v>2</v>
      </c>
      <c r="BY100">
        <f>IF(OR(cMed=0,cMed2=0,98&gt;nFilas),NA(),IF(AND(ISNUMBER(INDEX(rMed2,98)),ISNUMBER(INDEX(rMed,98))),INDEX(rMed,98),NA()))</f>
        <v>146400</v>
      </c>
    </row>
    <row r="101">
      <c r="BX101">
        <f>IF(OR(cMed=0,cMed2=0,99&gt;nFilas),NA(),IF(AND(ISNUMBER(INDEX(rMed2,99)),ISNUMBER(INDEX(rMed,99))),INDEX(rMed2,99),NA()))</f>
        <v>5</v>
      </c>
      <c r="BY101">
        <f>IF(OR(cMed=0,cMed2=0,99&gt;nFilas),NA(),IF(AND(ISNUMBER(INDEX(rMed2,99)),ISNUMBER(INDEX(rMed,99))),INDEX(rMed,99),NA()))</f>
        <v>457000</v>
      </c>
    </row>
    <row r="102">
      <c r="BX102">
        <f>IF(OR(cMed=0,cMed2=0,100&gt;nFilas),NA(),IF(AND(ISNUMBER(INDEX(rMed2,100)),ISNUMBER(INDEX(rMed,100))),INDEX(rMed2,100),NA()))</f>
        <v>1</v>
      </c>
      <c r="BY102">
        <f>IF(OR(cMed=0,cMed2=0,100&gt;nFilas),NA(),IF(AND(ISNUMBER(INDEX(rMed2,100)),ISNUMBER(INDEX(rMed,100))),INDEX(rMed,100),NA()))</f>
        <v>1079600</v>
      </c>
    </row>
    <row r="103">
      <c r="BX103">
        <f>IF(OR(cMed=0,cMed2=0,101&gt;nFilas),NA(),IF(AND(ISNUMBER(INDEX(rMed2,101)),ISNUMBER(INDEX(rMed,101))),INDEX(rMed2,101),NA()))</f>
        <v>5</v>
      </c>
      <c r="BY103">
        <f>IF(OR(cMed=0,cMed2=0,101&gt;nFilas),NA(),IF(AND(ISNUMBER(INDEX(rMed2,101)),ISNUMBER(INDEX(rMed,101))),INDEX(rMed,101),NA()))</f>
        <v>562000</v>
      </c>
    </row>
    <row r="104">
      <c r="BX104">
        <f>IF(OR(cMed=0,cMed2=0,102&gt;nFilas),NA(),IF(AND(ISNUMBER(INDEX(rMed2,102)),ISNUMBER(INDEX(rMed,102))),INDEX(rMed2,102),NA()))</f>
        <v>1</v>
      </c>
      <c r="BY104">
        <f>IF(OR(cMed=0,cMed2=0,102&gt;nFilas),NA(),IF(AND(ISNUMBER(INDEX(rMed2,102)),ISNUMBER(INDEX(rMed,102))),INDEX(rMed,102),NA()))</f>
        <v>1075100</v>
      </c>
    </row>
    <row r="105">
      <c r="BX105">
        <f>IF(OR(cMed=0,cMed2=0,103&gt;nFilas),NA(),IF(AND(ISNUMBER(INDEX(rMed2,103)),ISNUMBER(INDEX(rMed,103))),INDEX(rMed2,103),NA()))</f>
        <v>4</v>
      </c>
      <c r="BY105">
        <f>IF(OR(cMed=0,cMed2=0,103&gt;nFilas),NA(),IF(AND(ISNUMBER(INDEX(rMed2,103)),ISNUMBER(INDEX(rMed,103))),INDEX(rMed,103),NA()))</f>
        <v>616400</v>
      </c>
    </row>
    <row r="106">
      <c r="BX106">
        <f>IF(OR(cMed=0,cMed2=0,104&gt;nFilas),NA(),IF(AND(ISNUMBER(INDEX(rMed2,104)),ISNUMBER(INDEX(rMed,104))),INDEX(rMed2,104),NA()))</f>
        <v>2</v>
      </c>
      <c r="BY106">
        <f>IF(OR(cMed=0,cMed2=0,104&gt;nFilas),NA(),IF(AND(ISNUMBER(INDEX(rMed2,104)),ISNUMBER(INDEX(rMed,104))),INDEX(rMed,104),NA()))</f>
        <v>421800</v>
      </c>
    </row>
    <row r="107">
      <c r="BX107">
        <f>IF(OR(cMed=0,cMed2=0,105&gt;nFilas),NA(),IF(AND(ISNUMBER(INDEX(rMed2,105)),ISNUMBER(INDEX(rMed,105))),INDEX(rMed2,105),NA()))</f>
        <v>2</v>
      </c>
      <c r="BY107">
        <f>IF(OR(cMed=0,cMed2=0,105&gt;nFilas),NA(),IF(AND(ISNUMBER(INDEX(rMed2,105)),ISNUMBER(INDEX(rMed,105))),INDEX(rMed,105),NA()))</f>
        <v>110000</v>
      </c>
    </row>
    <row r="108">
      <c r="BX108">
        <f>IF(OR(cMed=0,cMed2=0,106&gt;nFilas),NA(),IF(AND(ISNUMBER(INDEX(rMed2,106)),ISNUMBER(INDEX(rMed,106))),INDEX(rMed2,106),NA()))</f>
        <v>1</v>
      </c>
      <c r="BY108">
        <f>IF(OR(cMed=0,cMed2=0,106&gt;nFilas),NA(),IF(AND(ISNUMBER(INDEX(rMed2,106)),ISNUMBER(INDEX(rMed,106))),INDEX(rMed,106),NA()))</f>
        <v>69000</v>
      </c>
    </row>
    <row r="109">
      <c r="BX109">
        <f>IF(OR(cMed=0,cMed2=0,107&gt;nFilas),NA(),IF(AND(ISNUMBER(INDEX(rMed2,107)),ISNUMBER(INDEX(rMed,107))),INDEX(rMed2,107),NA()))</f>
        <v>5</v>
      </c>
      <c r="BY109">
        <f>IF(OR(cMed=0,cMed2=0,107&gt;nFilas),NA(),IF(AND(ISNUMBER(INDEX(rMed2,107)),ISNUMBER(INDEX(rMed,107))),INDEX(rMed,107),NA()))</f>
        <v>3824500</v>
      </c>
    </row>
    <row r="110">
      <c r="BX110">
        <f>IF(OR(cMed=0,cMed2=0,108&gt;nFilas),NA(),IF(AND(ISNUMBER(INDEX(rMed2,108)),ISNUMBER(INDEX(rMed,108))),INDEX(rMed2,108),NA()))</f>
        <v>3</v>
      </c>
      <c r="BY110">
        <f>IF(OR(cMed=0,cMed2=0,108&gt;nFilas),NA(),IF(AND(ISNUMBER(INDEX(rMed2,108)),ISNUMBER(INDEX(rMed,108))),INDEX(rMed,108),NA()))</f>
        <v>575400</v>
      </c>
    </row>
    <row r="111">
      <c r="BX111">
        <f>IF(OR(cMed=0,cMed2=0,109&gt;nFilas),NA(),IF(AND(ISNUMBER(INDEX(rMed2,109)),ISNUMBER(INDEX(rMed,109))),INDEX(rMed2,109),NA()))</f>
        <v>3</v>
      </c>
      <c r="BY111">
        <f>IF(OR(cMed=0,cMed2=0,109&gt;nFilas),NA(),IF(AND(ISNUMBER(INDEX(rMed2,109)),ISNUMBER(INDEX(rMed,109))),INDEX(rMed,109),NA()))</f>
        <v>569100</v>
      </c>
    </row>
    <row r="112">
      <c r="BX112">
        <f>IF(OR(cMed=0,cMed2=0,110&gt;nFilas),NA(),IF(AND(ISNUMBER(INDEX(rMed2,110)),ISNUMBER(INDEX(rMed,110))),INDEX(rMed2,110),NA()))</f>
        <v>5</v>
      </c>
      <c r="BY112">
        <f>IF(OR(cMed=0,cMed2=0,110&gt;nFilas),NA(),IF(AND(ISNUMBER(INDEX(rMed2,110)),ISNUMBER(INDEX(rMed,110))),INDEX(rMed,110),NA()))</f>
        <v>500000</v>
      </c>
    </row>
    <row r="113">
      <c r="BX113">
        <f>IF(OR(cMed=0,cMed2=0,111&gt;nFilas),NA(),IF(AND(ISNUMBER(INDEX(rMed2,111)),ISNUMBER(INDEX(rMed,111))),INDEX(rMed2,111),NA()))</f>
        <v>5</v>
      </c>
      <c r="BY113">
        <f>IF(OR(cMed=0,cMed2=0,111&gt;nFilas),NA(),IF(AND(ISNUMBER(INDEX(rMed2,111)),ISNUMBER(INDEX(rMed,111))),INDEX(rMed,111),NA()))</f>
        <v>1033000</v>
      </c>
    </row>
    <row r="114">
      <c r="BX114">
        <f>IF(OR(cMed=0,cMed2=0,112&gt;nFilas),NA(),IF(AND(ISNUMBER(INDEX(rMed2,112)),ISNUMBER(INDEX(rMed,112))),INDEX(rMed2,112),NA()))</f>
        <v>3</v>
      </c>
      <c r="BY114">
        <f>IF(OR(cMed=0,cMed2=0,112&gt;nFilas),NA(),IF(AND(ISNUMBER(INDEX(rMed2,112)),ISNUMBER(INDEX(rMed,112))),INDEX(rMed,112),NA()))</f>
        <v>2527200</v>
      </c>
    </row>
    <row r="115">
      <c r="BX115">
        <f>IF(OR(cMed=0,cMed2=0,113&gt;nFilas),NA(),IF(AND(ISNUMBER(INDEX(rMed2,113)),ISNUMBER(INDEX(rMed,113))),INDEX(rMed2,113),NA()))</f>
        <v>4</v>
      </c>
      <c r="BY115">
        <f>IF(OR(cMed=0,cMed2=0,113&gt;nFilas),NA(),IF(AND(ISNUMBER(INDEX(rMed2,113)),ISNUMBER(INDEX(rMed,113))),INDEX(rMed,113),NA()))</f>
        <v>483200</v>
      </c>
    </row>
    <row r="116">
      <c r="BX116">
        <f>IF(OR(cMed=0,cMed2=0,114&gt;nFilas),NA(),IF(AND(ISNUMBER(INDEX(rMed2,114)),ISNUMBER(INDEX(rMed,114))),INDEX(rMed2,114),NA()))</f>
        <v>5</v>
      </c>
      <c r="BY116">
        <f>IF(OR(cMed=0,cMed2=0,114&gt;nFilas),NA(),IF(AND(ISNUMBER(INDEX(rMed2,114)),ISNUMBER(INDEX(rMed,114))),INDEX(rMed,114),NA()))</f>
        <v>488750</v>
      </c>
    </row>
    <row r="117">
      <c r="BX117">
        <f>IF(OR(cMed=0,cMed2=0,115&gt;nFilas),NA(),IF(AND(ISNUMBER(INDEX(rMed2,115)),ISNUMBER(INDEX(rMed,115))),INDEX(rMed2,115),NA()))</f>
        <v>2</v>
      </c>
      <c r="BY117">
        <f>IF(OR(cMed=0,cMed2=0,115&gt;nFilas),NA(),IF(AND(ISNUMBER(INDEX(rMed2,115)),ISNUMBER(INDEX(rMed,115))),INDEX(rMed,115),NA()))</f>
        <v>338560</v>
      </c>
    </row>
    <row r="118">
      <c r="BX118">
        <f>IF(OR(cMed=0,cMed2=0,116&gt;nFilas),NA(),IF(AND(ISNUMBER(INDEX(rMed2,116)),ISNUMBER(INDEX(rMed,116))),INDEX(rMed2,116),NA()))</f>
        <v>5</v>
      </c>
      <c r="BY118">
        <f>IF(OR(cMed=0,cMed2=0,116&gt;nFilas),NA(),IF(AND(ISNUMBER(INDEX(rMed2,116)),ISNUMBER(INDEX(rMed,116))),INDEX(rMed,116),NA()))</f>
        <v>403075</v>
      </c>
    </row>
    <row r="119">
      <c r="BX119">
        <f>IF(OR(cMed=0,cMed2=0,117&gt;nFilas),NA(),IF(AND(ISNUMBER(INDEX(rMed2,117)),ISNUMBER(INDEX(rMed,117))),INDEX(rMed2,117),NA()))</f>
        <v>2</v>
      </c>
      <c r="BY119">
        <f>IF(OR(cMed=0,cMed2=0,117&gt;nFilas),NA(),IF(AND(ISNUMBER(INDEX(rMed2,117)),ISNUMBER(INDEX(rMed,117))),INDEX(rMed,117),NA()))</f>
        <v>603520</v>
      </c>
    </row>
    <row r="120">
      <c r="BX120">
        <f>IF(OR(cMed=0,cMed2=0,118&gt;nFilas),NA(),IF(AND(ISNUMBER(INDEX(rMed2,118)),ISNUMBER(INDEX(rMed,118))),INDEX(rMed2,118),NA()))</f>
        <v>1</v>
      </c>
      <c r="BY120">
        <f>IF(OR(cMed=0,cMed2=0,118&gt;nFilas),NA(),IF(AND(ISNUMBER(INDEX(rMed2,118)),ISNUMBER(INDEX(rMed,118))),INDEX(rMed,118),NA()))</f>
        <v>147660</v>
      </c>
    </row>
    <row r="121">
      <c r="BX121">
        <f>IF(OR(cMed=0,cMed2=0,119&gt;nFilas),NA(),IF(AND(ISNUMBER(INDEX(rMed2,119)),ISNUMBER(INDEX(rMed,119))),INDEX(rMed2,119),NA()))</f>
        <v>5</v>
      </c>
      <c r="BY121">
        <f>IF(OR(cMed=0,cMed2=0,119&gt;nFilas),NA(),IF(AND(ISNUMBER(INDEX(rMed2,119)),ISNUMBER(INDEX(rMed,119))),INDEX(rMed,119),NA()))</f>
        <v>1113200</v>
      </c>
    </row>
    <row r="122">
      <c r="BX122">
        <f>IF(OR(cMed=0,cMed2=0,120&gt;nFilas),NA(),IF(AND(ISNUMBER(INDEX(rMed2,120)),ISNUMBER(INDEX(rMed,120))),INDEX(rMed2,120),NA()))</f>
        <v>2</v>
      </c>
      <c r="BY122">
        <f>IF(OR(cMed=0,cMed2=0,120&gt;nFilas),NA(),IF(AND(ISNUMBER(INDEX(rMed2,120)),ISNUMBER(INDEX(rMed,120))),INDEX(rMed,120),NA()))</f>
        <v>184690</v>
      </c>
    </row>
    <row r="123">
      <c r="BX123">
        <f>IF(OR(cMed=0,cMed2=0,121&gt;nFilas),NA(),IF(AND(ISNUMBER(INDEX(rMed2,121)),ISNUMBER(INDEX(rMed,121))),INDEX(rMed2,121),NA()))</f>
        <v>3</v>
      </c>
      <c r="BY123">
        <f>IF(OR(cMed=0,cMed2=0,121&gt;nFilas),NA(),IF(AND(ISNUMBER(INDEX(rMed2,121)),ISNUMBER(INDEX(rMed,121))),INDEX(rMed,121),NA()))</f>
        <v>774525</v>
      </c>
    </row>
    <row r="124">
      <c r="BX124">
        <f>IF(OR(cMed=0,cMed2=0,122&gt;nFilas),NA(),IF(AND(ISNUMBER(INDEX(rMed2,122)),ISNUMBER(INDEX(rMed,122))),INDEX(rMed2,122),NA()))</f>
        <v>1</v>
      </c>
      <c r="BY124">
        <f>IF(OR(cMed=0,cMed2=0,122&gt;nFilas),NA(),IF(AND(ISNUMBER(INDEX(rMed2,122)),ISNUMBER(INDEX(rMed,122))),INDEX(rMed,122),NA()))</f>
        <v>865490</v>
      </c>
    </row>
    <row r="125">
      <c r="BX125">
        <f>IF(OR(cMed=0,cMed2=0,123&gt;nFilas),NA(),IF(AND(ISNUMBER(INDEX(rMed2,123)),ISNUMBER(INDEX(rMed,123))),INDEX(rMed2,123),NA()))</f>
        <v>4</v>
      </c>
      <c r="BY125">
        <f>IF(OR(cMed=0,cMed2=0,123&gt;nFilas),NA(),IF(AND(ISNUMBER(INDEX(rMed2,123)),ISNUMBER(INDEX(rMed,123))),INDEX(rMed,123),NA()))</f>
        <v>769580</v>
      </c>
    </row>
    <row r="126">
      <c r="BX126">
        <f>IF(OR(cMed=0,cMed2=0,124&gt;nFilas),NA(),IF(AND(ISNUMBER(INDEX(rMed2,124)),ISNUMBER(INDEX(rMed,124))),INDEX(rMed2,124),NA()))</f>
        <v>3</v>
      </c>
      <c r="BY126">
        <f>IF(OR(cMed=0,cMed2=0,124&gt;nFilas),NA(),IF(AND(ISNUMBER(INDEX(rMed2,124)),ISNUMBER(INDEX(rMed,124))),INDEX(rMed,124),NA()))</f>
        <v>619275</v>
      </c>
    </row>
    <row r="127">
      <c r="BX127">
        <f>IF(OR(cMed=0,cMed2=0,125&gt;nFilas),NA(),IF(AND(ISNUMBER(INDEX(rMed2,125)),ISNUMBER(INDEX(rMed,125))),INDEX(rMed2,125),NA()))</f>
        <v>2</v>
      </c>
      <c r="BY127">
        <f>IF(OR(cMed=0,cMed2=0,125&gt;nFilas),NA(),IF(AND(ISNUMBER(INDEX(rMed2,125)),ISNUMBER(INDEX(rMed,125))),INDEX(rMed,125),NA()))</f>
        <v>1477290</v>
      </c>
    </row>
    <row r="128">
      <c r="BX128">
        <f>IF(OR(cMed=0,cMed2=0,126&gt;nFilas),NA(),IF(AND(ISNUMBER(INDEX(rMed2,126)),ISNUMBER(INDEX(rMed,126))),INDEX(rMed2,126),NA()))</f>
        <v>3</v>
      </c>
      <c r="BY128">
        <f>IF(OR(cMed=0,cMed2=0,126&gt;nFilas),NA(),IF(AND(ISNUMBER(INDEX(rMed2,126)),ISNUMBER(INDEX(rMed,126))),INDEX(rMed,126),NA()))</f>
        <v>2520570</v>
      </c>
    </row>
    <row r="129">
      <c r="BX129">
        <f>IF(OR(cMed=0,cMed2=0,127&gt;nFilas),NA(),IF(AND(ISNUMBER(INDEX(rMed2,127)),ISNUMBER(INDEX(rMed,127))),INDEX(rMed2,127),NA()))</f>
        <v>2</v>
      </c>
      <c r="BY129">
        <f>IF(OR(cMed=0,cMed2=0,127&gt;nFilas),NA(),IF(AND(ISNUMBER(INDEX(rMed2,127)),ISNUMBER(INDEX(rMed,127))),INDEX(rMed,127),NA()))</f>
        <v>212980</v>
      </c>
    </row>
    <row r="130">
      <c r="BX130">
        <f>IF(OR(cMed=0,cMed2=0,128&gt;nFilas),NA(),IF(AND(ISNUMBER(INDEX(rMed2,128)),ISNUMBER(INDEX(rMed,128))),INDEX(rMed2,128),NA()))</f>
        <v>2</v>
      </c>
      <c r="BY130">
        <f>IF(OR(cMed=0,cMed2=0,128&gt;nFilas),NA(),IF(AND(ISNUMBER(INDEX(rMed2,128)),ISNUMBER(INDEX(rMed,128))),INDEX(rMed,128),NA()))</f>
        <v>417220</v>
      </c>
    </row>
    <row r="131">
      <c r="BX131">
        <f>IF(OR(cMed=0,cMed2=0,129&gt;nFilas),NA(),IF(AND(ISNUMBER(INDEX(rMed2,129)),ISNUMBER(INDEX(rMed,129))),INDEX(rMed2,129),NA()))</f>
        <v>2</v>
      </c>
      <c r="BY131">
        <f>IF(OR(cMed=0,cMed2=0,129&gt;nFilas),NA(),IF(AND(ISNUMBER(INDEX(rMed2,129)),ISNUMBER(INDEX(rMed,129))),INDEX(rMed,129),NA()))</f>
        <v>2169400</v>
      </c>
    </row>
    <row r="132">
      <c r="BX132">
        <f>IF(OR(cMed=0,cMed2=0,130&gt;nFilas),NA(),IF(AND(ISNUMBER(INDEX(rMed2,130)),ISNUMBER(INDEX(rMed,130))),INDEX(rMed2,130),NA()))</f>
        <v>2</v>
      </c>
      <c r="BY132">
        <f>IF(OR(cMed=0,cMed2=0,130&gt;nFilas),NA(),IF(AND(ISNUMBER(INDEX(rMed2,130)),ISNUMBER(INDEX(rMed,130))),INDEX(rMed,130),NA()))</f>
        <v>168200</v>
      </c>
    </row>
    <row r="133">
      <c r="BX133">
        <f>IF(OR(cMed=0,cMed2=0,131&gt;nFilas),NA(),IF(AND(ISNUMBER(INDEX(rMed2,131)),ISNUMBER(INDEX(rMed,131))),INDEX(rMed2,131),NA()))</f>
        <v>4</v>
      </c>
      <c r="BY133">
        <f>IF(OR(cMed=0,cMed2=0,131&gt;nFilas),NA(),IF(AND(ISNUMBER(INDEX(rMed2,131)),ISNUMBER(INDEX(rMed,131))),INDEX(rMed,131),NA()))</f>
        <v>968000</v>
      </c>
    </row>
    <row r="134">
      <c r="BX134">
        <f>IF(OR(cMed=0,cMed2=0,132&gt;nFilas),NA(),IF(AND(ISNUMBER(INDEX(rMed2,132)),ISNUMBER(INDEX(rMed,132))),INDEX(rMed2,132),NA()))</f>
        <v>5</v>
      </c>
      <c r="BY134">
        <f>IF(OR(cMed=0,cMed2=0,132&gt;nFilas),NA(),IF(AND(ISNUMBER(INDEX(rMed2,132)),ISNUMBER(INDEX(rMed,132))),INDEX(rMed,132),NA()))</f>
        <v>774000</v>
      </c>
    </row>
    <row r="135">
      <c r="BX135">
        <f>IF(OR(cMed=0,cMed2=0,133&gt;nFilas),NA(),IF(AND(ISNUMBER(INDEX(rMed2,133)),ISNUMBER(INDEX(rMed,133))),INDEX(rMed2,133),NA()))</f>
        <v>2</v>
      </c>
      <c r="BY135">
        <f>IF(OR(cMed=0,cMed2=0,133&gt;nFilas),NA(),IF(AND(ISNUMBER(INDEX(rMed2,133)),ISNUMBER(INDEX(rMed,133))),INDEX(rMed,133),NA()))</f>
        <v>2015200</v>
      </c>
    </row>
    <row r="136">
      <c r="BX136">
        <f>IF(OR(cMed=0,cMed2=0,134&gt;nFilas),NA(),IF(AND(ISNUMBER(INDEX(rMed2,134)),ISNUMBER(INDEX(rMed,134))),INDEX(rMed2,134),NA()))</f>
        <v>1</v>
      </c>
      <c r="BY136">
        <f>IF(OR(cMed=0,cMed2=0,134&gt;nFilas),NA(),IF(AND(ISNUMBER(INDEX(rMed2,134)),ISNUMBER(INDEX(rMed,134))),INDEX(rMed,134),NA()))</f>
        <v>98900</v>
      </c>
    </row>
    <row r="137">
      <c r="BX137">
        <f>IF(OR(cMed=0,cMed2=0,135&gt;nFilas),NA(),IF(AND(ISNUMBER(INDEX(rMed2,135)),ISNUMBER(INDEX(rMed,135))),INDEX(rMed2,135),NA()))</f>
        <v>1</v>
      </c>
      <c r="BY137">
        <f>IF(OR(cMed=0,cMed2=0,135&gt;nFilas),NA(),IF(AND(ISNUMBER(INDEX(rMed2,135)),ISNUMBER(INDEX(rMed,135))),INDEX(rMed,135),NA()))</f>
        <v>217700</v>
      </c>
    </row>
    <row r="138">
      <c r="BX138">
        <f>IF(OR(cMed=0,cMed2=0,136&gt;nFilas),NA(),IF(AND(ISNUMBER(INDEX(rMed2,136)),ISNUMBER(INDEX(rMed,136))),INDEX(rMed2,136),NA()))</f>
        <v>2</v>
      </c>
      <c r="BY138">
        <f>IF(OR(cMed=0,cMed2=0,136&gt;nFilas),NA(),IF(AND(ISNUMBER(INDEX(rMed2,136)),ISNUMBER(INDEX(rMed,136))),INDEX(rMed,136),NA()))</f>
        <v>1450600</v>
      </c>
    </row>
    <row r="139">
      <c r="BX139">
        <f>IF(OR(cMed=0,cMed2=0,137&gt;nFilas),NA(),IF(AND(ISNUMBER(INDEX(rMed2,137)),ISNUMBER(INDEX(rMed,137))),INDEX(rMed2,137),NA()))</f>
        <v>5</v>
      </c>
      <c r="BY139">
        <f>IF(OR(cMed=0,cMed2=0,137&gt;nFilas),NA(),IF(AND(ISNUMBER(INDEX(rMed2,137)),ISNUMBER(INDEX(rMed,137))),INDEX(rMed,137),NA()))</f>
        <v>4567000</v>
      </c>
    </row>
    <row r="140">
      <c r="BX140">
        <f>IF(OR(cMed=0,cMed2=0,138&gt;nFilas),NA(),IF(AND(ISNUMBER(INDEX(rMed2,138)),ISNUMBER(INDEX(rMed,138))),INDEX(rMed2,138),NA()))</f>
        <v>2</v>
      </c>
      <c r="BY140">
        <f>IF(OR(cMed=0,cMed2=0,138&gt;nFilas),NA(),IF(AND(ISNUMBER(INDEX(rMed2,138)),ISNUMBER(INDEX(rMed,138))),INDEX(rMed,138),NA()))</f>
        <v>2092400</v>
      </c>
    </row>
    <row r="141">
      <c r="BX141">
        <f>IF(OR(cMed=0,cMed2=0,139&gt;nFilas),NA(),IF(AND(ISNUMBER(INDEX(rMed2,139)),ISNUMBER(INDEX(rMed,139))),INDEX(rMed2,139),NA()))</f>
        <v>2</v>
      </c>
      <c r="BY141">
        <f>IF(OR(cMed=0,cMed2=0,139&gt;nFilas),NA(),IF(AND(ISNUMBER(INDEX(rMed2,139)),ISNUMBER(INDEX(rMed,139))),INDEX(rMed,139),NA()))</f>
        <v>173200</v>
      </c>
    </row>
    <row r="142">
      <c r="BX142">
        <f>IF(OR(cMed=0,cMed2=0,140&gt;nFilas),NA(),IF(AND(ISNUMBER(INDEX(rMed2,140)),ISNUMBER(INDEX(rMed,140))),INDEX(rMed2,140),NA()))</f>
        <v>5</v>
      </c>
      <c r="BY142">
        <f>IF(OR(cMed=0,cMed2=0,140&gt;nFilas),NA(),IF(AND(ISNUMBER(INDEX(rMed2,140)),ISNUMBER(INDEX(rMed,140))),INDEX(rMed,140),NA()))</f>
        <v>848500</v>
      </c>
    </row>
    <row r="143">
      <c r="BX143">
        <f>IF(OR(cMed=0,cMed2=0,141&gt;nFilas),NA(),IF(AND(ISNUMBER(INDEX(rMed2,141)),ISNUMBER(INDEX(rMed,141))),INDEX(rMed2,141),NA()))</f>
        <v>2</v>
      </c>
      <c r="BY143">
        <f>IF(OR(cMed=0,cMed2=0,141&gt;nFilas),NA(),IF(AND(ISNUMBER(INDEX(rMed2,141)),ISNUMBER(INDEX(rMed,141))),INDEX(rMed,141),NA()))</f>
        <v>1652200</v>
      </c>
    </row>
    <row r="144">
      <c r="BX144">
        <f>IF(OR(cMed=0,cMed2=0,142&gt;nFilas),NA(),IF(AND(ISNUMBER(INDEX(rMed2,142)),ISNUMBER(INDEX(rMed,142))),INDEX(rMed2,142),NA()))</f>
        <v>2</v>
      </c>
      <c r="BY144">
        <f>IF(OR(cMed=0,cMed2=0,142&gt;nFilas),NA(),IF(AND(ISNUMBER(INDEX(rMed2,142)),ISNUMBER(INDEX(rMed,142))),INDEX(rMed,142),NA()))</f>
        <v>117800</v>
      </c>
    </row>
    <row r="145">
      <c r="BX145">
        <f>IF(OR(cMed=0,cMed2=0,143&gt;nFilas),NA(),IF(AND(ISNUMBER(INDEX(rMed2,143)),ISNUMBER(INDEX(rMed,143))),INDEX(rMed2,143),NA()))</f>
        <v>3</v>
      </c>
      <c r="BY145">
        <f>IF(OR(cMed=0,cMed2=0,143&gt;nFilas),NA(),IF(AND(ISNUMBER(INDEX(rMed2,143)),ISNUMBER(INDEX(rMed,143))),INDEX(rMed,143),NA()))</f>
        <v>380400</v>
      </c>
    </row>
    <row r="146">
      <c r="BX146">
        <f>IF(OR(cMed=0,cMed2=0,144&gt;nFilas),NA(),IF(AND(ISNUMBER(INDEX(rMed2,144)),ISNUMBER(INDEX(rMed,144))),INDEX(rMed2,144),NA()))</f>
        <v>3</v>
      </c>
      <c r="BY146">
        <f>IF(OR(cMed=0,cMed2=0,144&gt;nFilas),NA(),IF(AND(ISNUMBER(INDEX(rMed2,144)),ISNUMBER(INDEX(rMed,144))),INDEX(rMed,144),NA()))</f>
        <v>428700</v>
      </c>
    </row>
    <row r="147">
      <c r="BX147">
        <f>IF(OR(cMed=0,cMed2=0,145&gt;nFilas),NA(),IF(AND(ISNUMBER(INDEX(rMed2,145)),ISNUMBER(INDEX(rMed,145))),INDEX(rMed2,145),NA()))</f>
        <v>2</v>
      </c>
      <c r="BY147">
        <f>IF(OR(cMed=0,cMed2=0,145&gt;nFilas),NA(),IF(AND(ISNUMBER(INDEX(rMed2,145)),ISNUMBER(INDEX(rMed,145))),INDEX(rMed,145),NA()))</f>
        <v>598920</v>
      </c>
    </row>
    <row r="148">
      <c r="BX148">
        <f>IF(OR(cMed=0,cMed2=0,146&gt;nFilas),NA(),IF(AND(ISNUMBER(INDEX(rMed2,146)),ISNUMBER(INDEX(rMed,146))),INDEX(rMed2,146),NA()))</f>
        <v>4</v>
      </c>
      <c r="BY148">
        <f>IF(OR(cMed=0,cMed2=0,146&gt;nFilas),NA(),IF(AND(ISNUMBER(INDEX(rMed2,146)),ISNUMBER(INDEX(rMed,146))),INDEX(rMed,146),NA()))</f>
        <v>469660</v>
      </c>
    </row>
    <row r="149">
      <c r="BX149">
        <f>IF(OR(cMed=0,cMed2=0,147&gt;nFilas),NA(),IF(AND(ISNUMBER(INDEX(rMed2,147)),ISNUMBER(INDEX(rMed,147))),INDEX(rMed2,147),NA()))</f>
        <v>4</v>
      </c>
      <c r="BY149">
        <f>IF(OR(cMed=0,cMed2=0,147&gt;nFilas),NA(),IF(AND(ISNUMBER(INDEX(rMed2,147)),ISNUMBER(INDEX(rMed,147))),INDEX(rMed,147),NA()))</f>
        <v>1009700</v>
      </c>
    </row>
    <row r="150">
      <c r="BX150">
        <f>IF(OR(cMed=0,cMed2=0,148&gt;nFilas),NA(),IF(AND(ISNUMBER(INDEX(rMed2,148)),ISNUMBER(INDEX(rMed,148))),INDEX(rMed2,148),NA()))</f>
        <v>5</v>
      </c>
      <c r="BY150">
        <f>IF(OR(cMed=0,cMed2=0,148&gt;nFilas),NA(),IF(AND(ISNUMBER(INDEX(rMed2,148)),ISNUMBER(INDEX(rMed,148))),INDEX(rMed,148),NA()))</f>
        <v>370875</v>
      </c>
    </row>
    <row r="151">
      <c r="BX151">
        <f>IF(OR(cMed=0,cMed2=0,149&gt;nFilas),NA(),IF(AND(ISNUMBER(INDEX(rMed2,149)),ISNUMBER(INDEX(rMed,149))),INDEX(rMed2,149),NA()))</f>
        <v>5</v>
      </c>
      <c r="BY151">
        <f>IF(OR(cMed=0,cMed2=0,149&gt;nFilas),NA(),IF(AND(ISNUMBER(INDEX(rMed2,149)),ISNUMBER(INDEX(rMed,149))),INDEX(rMed,149),NA()))</f>
        <v>768775</v>
      </c>
    </row>
    <row r="152">
      <c r="BX152">
        <f>IF(OR(cMed=0,cMed2=0,150&gt;nFilas),NA(),IF(AND(ISNUMBER(INDEX(rMed2,150)),ISNUMBER(INDEX(rMed,150))),INDEX(rMed2,150),NA()))</f>
        <v>3</v>
      </c>
      <c r="BY152">
        <f>IF(OR(cMed=0,cMed2=0,150&gt;nFilas),NA(),IF(AND(ISNUMBER(INDEX(rMed2,150)),ISNUMBER(INDEX(rMed,150))),INDEX(rMed,150),NA()))</f>
        <v>879405</v>
      </c>
    </row>
    <row r="153">
      <c r="BX153">
        <f>IF(OR(cMed=0,cMed2=0,151&gt;nFilas),NA(),IF(AND(ISNUMBER(INDEX(rMed2,151)),ISNUMBER(INDEX(rMed,151))),INDEX(rMed2,151),NA()))</f>
        <v>1</v>
      </c>
      <c r="BY153">
        <f>IF(OR(cMed=0,cMed2=0,151&gt;nFilas),NA(),IF(AND(ISNUMBER(INDEX(rMed2,151)),ISNUMBER(INDEX(rMed,151))),INDEX(rMed,151),NA()))</f>
        <v>202400</v>
      </c>
    </row>
    <row r="154">
      <c r="BX154">
        <f>IF(OR(cMed=0,cMed2=0,152&gt;nFilas),NA(),IF(AND(ISNUMBER(INDEX(rMed2,152)),ISNUMBER(INDEX(rMed,152))),INDEX(rMed2,152),NA()))</f>
        <v>4</v>
      </c>
      <c r="BY154">
        <f>IF(OR(cMed=0,cMed2=0,152&gt;nFilas),NA(),IF(AND(ISNUMBER(INDEX(rMed2,152)),ISNUMBER(INDEX(rMed,152))),INDEX(rMed,152),NA()))</f>
        <v>402960</v>
      </c>
    </row>
    <row r="155">
      <c r="BX155">
        <f>IF(OR(cMed=0,cMed2=0,153&gt;nFilas),NA(),IF(AND(ISNUMBER(INDEX(rMed2,153)),ISNUMBER(INDEX(rMed,153))),INDEX(rMed2,153),NA()))</f>
        <v>2</v>
      </c>
      <c r="BY155">
        <f>IF(OR(cMed=0,cMed2=0,153&gt;nFilas),NA(),IF(AND(ISNUMBER(INDEX(rMed2,153)),ISNUMBER(INDEX(rMed,153))),INDEX(rMed,153),NA()))</f>
        <v>2268950</v>
      </c>
    </row>
    <row r="156">
      <c r="BX156">
        <f>IF(OR(cMed=0,cMed2=0,154&gt;nFilas),NA(),IF(AND(ISNUMBER(INDEX(rMed2,154)),ISNUMBER(INDEX(rMed,154))),INDEX(rMed2,154),NA()))</f>
        <v>3</v>
      </c>
      <c r="BY156">
        <f>IF(OR(cMed=0,cMed2=0,154&gt;nFilas),NA(),IF(AND(ISNUMBER(INDEX(rMed2,154)),ISNUMBER(INDEX(rMed,154))),INDEX(rMed,154),NA()))</f>
        <v>426765</v>
      </c>
    </row>
    <row r="157">
      <c r="BX157">
        <f>IF(OR(cMed=0,cMed2=0,155&gt;nFilas),NA(),IF(AND(ISNUMBER(INDEX(rMed2,155)),ISNUMBER(INDEX(rMed,155))),INDEX(rMed2,155),NA()))</f>
        <v>3</v>
      </c>
      <c r="BY157">
        <f>IF(OR(cMed=0,cMed2=0,155&gt;nFilas),NA(),IF(AND(ISNUMBER(INDEX(rMed2,155)),ISNUMBER(INDEX(rMed,155))),INDEX(rMed,155),NA()))</f>
        <v>3005640</v>
      </c>
    </row>
    <row r="158">
      <c r="BX158">
        <f>IF(OR(cMed=0,cMed2=0,156&gt;nFilas),NA(),IF(AND(ISNUMBER(INDEX(rMed2,156)),ISNUMBER(INDEX(rMed,156))),INDEX(rMed2,156),NA()))</f>
        <v>3</v>
      </c>
      <c r="BY158">
        <f>IF(OR(cMed=0,cMed2=0,156&gt;nFilas),NA(),IF(AND(ISNUMBER(INDEX(rMed2,156)),ISNUMBER(INDEX(rMed,156))),INDEX(rMed,156),NA()))</f>
        <v>362595</v>
      </c>
    </row>
    <row r="159">
      <c r="BX159">
        <f>IF(OR(cMed=0,cMed2=0,157&gt;nFilas),NA(),IF(AND(ISNUMBER(INDEX(rMed2,157)),ISNUMBER(INDEX(rMed,157))),INDEX(rMed2,157),NA()))</f>
        <v>4</v>
      </c>
      <c r="BY159">
        <f>IF(OR(cMed=0,cMed2=0,157&gt;nFilas),NA(),IF(AND(ISNUMBER(INDEX(rMed2,157)),ISNUMBER(INDEX(rMed,157))),INDEX(rMed,157),NA()))</f>
        <v>281520</v>
      </c>
    </row>
    <row r="160">
      <c r="BX160">
        <f>IF(OR(cMed=0,cMed2=0,158&gt;nFilas),NA(),IF(AND(ISNUMBER(INDEX(rMed2,158)),ISNUMBER(INDEX(rMed,158))),INDEX(rMed2,158),NA()))</f>
        <v>5</v>
      </c>
      <c r="BY160">
        <f>IF(OR(cMed=0,cMed2=0,158&gt;nFilas),NA(),IF(AND(ISNUMBER(INDEX(rMed2,158)),ISNUMBER(INDEX(rMed,158))),INDEX(rMed,158),NA()))</f>
        <v>679650</v>
      </c>
    </row>
    <row r="161">
      <c r="BX161">
        <f>IF(OR(cMed=0,cMed2=0,159&gt;nFilas),NA(),IF(AND(ISNUMBER(INDEX(rMed2,159)),ISNUMBER(INDEX(rMed,159))),INDEX(rMed2,159),NA()))</f>
        <v>2</v>
      </c>
      <c r="BY161">
        <f>IF(OR(cMed=0,cMed2=0,159&gt;nFilas),NA(),IF(AND(ISNUMBER(INDEX(rMed2,159)),ISNUMBER(INDEX(rMed,159))),INDEX(rMed,159),NA()))</f>
        <v>1503050</v>
      </c>
    </row>
    <row r="162">
      <c r="BX162">
        <f>IF(OR(cMed=0,cMed2=0,160&gt;nFilas),NA(),IF(AND(ISNUMBER(INDEX(rMed2,160)),ISNUMBER(INDEX(rMed,160))),INDEX(rMed2,160),NA()))</f>
        <v>5</v>
      </c>
      <c r="BY162">
        <f>IF(OR(cMed=0,cMed2=0,160&gt;nFilas),NA(),IF(AND(ISNUMBER(INDEX(rMed2,160)),ISNUMBER(INDEX(rMed,160))),INDEX(rMed,160),NA()))</f>
        <v>1361600</v>
      </c>
    </row>
    <row r="163">
      <c r="BX163">
        <f>IF(OR(cMed=0,cMed2=0,161&gt;nFilas),NA(),IF(AND(ISNUMBER(INDEX(rMed2,161)),ISNUMBER(INDEX(rMed,161))),INDEX(rMed2,161),NA()))</f>
        <v>3</v>
      </c>
      <c r="BY163">
        <f>IF(OR(cMed=0,cMed2=0,161&gt;nFilas),NA(),IF(AND(ISNUMBER(INDEX(rMed2,161)),ISNUMBER(INDEX(rMed,161))),INDEX(rMed,161),NA()))</f>
        <v>266340</v>
      </c>
    </row>
    <row r="164">
      <c r="BX164">
        <f>IF(OR(cMed=0,cMed2=0,162&gt;nFilas),NA(),IF(AND(ISNUMBER(INDEX(rMed2,162)),ISNUMBER(INDEX(rMed,162))),INDEX(rMed2,162),NA()))</f>
        <v>2</v>
      </c>
      <c r="BY164">
        <f>IF(OR(cMed=0,cMed2=0,162&gt;nFilas),NA(),IF(AND(ISNUMBER(INDEX(rMed2,162)),ISNUMBER(INDEX(rMed,162))),INDEX(rMed,162),NA()))</f>
        <v>151340</v>
      </c>
    </row>
    <row r="165">
      <c r="BX165">
        <f>IF(OR(cMed=0,cMed2=0,163&gt;nFilas),NA(),IF(AND(ISNUMBER(INDEX(rMed2,163)),ISNUMBER(INDEX(rMed,163))),INDEX(rMed2,163),NA()))</f>
        <v>4</v>
      </c>
      <c r="BY165">
        <f>IF(OR(cMed=0,cMed2=0,163&gt;nFilas),NA(),IF(AND(ISNUMBER(INDEX(rMed2,163)),ISNUMBER(INDEX(rMed,163))),INDEX(rMed,163),NA()))</f>
        <v>240120</v>
      </c>
    </row>
    <row r="166">
      <c r="BX166">
        <f>IF(OR(cMed=0,cMed2=0,164&gt;nFilas),NA(),IF(AND(ISNUMBER(INDEX(rMed2,164)),ISNUMBER(INDEX(rMed,164))),INDEX(rMed2,164),NA()))</f>
        <v>2</v>
      </c>
      <c r="BY166">
        <f>IF(OR(cMed=0,cMed2=0,164&gt;nFilas),NA(),IF(AND(ISNUMBER(INDEX(rMed2,164)),ISNUMBER(INDEX(rMed,164))),INDEX(rMed,164),NA()))</f>
        <v>128570</v>
      </c>
    </row>
    <row r="167">
      <c r="BX167">
        <f>IF(OR(cMed=0,cMed2=0,165&gt;nFilas),NA(),IF(AND(ISNUMBER(INDEX(rMed2,165)),ISNUMBER(INDEX(rMed,165))),INDEX(rMed2,165),NA()))</f>
        <v>4</v>
      </c>
      <c r="BY167">
        <f>IF(OR(cMed=0,cMed2=0,165&gt;nFilas),NA(),IF(AND(ISNUMBER(INDEX(rMed2,165)),ISNUMBER(INDEX(rMed,165))),INDEX(rMed,165),NA()))</f>
        <v>3822140</v>
      </c>
    </row>
    <row r="168">
      <c r="BX168">
        <f>IF(OR(cMed=0,cMed2=0,166&gt;nFilas),NA(),IF(AND(ISNUMBER(INDEX(rMed2,166)),ISNUMBER(INDEX(rMed,166))),INDEX(rMed2,166),NA()))</f>
        <v>4</v>
      </c>
      <c r="BY168">
        <f>IF(OR(cMed=0,cMed2=0,166&gt;nFilas),NA(),IF(AND(ISNUMBER(INDEX(rMed2,166)),ISNUMBER(INDEX(rMed,166))),INDEX(rMed,166),NA()))</f>
        <v>290000</v>
      </c>
    </row>
    <row r="169">
      <c r="BX169">
        <f>IF(OR(cMed=0,cMed2=0,167&gt;nFilas),NA(),IF(AND(ISNUMBER(INDEX(rMed2,167)),ISNUMBER(INDEX(rMed,167))),INDEX(rMed2,167),NA()))</f>
        <v>4</v>
      </c>
      <c r="BY169">
        <f>IF(OR(cMed=0,cMed2=0,167&gt;nFilas),NA(),IF(AND(ISNUMBER(INDEX(rMed2,167)),ISNUMBER(INDEX(rMed,167))),INDEX(rMed,167),NA()))</f>
        <v>4362800</v>
      </c>
    </row>
    <row r="170">
      <c r="BX170">
        <f>IF(OR(cMed=0,cMed2=0,168&gt;nFilas),NA(),IF(AND(ISNUMBER(INDEX(rMed2,168)),ISNUMBER(INDEX(rMed,168))),INDEX(rMed2,168),NA()))</f>
        <v>1</v>
      </c>
      <c r="BY170">
        <f>IF(OR(cMed=0,cMed2=0,168&gt;nFilas),NA(),IF(AND(ISNUMBER(INDEX(rMed2,168)),ISNUMBER(INDEX(rMed,168))),INDEX(rMed,168),NA()))</f>
        <v>77500</v>
      </c>
    </row>
    <row r="171">
      <c r="BX171">
        <f>IF(OR(cMed=0,cMed2=0,169&gt;nFilas),NA(),IF(AND(ISNUMBER(INDEX(rMed2,169)),ISNUMBER(INDEX(rMed,169))),INDEX(rMed2,169),NA()))</f>
        <v>1</v>
      </c>
      <c r="BY171">
        <f>IF(OR(cMed=0,cMed2=0,169&gt;nFilas),NA(),IF(AND(ISNUMBER(INDEX(rMed2,169)),ISNUMBER(INDEX(rMed,169))),INDEX(rMed,169),NA()))</f>
        <v>235200</v>
      </c>
    </row>
    <row r="172">
      <c r="BX172">
        <f>IF(OR(cMed=0,cMed2=0,170&gt;nFilas),NA(),IF(AND(ISNUMBER(INDEX(rMed2,170)),ISNUMBER(INDEX(rMed,170))),INDEX(rMed2,170),NA()))</f>
        <v>3</v>
      </c>
      <c r="BY172">
        <f>IF(OR(cMed=0,cMed2=0,170&gt;nFilas),NA(),IF(AND(ISNUMBER(INDEX(rMed2,170)),ISNUMBER(INDEX(rMed,170))),INDEX(rMed,170),NA()))</f>
        <v>203400</v>
      </c>
    </row>
    <row r="173">
      <c r="BX173">
        <f>IF(OR(cMed=0,cMed2=0,171&gt;nFilas),NA(),IF(AND(ISNUMBER(INDEX(rMed2,171)),ISNUMBER(INDEX(rMed,171))),INDEX(rMed2,171),NA()))</f>
        <v>3</v>
      </c>
      <c r="BY173">
        <f>IF(OR(cMed=0,cMed2=0,171&gt;nFilas),NA(),IF(AND(ISNUMBER(INDEX(rMed2,171)),ISNUMBER(INDEX(rMed,171))),INDEX(rMed,171),NA()))</f>
        <v>267600</v>
      </c>
    </row>
    <row r="174">
      <c r="BX174">
        <f>IF(OR(cMed=0,cMed2=0,172&gt;nFilas),NA(),IF(AND(ISNUMBER(INDEX(rMed2,172)),ISNUMBER(INDEX(rMed,172))),INDEX(rMed2,172),NA()))</f>
        <v>4</v>
      </c>
      <c r="BY174">
        <f>IF(OR(cMed=0,cMed2=0,172&gt;nFilas),NA(),IF(AND(ISNUMBER(INDEX(rMed2,172)),ISNUMBER(INDEX(rMed,172))),INDEX(rMed,172),NA()))</f>
        <v>451600</v>
      </c>
    </row>
    <row r="175">
      <c r="BX175">
        <f>IF(OR(cMed=0,cMed2=0,173&gt;nFilas),NA(),IF(AND(ISNUMBER(INDEX(rMed2,173)),ISNUMBER(INDEX(rMed,173))),INDEX(rMed2,173),NA()))</f>
        <v>2</v>
      </c>
      <c r="BY175">
        <f>IF(OR(cMed=0,cMed2=0,173&gt;nFilas),NA(),IF(AND(ISNUMBER(INDEX(rMed2,173)),ISNUMBER(INDEX(rMed,173))),INDEX(rMed,173),NA()))</f>
        <v>259600</v>
      </c>
    </row>
    <row r="176">
      <c r="BX176">
        <f>IF(OR(cMed=0,cMed2=0,174&gt;nFilas),NA(),IF(AND(ISNUMBER(INDEX(rMed2,174)),ISNUMBER(INDEX(rMed,174))),INDEX(rMed2,174),NA()))</f>
        <v>5</v>
      </c>
      <c r="BY176">
        <f>IF(OR(cMed=0,cMed2=0,174&gt;nFilas),NA(),IF(AND(ISNUMBER(INDEX(rMed2,174)),ISNUMBER(INDEX(rMed,174))),INDEX(rMed,174),NA()))</f>
        <v>440000</v>
      </c>
    </row>
    <row r="177">
      <c r="BX177">
        <f>IF(OR(cMed=0,cMed2=0,175&gt;nFilas),NA(),IF(AND(ISNUMBER(INDEX(rMed2,175)),ISNUMBER(INDEX(rMed,175))),INDEX(rMed2,175),NA()))</f>
        <v>3</v>
      </c>
      <c r="BY177">
        <f>IF(OR(cMed=0,cMed2=0,175&gt;nFilas),NA(),IF(AND(ISNUMBER(INDEX(rMed2,175)),ISNUMBER(INDEX(rMed,175))),INDEX(rMed,175),NA()))</f>
        <v>1851000</v>
      </c>
    </row>
    <row r="178">
      <c r="BX178">
        <f>IF(OR(cMed=0,cMed2=0,176&gt;nFilas),NA(),IF(AND(ISNUMBER(INDEX(rMed2,176)),ISNUMBER(INDEX(rMed,176))),INDEX(rMed2,176),NA()))</f>
        <v>3</v>
      </c>
      <c r="BY178">
        <f>IF(OR(cMed=0,cMed2=0,176&gt;nFilas),NA(),IF(AND(ISNUMBER(INDEX(rMed2,176)),ISNUMBER(INDEX(rMed,176))),INDEX(rMed,176),NA()))</f>
        <v>381300</v>
      </c>
    </row>
    <row r="179">
      <c r="BX179">
        <f>IF(OR(cMed=0,cMed2=0,177&gt;nFilas),NA(),IF(AND(ISNUMBER(INDEX(rMed2,177)),ISNUMBER(INDEX(rMed,177))),INDEX(rMed2,177),NA()))</f>
        <v>1</v>
      </c>
      <c r="BY179">
        <f>IF(OR(cMed=0,cMed2=0,177&gt;nFilas),NA(),IF(AND(ISNUMBER(INDEX(rMed2,177)),ISNUMBER(INDEX(rMed,177))),INDEX(rMed,177),NA()))</f>
        <v>82100</v>
      </c>
    </row>
    <row r="180">
      <c r="BX180">
        <f>IF(OR(cMed=0,cMed2=0,178&gt;nFilas),NA(),IF(AND(ISNUMBER(INDEX(rMed2,178)),ISNUMBER(INDEX(rMed,178))),INDEX(rMed2,178),NA()))</f>
        <v>1</v>
      </c>
      <c r="BY180">
        <f>IF(OR(cMed=0,cMed2=0,178&gt;nFilas),NA(),IF(AND(ISNUMBER(INDEX(rMed2,178)),ISNUMBER(INDEX(rMed,178))),INDEX(rMed,178),NA()))</f>
        <v>95700</v>
      </c>
    </row>
    <row r="181">
      <c r="BX181">
        <f>IF(OR(cMed=0,cMed2=0,179&gt;nFilas),NA(),IF(AND(ISNUMBER(INDEX(rMed2,179)),ISNUMBER(INDEX(rMed,179))),INDEX(rMed2,179),NA()))</f>
        <v>5</v>
      </c>
      <c r="BY181">
        <f>IF(OR(cMed=0,cMed2=0,179&gt;nFilas),NA(),IF(AND(ISNUMBER(INDEX(rMed2,179)),ISNUMBER(INDEX(rMed,179))),INDEX(rMed,179),NA()))</f>
        <v>385500</v>
      </c>
    </row>
    <row r="182">
      <c r="BX182">
        <f>IF(OR(cMed=0,cMed2=0,180&gt;nFilas),NA(),IF(AND(ISNUMBER(INDEX(rMed2,180)),ISNUMBER(INDEX(rMed,180))),INDEX(rMed2,180),NA()))</f>
        <v>3</v>
      </c>
      <c r="BY182">
        <f>IF(OR(cMed=0,cMed2=0,180&gt;nFilas),NA(),IF(AND(ISNUMBER(INDEX(rMed2,180)),ISNUMBER(INDEX(rMed,180))),INDEX(rMed,180),NA()))</f>
        <v>569400</v>
      </c>
    </row>
    <row r="183">
      <c r="BX183">
        <f>IF(OR(cMed=0,cMed2=0,181&gt;nFilas),NA(),IF(AND(ISNUMBER(INDEX(rMed2,181)),ISNUMBER(INDEX(rMed,181))),INDEX(rMed2,181),NA()))</f>
        <v>5</v>
      </c>
      <c r="BY183">
        <f>IF(OR(cMed=0,cMed2=0,181&gt;nFilas),NA(),IF(AND(ISNUMBER(INDEX(rMed2,181)),ISNUMBER(INDEX(rMed,181))),INDEX(rMed,181),NA()))</f>
        <v>4128000</v>
      </c>
    </row>
    <row r="184">
      <c r="BX184">
        <f>IF(OR(cMed=0,cMed2=0,182&gt;nFilas),NA(),IF(AND(ISNUMBER(INDEX(rMed2,182)),ISNUMBER(INDEX(rMed,182))),INDEX(rMed2,182),NA()))</f>
        <v>1</v>
      </c>
      <c r="BY184">
        <f>IF(OR(cMed=0,cMed2=0,182&gt;nFilas),NA(),IF(AND(ISNUMBER(INDEX(rMed2,182)),ISNUMBER(INDEX(rMed,182))),INDEX(rMed,182),NA()))</f>
        <v>73370</v>
      </c>
    </row>
    <row r="185">
      <c r="BX185">
        <f>IF(OR(cMed=0,cMed2=0,183&gt;nFilas),NA(),IF(AND(ISNUMBER(INDEX(rMed2,183)),ISNUMBER(INDEX(rMed,183))),INDEX(rMed2,183),NA()))</f>
        <v>2</v>
      </c>
      <c r="BY185">
        <f>IF(OR(cMed=0,cMed2=0,183&gt;nFilas),NA(),IF(AND(ISNUMBER(INDEX(rMed2,183)),ISNUMBER(INDEX(rMed,183))),INDEX(rMed,183),NA()))</f>
        <v>382030</v>
      </c>
    </row>
    <row r="186">
      <c r="BX186">
        <f>IF(OR(cMed=0,cMed2=0,184&gt;nFilas),NA(),IF(AND(ISNUMBER(INDEX(rMed2,184)),ISNUMBER(INDEX(rMed,184))),INDEX(rMed2,184),NA()))</f>
        <v>5</v>
      </c>
      <c r="BY186">
        <f>IF(OR(cMed=0,cMed2=0,184&gt;nFilas),NA(),IF(AND(ISNUMBER(INDEX(rMed2,184)),ISNUMBER(INDEX(rMed,184))),INDEX(rMed,184),NA()))</f>
        <v>5565425</v>
      </c>
    </row>
    <row r="187">
      <c r="BX187">
        <f>IF(OR(cMed=0,cMed2=0,185&gt;nFilas),NA(),IF(AND(ISNUMBER(INDEX(rMed2,185)),ISNUMBER(INDEX(rMed,185))),INDEX(rMed2,185),NA()))</f>
        <v>4</v>
      </c>
      <c r="BY187">
        <f>IF(OR(cMed=0,cMed2=0,185&gt;nFilas),NA(),IF(AND(ISNUMBER(INDEX(rMed2,185)),ISNUMBER(INDEX(rMed,185))),INDEX(rMed,185),NA()))</f>
        <v>374440</v>
      </c>
    </row>
    <row r="188">
      <c r="BX188">
        <f>IF(OR(cMed=0,cMed2=0,186&gt;nFilas),NA(),IF(AND(ISNUMBER(INDEX(rMed2,186)),ISNUMBER(INDEX(rMed,186))),INDEX(rMed2,186),NA()))</f>
        <v>4</v>
      </c>
      <c r="BY188">
        <f>IF(OR(cMed=0,cMed2=0,186&gt;nFilas),NA(),IF(AND(ISNUMBER(INDEX(rMed2,186)),ISNUMBER(INDEX(rMed,186))),INDEX(rMed,186),NA()))</f>
        <v>4577460</v>
      </c>
    </row>
    <row r="189">
      <c r="BX189">
        <f>IF(OR(cMed=0,cMed2=0,187&gt;nFilas),NA(),IF(AND(ISNUMBER(INDEX(rMed2,187)),ISNUMBER(INDEX(rMed,187))),INDEX(rMed2,187),NA()))</f>
        <v>4</v>
      </c>
      <c r="BY189">
        <f>IF(OR(cMed=0,cMed2=0,187&gt;nFilas),NA(),IF(AND(ISNUMBER(INDEX(rMed2,187)),ISNUMBER(INDEX(rMed,187))),INDEX(rMed,187),NA()))</f>
        <v>638940</v>
      </c>
    </row>
    <row r="190">
      <c r="BX190">
        <f>IF(OR(cMed=0,cMed2=0,188&gt;nFilas),NA(),IF(AND(ISNUMBER(INDEX(rMed2,188)),ISNUMBER(INDEX(rMed,188))),INDEX(rMed2,188),NA()))</f>
        <v>1</v>
      </c>
      <c r="BY190">
        <f>IF(OR(cMed=0,cMed2=0,188&gt;nFilas),NA(),IF(AND(ISNUMBER(INDEX(rMed2,188)),ISNUMBER(INDEX(rMed,188))),INDEX(rMed,188),NA()))</f>
        <v>101085</v>
      </c>
    </row>
    <row r="191">
      <c r="BX191">
        <f>IF(OR(cMed=0,cMed2=0,189&gt;nFilas),NA(),IF(AND(ISNUMBER(INDEX(rMed2,189)),ISNUMBER(INDEX(rMed,189))),INDEX(rMed2,189),NA()))</f>
        <v>5</v>
      </c>
      <c r="BY191">
        <f>IF(OR(cMed=0,cMed2=0,189&gt;nFilas),NA(),IF(AND(ISNUMBER(INDEX(rMed2,189)),ISNUMBER(INDEX(rMed,189))),INDEX(rMed,189),NA()))</f>
        <v>1052250</v>
      </c>
    </row>
    <row r="192">
      <c r="BX192">
        <f>IF(OR(cMed=0,cMed2=0,190&gt;nFilas),NA(),IF(AND(ISNUMBER(INDEX(rMed2,190)),ISNUMBER(INDEX(rMed,190))),INDEX(rMed2,190),NA()))</f>
        <v>5</v>
      </c>
      <c r="BY192">
        <f>IF(OR(cMed=0,cMed2=0,190&gt;nFilas),NA(),IF(AND(ISNUMBER(INDEX(rMed2,190)),ISNUMBER(INDEX(rMed,190))),INDEX(rMed,190),NA()))</f>
        <v>3609850</v>
      </c>
    </row>
    <row r="193">
      <c r="BX193">
        <f>IF(OR(cMed=0,cMed2=0,191&gt;nFilas),NA(),IF(AND(ISNUMBER(INDEX(rMed2,191)),ISNUMBER(INDEX(rMed,191))),INDEX(rMed2,191),NA()))</f>
        <v>4</v>
      </c>
      <c r="BY193">
        <f>IF(OR(cMed=0,cMed2=0,191&gt;nFilas),NA(),IF(AND(ISNUMBER(INDEX(rMed2,191)),ISNUMBER(INDEX(rMed,191))),INDEX(rMed,191),NA()))</f>
        <v>388000</v>
      </c>
    </row>
    <row r="194">
      <c r="BX194">
        <f>IF(OR(cMed=0,cMed2=0,192&gt;nFilas),NA(),IF(AND(ISNUMBER(INDEX(rMed2,192)),ISNUMBER(INDEX(rMed,192))),INDEX(rMed2,192),NA()))</f>
        <v>2</v>
      </c>
      <c r="BY194">
        <f>IF(OR(cMed=0,cMed2=0,192&gt;nFilas),NA(),IF(AND(ISNUMBER(INDEX(rMed2,192)),ISNUMBER(INDEX(rMed,192))),INDEX(rMed,192),NA()))</f>
        <v>310400</v>
      </c>
    </row>
    <row r="195">
      <c r="BX195">
        <f>IF(OR(cMed=0,cMed2=0,193&gt;nFilas),NA(),IF(AND(ISNUMBER(INDEX(rMed2,193)),ISNUMBER(INDEX(rMed,193))),INDEX(rMed2,193),NA()))</f>
        <v>1</v>
      </c>
      <c r="BY195">
        <f>IF(OR(cMed=0,cMed2=0,193&gt;nFilas),NA(),IF(AND(ISNUMBER(INDEX(rMed2,193)),ISNUMBER(INDEX(rMed,193))),INDEX(rMed,193),NA()))</f>
        <v>852400</v>
      </c>
    </row>
    <row r="196">
      <c r="BX196">
        <f>IF(OR(cMed=0,cMed2=0,194&gt;nFilas),NA(),IF(AND(ISNUMBER(INDEX(rMed2,194)),ISNUMBER(INDEX(rMed,194))),INDEX(rMed2,194),NA()))</f>
        <v>5</v>
      </c>
      <c r="BY196">
        <f>IF(OR(cMed=0,cMed2=0,194&gt;nFilas),NA(),IF(AND(ISNUMBER(INDEX(rMed2,194)),ISNUMBER(INDEX(rMed,194))),INDEX(rMed,194),NA()))</f>
        <v>1260500</v>
      </c>
    </row>
    <row r="197">
      <c r="BX197">
        <f>IF(OR(cMed=0,cMed2=0,195&gt;nFilas),NA(),IF(AND(ISNUMBER(INDEX(rMed2,195)),ISNUMBER(INDEX(rMed,195))),INDEX(rMed2,195),NA()))</f>
        <v>5</v>
      </c>
      <c r="BY197">
        <f>IF(OR(cMed=0,cMed2=0,195&gt;nFilas),NA(),IF(AND(ISNUMBER(INDEX(rMed2,195)),ISNUMBER(INDEX(rMed,195))),INDEX(rMed,195),NA()))</f>
        <v>4663500</v>
      </c>
    </row>
    <row r="198">
      <c r="BX198">
        <f>IF(OR(cMed=0,cMed2=0,196&gt;nFilas),NA(),IF(AND(ISNUMBER(INDEX(rMed2,196)),ISNUMBER(INDEX(rMed,196))),INDEX(rMed2,196),NA()))</f>
        <v>5</v>
      </c>
      <c r="BY198">
        <f>IF(OR(cMed=0,cMed2=0,196&gt;nFilas),NA(),IF(AND(ISNUMBER(INDEX(rMed2,196)),ISNUMBER(INDEX(rMed,196))),INDEX(rMed,196),NA()))</f>
        <v>462500</v>
      </c>
    </row>
    <row r="199">
      <c r="BX199">
        <f>IF(OR(cMed=0,cMed2=0,197&gt;nFilas),NA(),IF(AND(ISNUMBER(INDEX(rMed2,197)),ISNUMBER(INDEX(rMed,197))),INDEX(rMed2,197),NA()))</f>
        <v>1</v>
      </c>
      <c r="BY199">
        <f>IF(OR(cMed=0,cMed2=0,197&gt;nFilas),NA(),IF(AND(ISNUMBER(INDEX(rMed2,197)),ISNUMBER(INDEX(rMed,197))),INDEX(rMed,197),NA()))</f>
        <v>84600</v>
      </c>
    </row>
    <row r="200">
      <c r="BX200">
        <f>IF(OR(cMed=0,cMed2=0,198&gt;nFilas),NA(),IF(AND(ISNUMBER(INDEX(rMed2,198)),ISNUMBER(INDEX(rMed,198))),INDEX(rMed2,198),NA()))</f>
        <v>1</v>
      </c>
      <c r="BY200">
        <f>IF(OR(cMed=0,cMed2=0,198&gt;nFilas),NA(),IF(AND(ISNUMBER(INDEX(rMed2,198)),ISNUMBER(INDEX(rMed,198))),INDEX(rMed,198),NA()))</f>
        <v>246900</v>
      </c>
    </row>
    <row r="201">
      <c r="BX201">
        <f>IF(OR(cMed=0,cMed2=0,199&gt;nFilas),NA(),IF(AND(ISNUMBER(INDEX(rMed2,199)),ISNUMBER(INDEX(rMed,199))),INDEX(rMed2,199),NA()))</f>
        <v>4</v>
      </c>
      <c r="BY201">
        <f>IF(OR(cMed=0,cMed2=0,199&gt;nFilas),NA(),IF(AND(ISNUMBER(INDEX(rMed2,199)),ISNUMBER(INDEX(rMed,199))),INDEX(rMed,199),NA()))</f>
        <v>388000</v>
      </c>
    </row>
    <row r="202">
      <c r="BX202">
        <f>IF(OR(cMed=0,cMed2=0,200&gt;nFilas),NA(),IF(AND(ISNUMBER(INDEX(rMed2,200)),ISNUMBER(INDEX(rMed,200))),INDEX(rMed2,200),NA()))</f>
        <v>5</v>
      </c>
      <c r="BY202">
        <f>IF(OR(cMed=0,cMed2=0,200&gt;nFilas),NA(),IF(AND(ISNUMBER(INDEX(rMed2,200)),ISNUMBER(INDEX(rMed,200))),INDEX(rMed,200),NA()))</f>
        <v>394000</v>
      </c>
    </row>
    <row r="203">
      <c r="BX203">
        <f>IF(OR(cMed=0,cMed2=0,201&gt;nFilas),NA(),IF(AND(ISNUMBER(INDEX(rMed2,201)),ISNUMBER(INDEX(rMed,201))),INDEX(rMed2,201),NA()))</f>
        <v>5</v>
      </c>
      <c r="BY203">
        <f>IF(OR(cMed=0,cMed2=0,201&gt;nFilas),NA(),IF(AND(ISNUMBER(INDEX(rMed2,201)),ISNUMBER(INDEX(rMed,201))),INDEX(rMed,201),NA()))</f>
        <v>4997500</v>
      </c>
    </row>
    <row r="204">
      <c r="BX204">
        <f>IF(OR(cMed=0,cMed2=0,202&gt;nFilas),NA(),IF(AND(ISNUMBER(INDEX(rMed2,202)),ISNUMBER(INDEX(rMed,202))),INDEX(rMed2,202),NA()))</f>
        <v>3</v>
      </c>
      <c r="BY204">
        <f>IF(OR(cMed=0,cMed2=0,202&gt;nFilas),NA(),IF(AND(ISNUMBER(INDEX(rMed2,202)),ISNUMBER(INDEX(rMed,202))),INDEX(rMed,202),NA()))</f>
        <v>229200</v>
      </c>
    </row>
    <row r="205">
      <c r="BX205">
        <f>IF(OR(cMed=0,cMed2=0,203&gt;nFilas),NA(),IF(AND(ISNUMBER(INDEX(rMed2,203)),ISNUMBER(INDEX(rMed,203))),INDEX(rMed2,203),NA()))</f>
        <v>5</v>
      </c>
      <c r="BY205">
        <f>IF(OR(cMed=0,cMed2=0,203&gt;nFilas),NA(),IF(AND(ISNUMBER(INDEX(rMed2,203)),ISNUMBER(INDEX(rMed,203))),INDEX(rMed,203),NA()))</f>
        <v>1004500</v>
      </c>
    </row>
    <row r="206">
      <c r="BX206">
        <f>IF(OR(cMed=0,cMed2=0,204&gt;nFilas),NA(),IF(AND(ISNUMBER(INDEX(rMed2,204)),ISNUMBER(INDEX(rMed,204))),INDEX(rMed2,204),NA()))</f>
        <v>4</v>
      </c>
      <c r="BY206">
        <f>IF(OR(cMed=0,cMed2=0,204&gt;nFilas),NA(),IF(AND(ISNUMBER(INDEX(rMed2,204)),ISNUMBER(INDEX(rMed,204))),INDEX(rMed,204),NA()))</f>
        <v>740400</v>
      </c>
    </row>
    <row r="207">
      <c r="BX207">
        <f>IF(OR(cMed=0,cMed2=0,205&gt;nFilas),NA(),IF(AND(ISNUMBER(INDEX(rMed2,205)),ISNUMBER(INDEX(rMed,205))),INDEX(rMed2,205),NA()))</f>
        <v>5</v>
      </c>
      <c r="BY207">
        <f>IF(OR(cMed=0,cMed2=0,205&gt;nFilas),NA(),IF(AND(ISNUMBER(INDEX(rMed2,205)),ISNUMBER(INDEX(rMed,205))),INDEX(rMed,205),NA()))</f>
        <v>321500</v>
      </c>
    </row>
    <row r="208">
      <c r="BX208">
        <f>IF(OR(cMed=0,cMed2=0,206&gt;nFilas),NA(),IF(AND(ISNUMBER(INDEX(rMed2,206)),ISNUMBER(INDEX(rMed,206))),INDEX(rMed2,206),NA()))</f>
        <v>1</v>
      </c>
      <c r="BY208">
        <f>IF(OR(cMed=0,cMed2=0,206&gt;nFilas),NA(),IF(AND(ISNUMBER(INDEX(rMed2,206)),ISNUMBER(INDEX(rMed,206))),INDEX(rMed,206),NA()))</f>
        <v>202300</v>
      </c>
    </row>
    <row r="209">
      <c r="BX209">
        <f>IF(OR(cMed=0,cMed2=0,207&gt;nFilas),NA(),IF(AND(ISNUMBER(INDEX(rMed2,207)),ISNUMBER(INDEX(rMed,207))),INDEX(rMed2,207),NA()))</f>
        <v>3</v>
      </c>
      <c r="BY209">
        <f>IF(OR(cMed=0,cMed2=0,207&gt;nFilas),NA(),IF(AND(ISNUMBER(INDEX(rMed2,207)),ISNUMBER(INDEX(rMed,207))),INDEX(rMed,207),NA()))</f>
        <v>262800</v>
      </c>
    </row>
    <row r="210">
      <c r="BX210">
        <f>IF(OR(cMed=0,cMed2=0,208&gt;nFilas),NA(),IF(AND(ISNUMBER(INDEX(rMed2,208)),ISNUMBER(INDEX(rMed,208))),INDEX(rMed2,208),NA()))</f>
        <v>2</v>
      </c>
      <c r="BY210">
        <f>IF(OR(cMed=0,cMed2=0,208&gt;nFilas),NA(),IF(AND(ISNUMBER(INDEX(rMed2,208)),ISNUMBER(INDEX(rMed,208))),INDEX(rMed,208),NA()))</f>
        <v>2235370</v>
      </c>
    </row>
    <row r="211">
      <c r="BX211">
        <f>IF(OR(cMed=0,cMed2=0,209&gt;nFilas),NA(),IF(AND(ISNUMBER(INDEX(rMed2,209)),ISNUMBER(INDEX(rMed,209))),INDEX(rMed2,209),NA()))</f>
        <v>4</v>
      </c>
      <c r="BY211">
        <f>IF(OR(cMed=0,cMed2=0,209&gt;nFilas),NA(),IF(AND(ISNUMBER(INDEX(rMed2,209)),ISNUMBER(INDEX(rMed,209))),INDEX(rMed,209),NA()))</f>
        <v>249780</v>
      </c>
    </row>
    <row r="212">
      <c r="BX212">
        <f>IF(OR(cMed=0,cMed2=0,210&gt;nFilas),NA(),IF(AND(ISNUMBER(INDEX(rMed2,210)),ISNUMBER(INDEX(rMed,210))),INDEX(rMed2,210),NA()))</f>
        <v>4</v>
      </c>
      <c r="BY212">
        <f>IF(OR(cMed=0,cMed2=0,210&gt;nFilas),NA(),IF(AND(ISNUMBER(INDEX(rMed2,210)),ISNUMBER(INDEX(rMed,210))),INDEX(rMed,210),NA()))</f>
        <v>248400</v>
      </c>
    </row>
    <row r="213">
      <c r="BX213">
        <f>IF(OR(cMed=0,cMed2=0,211&gt;nFilas),NA(),IF(AND(ISNUMBER(INDEX(rMed2,211)),ISNUMBER(INDEX(rMed,211))),INDEX(rMed2,211),NA()))</f>
        <v>5</v>
      </c>
      <c r="BY213">
        <f>IF(OR(cMed=0,cMed2=0,211&gt;nFilas),NA(),IF(AND(ISNUMBER(INDEX(rMed2,211)),ISNUMBER(INDEX(rMed,211))),INDEX(rMed,211),NA()))</f>
        <v>616400</v>
      </c>
    </row>
    <row r="214">
      <c r="BX214">
        <f>IF(OR(cMed=0,cMed2=0,212&gt;nFilas),NA(),IF(AND(ISNUMBER(INDEX(rMed2,212)),ISNUMBER(INDEX(rMed,212))),INDEX(rMed2,212),NA()))</f>
        <v>3</v>
      </c>
      <c r="BY214">
        <f>IF(OR(cMed=0,cMed2=0,212&gt;nFilas),NA(),IF(AND(ISNUMBER(INDEX(rMed2,212)),ISNUMBER(INDEX(rMed,212))),INDEX(rMed,212),NA()))</f>
        <v>292905</v>
      </c>
    </row>
    <row r="215">
      <c r="BX215">
        <f>IF(OR(cMed=0,cMed2=0,213&gt;nFilas),NA(),IF(AND(ISNUMBER(INDEX(rMed2,213)),ISNUMBER(INDEX(rMed,213))),INDEX(rMed2,213),NA()))</f>
        <v>1</v>
      </c>
      <c r="BY215">
        <f>IF(OR(cMed=0,cMed2=0,213&gt;nFilas),NA(),IF(AND(ISNUMBER(INDEX(rMed2,213)),ISNUMBER(INDEX(rMed,213))),INDEX(rMed,213),NA()))</f>
        <v>184230</v>
      </c>
    </row>
    <row r="216">
      <c r="BX216">
        <f>IF(OR(cMed=0,cMed2=0,214&gt;nFilas),NA(),IF(AND(ISNUMBER(INDEX(rMed2,214)),ISNUMBER(INDEX(rMed,214))),INDEX(rMed2,214),NA()))</f>
        <v>3</v>
      </c>
      <c r="BY216">
        <f>IF(OR(cMed=0,cMed2=0,214&gt;nFilas),NA(),IF(AND(ISNUMBER(INDEX(rMed2,214)),ISNUMBER(INDEX(rMed,214))),INDEX(rMed,214),NA()))</f>
        <v>569595</v>
      </c>
    </row>
    <row r="217">
      <c r="BX217">
        <f>IF(OR(cMed=0,cMed2=0,215&gt;nFilas),NA(),IF(AND(ISNUMBER(INDEX(rMed2,215)),ISNUMBER(INDEX(rMed,215))),INDEX(rMed2,215),NA()))</f>
        <v>3</v>
      </c>
      <c r="BY217">
        <f>IF(OR(cMed=0,cMed2=0,215&gt;nFilas),NA(),IF(AND(ISNUMBER(INDEX(rMed2,215)),ISNUMBER(INDEX(rMed,215))),INDEX(rMed,215),NA()))</f>
        <v>234255</v>
      </c>
    </row>
    <row r="218">
      <c r="BX218">
        <f>IF(OR(cMed=0,cMed2=0,216&gt;nFilas),NA(),IF(AND(ISNUMBER(INDEX(rMed2,216)),ISNUMBER(INDEX(rMed,216))),INDEX(rMed2,216),NA()))</f>
        <v>1</v>
      </c>
      <c r="BY218">
        <f>IF(OR(cMed=0,cMed2=0,216&gt;nFilas),NA(),IF(AND(ISNUMBER(INDEX(rMed2,216)),ISNUMBER(INDEX(rMed,216))),INDEX(rMed,216),NA()))</f>
        <v>121785</v>
      </c>
    </row>
    <row r="219">
      <c r="BX219">
        <f>IF(OR(cMed=0,cMed2=0,217&gt;nFilas),NA(),IF(AND(ISNUMBER(INDEX(rMed2,217)),ISNUMBER(INDEX(rMed,217))),INDEX(rMed2,217),NA()))</f>
        <v>3</v>
      </c>
      <c r="BY219">
        <f>IF(OR(cMed=0,cMed2=0,217&gt;nFilas),NA(),IF(AND(ISNUMBER(INDEX(rMed2,217)),ISNUMBER(INDEX(rMed,217))),INDEX(rMed,217),NA()))</f>
        <v>897690</v>
      </c>
    </row>
    <row r="220">
      <c r="BX220">
        <f>IF(OR(cMed=0,cMed2=0,218&gt;nFilas),NA(),IF(AND(ISNUMBER(INDEX(rMed2,218)),ISNUMBER(INDEX(rMed,218))),INDEX(rMed2,218),NA()))</f>
        <v>2</v>
      </c>
      <c r="BY220">
        <f>IF(OR(cMed=0,cMed2=0,218&gt;nFilas),NA(),IF(AND(ISNUMBER(INDEX(rMed2,218)),ISNUMBER(INDEX(rMed,218))),INDEX(rMed,218),NA()))</f>
        <v>126730</v>
      </c>
    </row>
    <row r="221">
      <c r="BX221">
        <f>IF(OR(cMed=0,cMed2=0,219&gt;nFilas),NA(),IF(AND(ISNUMBER(INDEX(rMed2,219)),ISNUMBER(INDEX(rMed,219))),INDEX(rMed2,219),NA()))</f>
        <v>3</v>
      </c>
      <c r="BY221">
        <f>IF(OR(cMed=0,cMed2=0,219&gt;nFilas),NA(),IF(AND(ISNUMBER(INDEX(rMed2,219)),ISNUMBER(INDEX(rMed,219))),INDEX(rMed,219),NA()))</f>
        <v>447120</v>
      </c>
    </row>
    <row r="222">
      <c r="BX222">
        <f>IF(OR(cMed=0,cMed2=0,220&gt;nFilas),NA(),IF(AND(ISNUMBER(INDEX(rMed2,220)),ISNUMBER(INDEX(rMed,220))),INDEX(rMed2,220),NA()))</f>
        <v>1</v>
      </c>
      <c r="BY222">
        <f>IF(OR(cMed=0,cMed2=0,220&gt;nFilas),NA(),IF(AND(ISNUMBER(INDEX(rMed2,220)),ISNUMBER(INDEX(rMed,220))),INDEX(rMed,220),NA()))</f>
        <v>144785</v>
      </c>
    </row>
    <row r="223">
      <c r="BX223">
        <f>IF(OR(cMed=0,cMed2=0,221&gt;nFilas),NA(),IF(AND(ISNUMBER(INDEX(rMed2,221)),ISNUMBER(INDEX(rMed,221))),INDEX(rMed2,221),NA()))</f>
        <v>5</v>
      </c>
      <c r="BY223">
        <f>IF(OR(cMed=0,cMed2=0,221&gt;nFilas),NA(),IF(AND(ISNUMBER(INDEX(rMed2,221)),ISNUMBER(INDEX(rMed,221))),INDEX(rMed,221),NA()))</f>
        <v>469200</v>
      </c>
    </row>
    <row r="224">
      <c r="BX224">
        <f>IF(OR(cMed=0,cMed2=0,222&gt;nFilas),NA(),IF(AND(ISNUMBER(INDEX(rMed2,222)),ISNUMBER(INDEX(rMed,222))),INDEX(rMed2,222),NA()))</f>
        <v>3</v>
      </c>
      <c r="BY224">
        <f>IF(OR(cMed=0,cMed2=0,222&gt;nFilas),NA(),IF(AND(ISNUMBER(INDEX(rMed2,222)),ISNUMBER(INDEX(rMed,222))),INDEX(rMed,222),NA()))</f>
        <v>775560</v>
      </c>
    </row>
    <row r="225">
      <c r="BX225">
        <f>IF(OR(cMed=0,cMed2=0,223&gt;nFilas),NA(),IF(AND(ISNUMBER(INDEX(rMed2,223)),ISNUMBER(INDEX(rMed,223))),INDEX(rMed2,223),NA()))</f>
        <v>3</v>
      </c>
      <c r="BY225">
        <f>IF(OR(cMed=0,cMed2=0,223&gt;nFilas),NA(),IF(AND(ISNUMBER(INDEX(rMed2,223)),ISNUMBER(INDEX(rMed,223))),INDEX(rMed,223),NA()))</f>
        <v>461265</v>
      </c>
    </row>
    <row r="226">
      <c r="BX226">
        <f>IF(OR(cMed=0,cMed2=0,224&gt;nFilas),NA(),IF(AND(ISNUMBER(INDEX(rMed2,224)),ISNUMBER(INDEX(rMed,224))),INDEX(rMed2,224),NA()))</f>
        <v>5</v>
      </c>
      <c r="BY226">
        <f>IF(OR(cMed=0,cMed2=0,224&gt;nFilas),NA(),IF(AND(ISNUMBER(INDEX(rMed2,224)),ISNUMBER(INDEX(rMed,224))),INDEX(rMed,224),NA()))</f>
        <v>5257225</v>
      </c>
    </row>
    <row r="227">
      <c r="BX227">
        <f>IF(OR(cMed=0,cMed2=0,225&gt;nFilas),NA(),IF(AND(ISNUMBER(INDEX(rMed2,225)),ISNUMBER(INDEX(rMed,225))),INDEX(rMed2,225),NA()))</f>
        <v>5</v>
      </c>
      <c r="BY227">
        <f>IF(OR(cMed=0,cMed2=0,225&gt;nFilas),NA(),IF(AND(ISNUMBER(INDEX(rMed2,225)),ISNUMBER(INDEX(rMed,225))),INDEX(rMed,225),NA()))</f>
        <v>4110675</v>
      </c>
    </row>
    <row r="228">
      <c r="BX228">
        <f>IF(OR(cMed=0,cMed2=0,226&gt;nFilas),NA(),IF(AND(ISNUMBER(INDEX(rMed2,226)),ISNUMBER(INDEX(rMed,226))),INDEX(rMed2,226),NA()))</f>
        <v>2</v>
      </c>
      <c r="BY228">
        <f>IF(OR(cMed=0,cMed2=0,226&gt;nFilas),NA(),IF(AND(ISNUMBER(INDEX(rMed2,226)),ISNUMBER(INDEX(rMed,226))),INDEX(rMed,226),NA()))</f>
        <v>247480</v>
      </c>
    </row>
    <row r="229">
      <c r="BX229">
        <f>IF(OR(cMed=0,cMed2=0,227&gt;nFilas),NA(),IF(AND(ISNUMBER(INDEX(rMed2,227)),ISNUMBER(INDEX(rMed,227))),INDEX(rMed2,227),NA()))</f>
        <v>5</v>
      </c>
      <c r="BY229">
        <f>IF(OR(cMed=0,cMed2=0,227&gt;nFilas),NA(),IF(AND(ISNUMBER(INDEX(rMed2,227)),ISNUMBER(INDEX(rMed,227))),INDEX(rMed,227),NA()))</f>
        <v>821675</v>
      </c>
    </row>
    <row r="230">
      <c r="BX230">
        <f>IF(OR(cMed=0,cMed2=0,228&gt;nFilas),NA(),IF(AND(ISNUMBER(INDEX(rMed2,228)),ISNUMBER(INDEX(rMed,228))),INDEX(rMed2,228),NA()))</f>
        <v>2</v>
      </c>
      <c r="BY230">
        <f>IF(OR(cMed=0,cMed2=0,228&gt;nFilas),NA(),IF(AND(ISNUMBER(INDEX(rMed2,228)),ISNUMBER(INDEX(rMed,228))),INDEX(rMed,228),NA()))</f>
        <v>187220</v>
      </c>
    </row>
    <row r="231">
      <c r="BX231">
        <f>IF(OR(cMed=0,cMed2=0,229&gt;nFilas),NA(),IF(AND(ISNUMBER(INDEX(rMed2,229)),ISNUMBER(INDEX(rMed,229))),INDEX(rMed2,229),NA()))</f>
        <v>1</v>
      </c>
      <c r="BY231">
        <f>IF(OR(cMed=0,cMed2=0,229&gt;nFilas),NA(),IF(AND(ISNUMBER(INDEX(rMed2,229)),ISNUMBER(INDEX(rMed,229))),INDEX(rMed,229),NA()))</f>
        <v>313145</v>
      </c>
    </row>
    <row r="232">
      <c r="BX232">
        <f>IF(OR(cMed=0,cMed2=0,230&gt;nFilas),NA(),IF(AND(ISNUMBER(INDEX(rMed2,230)),ISNUMBER(INDEX(rMed,230))),INDEX(rMed2,230),NA()))</f>
        <v>3</v>
      </c>
      <c r="BY232">
        <f>IF(OR(cMed=0,cMed2=0,230&gt;nFilas),NA(),IF(AND(ISNUMBER(INDEX(rMed2,230)),ISNUMBER(INDEX(rMed,230))),INDEX(rMed,230),NA()))</f>
        <v>380400</v>
      </c>
    </row>
    <row r="233">
      <c r="BX233">
        <f>IF(OR(cMed=0,cMed2=0,231&gt;nFilas),NA(),IF(AND(ISNUMBER(INDEX(rMed2,231)),ISNUMBER(INDEX(rMed,231))),INDEX(rMed2,231),NA()))</f>
        <v>5</v>
      </c>
      <c r="BY233">
        <f>IF(OR(cMed=0,cMed2=0,231&gt;nFilas),NA(),IF(AND(ISNUMBER(INDEX(rMed2,231)),ISNUMBER(INDEX(rMed,231))),INDEX(rMed,231),NA()))</f>
        <v>5362500</v>
      </c>
    </row>
    <row r="234">
      <c r="BX234">
        <f>IF(OR(cMed=0,cMed2=0,232&gt;nFilas),NA(),IF(AND(ISNUMBER(INDEX(rMed2,232)),ISNUMBER(INDEX(rMed,232))),INDEX(rMed2,232),NA()))</f>
        <v>5</v>
      </c>
      <c r="BY234">
        <f>IF(OR(cMed=0,cMed2=0,232&gt;nFilas),NA(),IF(AND(ISNUMBER(INDEX(rMed2,232)),ISNUMBER(INDEX(rMed,232))),INDEX(rMed,232),NA()))</f>
        <v>491000</v>
      </c>
    </row>
    <row r="235">
      <c r="BX235">
        <f>IF(OR(cMed=0,cMed2=0,233&gt;nFilas),NA(),IF(AND(ISNUMBER(INDEX(rMed2,233)),ISNUMBER(INDEX(rMed,233))),INDEX(rMed2,233),NA()))</f>
        <v>1</v>
      </c>
      <c r="BY235">
        <f>IF(OR(cMed=0,cMed2=0,233&gt;nFilas),NA(),IF(AND(ISNUMBER(INDEX(rMed2,233)),ISNUMBER(INDEX(rMed,233))),INDEX(rMed,233),NA()))</f>
        <v>135400</v>
      </c>
    </row>
    <row r="236">
      <c r="BX236">
        <f>IF(OR(cMed=0,cMed2=0,234&gt;nFilas),NA(),IF(AND(ISNUMBER(INDEX(rMed2,234)),ISNUMBER(INDEX(rMed,234))),INDEX(rMed2,234),NA()))</f>
        <v>2</v>
      </c>
      <c r="BY236">
        <f>IF(OR(cMed=0,cMed2=0,234&gt;nFilas),NA(),IF(AND(ISNUMBER(INDEX(rMed2,234)),ISNUMBER(INDEX(rMed,234))),INDEX(rMed,234),NA()))</f>
        <v>256400</v>
      </c>
    </row>
    <row r="237">
      <c r="BX237">
        <f>IF(OR(cMed=0,cMed2=0,235&gt;nFilas),NA(),IF(AND(ISNUMBER(INDEX(rMed2,235)),ISNUMBER(INDEX(rMed,235))),INDEX(rMed2,235),NA()))</f>
        <v>2</v>
      </c>
      <c r="BY237">
        <f>IF(OR(cMed=0,cMed2=0,235&gt;nFilas),NA(),IF(AND(ISNUMBER(INDEX(rMed2,235)),ISNUMBER(INDEX(rMed,235))),INDEX(rMed,235),NA()))</f>
        <v>380400</v>
      </c>
    </row>
    <row r="238">
      <c r="BX238">
        <f>IF(OR(cMed=0,cMed2=0,236&gt;nFilas),NA(),IF(AND(ISNUMBER(INDEX(rMed2,236)),ISNUMBER(INDEX(rMed,236))),INDEX(rMed2,236),NA()))</f>
        <v>2</v>
      </c>
      <c r="BY238">
        <f>IF(OR(cMed=0,cMed2=0,236&gt;nFilas),NA(),IF(AND(ISNUMBER(INDEX(rMed2,236)),ISNUMBER(INDEX(rMed,236))),INDEX(rMed,236),NA()))</f>
        <v>228000</v>
      </c>
    </row>
    <row r="239">
      <c r="BX239">
        <f>IF(OR(cMed=0,cMed2=0,237&gt;nFilas),NA(),IF(AND(ISNUMBER(INDEX(rMed2,237)),ISNUMBER(INDEX(rMed,237))),INDEX(rMed2,237),NA()))</f>
        <v>2</v>
      </c>
      <c r="BY239">
        <f>IF(OR(cMed=0,cMed2=0,237&gt;nFilas),NA(),IF(AND(ISNUMBER(INDEX(rMed2,237)),ISNUMBER(INDEX(rMed,237))),INDEX(rMed,237),NA()))</f>
        <v>2122600</v>
      </c>
    </row>
    <row r="240">
      <c r="BX240">
        <f>IF(OR(cMed=0,cMed2=0,238&gt;nFilas),NA(),IF(AND(ISNUMBER(INDEX(rMed2,238)),ISNUMBER(INDEX(rMed,238))),INDEX(rMed2,238),NA()))</f>
        <v>1</v>
      </c>
      <c r="BY240">
        <f>IF(OR(cMed=0,cMed2=0,238&gt;nFilas),NA(),IF(AND(ISNUMBER(INDEX(rMed2,238)),ISNUMBER(INDEX(rMed,238))),INDEX(rMed,238),NA()))</f>
        <v>114600</v>
      </c>
    </row>
    <row r="241">
      <c r="BX241">
        <f>IF(OR(cMed=0,cMed2=0,239&gt;nFilas),NA(),IF(AND(ISNUMBER(INDEX(rMed2,239)),ISNUMBER(INDEX(rMed,239))),INDEX(rMed2,239),NA()))</f>
        <v>3</v>
      </c>
      <c r="BY241">
        <f>IF(OR(cMed=0,cMed2=0,239&gt;nFilas),NA(),IF(AND(ISNUMBER(INDEX(rMed2,239)),ISNUMBER(INDEX(rMed,239))),INDEX(rMed,239),NA()))</f>
        <v>224700</v>
      </c>
    </row>
    <row r="242">
      <c r="BX242">
        <f>IF(OR(cMed=0,cMed2=0,240&gt;nFilas),NA(),IF(AND(ISNUMBER(INDEX(rMed2,240)),ISNUMBER(INDEX(rMed,240))),INDEX(rMed2,240),NA()))</f>
        <v>5</v>
      </c>
      <c r="BY242">
        <f>IF(OR(cMed=0,cMed2=0,240&gt;nFilas),NA(),IF(AND(ISNUMBER(INDEX(rMed2,240)),ISNUMBER(INDEX(rMed,240))),INDEX(rMed,240),NA()))</f>
        <v>775000</v>
      </c>
    </row>
    <row r="243">
      <c r="BX243">
        <f>IF(OR(cMed=0,cMed2=0,241&gt;nFilas),NA(),IF(AND(ISNUMBER(INDEX(rMed2,241)),ISNUMBER(INDEX(rMed,241))),INDEX(rMed2,241),NA()))</f>
        <v>2</v>
      </c>
      <c r="BY243">
        <f>IF(OR(cMed=0,cMed2=0,241&gt;nFilas),NA(),IF(AND(ISNUMBER(INDEX(rMed2,241)),ISNUMBER(INDEX(rMed,241))),INDEX(rMed,241),NA()))</f>
        <v>137000</v>
      </c>
    </row>
    <row r="244">
      <c r="BX244">
        <f>IF(OR(cMed=0,cMed2=0,242&gt;nFilas),NA(),IF(AND(ISNUMBER(INDEX(rMed2,242)),ISNUMBER(INDEX(rMed,242))),INDEX(rMed2,242),NA()))</f>
        <v>3</v>
      </c>
      <c r="BY244">
        <f>IF(OR(cMed=0,cMed2=0,242&gt;nFilas),NA(),IF(AND(ISNUMBER(INDEX(rMed2,242)),ISNUMBER(INDEX(rMed,242))),INDEX(rMed,242),NA()))</f>
        <v>203700</v>
      </c>
    </row>
    <row r="245">
      <c r="BX245">
        <f>IF(OR(cMed=0,cMed2=0,243&gt;nFilas),NA(),IF(AND(ISNUMBER(INDEX(rMed2,243)),ISNUMBER(INDEX(rMed,243))),INDEX(rMed2,243),NA()))</f>
        <v>2</v>
      </c>
      <c r="BY245">
        <f>IF(OR(cMed=0,cMed2=0,243&gt;nFilas),NA(),IF(AND(ISNUMBER(INDEX(rMed2,243)),ISNUMBER(INDEX(rMed,243))),INDEX(rMed,243),NA()))</f>
        <v>169000</v>
      </c>
    </row>
    <row r="246">
      <c r="BX246">
        <f>IF(OR(cMed=0,cMed2=0,244&gt;nFilas),NA(),IF(AND(ISNUMBER(INDEX(rMed2,244)),ISNUMBER(INDEX(rMed,244))),INDEX(rMed2,244),NA()))</f>
        <v>1</v>
      </c>
      <c r="BY246">
        <f>IF(OR(cMed=0,cMed2=0,244&gt;nFilas),NA(),IF(AND(ISNUMBER(INDEX(rMed2,244)),ISNUMBER(INDEX(rMed,244))),INDEX(rMed,244),NA()))</f>
        <v>607500</v>
      </c>
    </row>
    <row r="247">
      <c r="BX247">
        <f>IF(OR(cMed=0,cMed2=0,245&gt;nFilas),NA(),IF(AND(ISNUMBER(INDEX(rMed2,245)),ISNUMBER(INDEX(rMed,245))),INDEX(rMed2,245),NA()))</f>
        <v>4</v>
      </c>
      <c r="BY247">
        <f>IF(OR(cMed=0,cMed2=0,245&gt;nFilas),NA(),IF(AND(ISNUMBER(INDEX(rMed2,245)),ISNUMBER(INDEX(rMed,245))),INDEX(rMed,245),NA()))</f>
        <v>495600</v>
      </c>
    </row>
    <row r="248">
      <c r="BX248">
        <f>IF(OR(cMed=0,cMed2=0,246&gt;nFilas),NA(),IF(AND(ISNUMBER(INDEX(rMed2,246)),ISNUMBER(INDEX(rMed,246))),INDEX(rMed2,246),NA()))</f>
        <v>2</v>
      </c>
      <c r="BY248">
        <f>IF(OR(cMed=0,cMed2=0,246&gt;nFilas),NA(),IF(AND(ISNUMBER(INDEX(rMed2,246)),ISNUMBER(INDEX(rMed,246))),INDEX(rMed,246),NA()))</f>
        <v>121400</v>
      </c>
    </row>
    <row r="249">
      <c r="BX249">
        <f>IF(OR(cMed=0,cMed2=0,247&gt;nFilas),NA(),IF(AND(ISNUMBER(INDEX(rMed2,247)),ISNUMBER(INDEX(rMed,247))),INDEX(rMed2,247),NA()))</f>
        <v>2</v>
      </c>
      <c r="BY249">
        <f>IF(OR(cMed=0,cMed2=0,247&gt;nFilas),NA(),IF(AND(ISNUMBER(INDEX(rMed2,247)),ISNUMBER(INDEX(rMed,247))),INDEX(rMed,247),NA()))</f>
        <v>248170</v>
      </c>
    </row>
    <row r="250">
      <c r="BX250">
        <f>IF(OR(cMed=0,cMed2=0,248&gt;nFilas),NA(),IF(AND(ISNUMBER(INDEX(rMed2,248)),ISNUMBER(INDEX(rMed,248))),INDEX(rMed2,248),NA()))</f>
        <v>5</v>
      </c>
      <c r="BY250">
        <f>IF(OR(cMed=0,cMed2=0,248&gt;nFilas),NA(),IF(AND(ISNUMBER(INDEX(rMed2,248)),ISNUMBER(INDEX(rMed,248))),INDEX(rMed,248),NA()))</f>
        <v>1102275</v>
      </c>
    </row>
    <row r="251">
      <c r="BX251">
        <f>IF(OR(cMed=0,cMed2=0,249&gt;nFilas),NA(),IF(AND(ISNUMBER(INDEX(rMed2,249)),ISNUMBER(INDEX(rMed,249))),INDEX(rMed2,249),NA()))</f>
        <v>1</v>
      </c>
      <c r="BY251">
        <f>IF(OR(cMed=0,cMed2=0,249&gt;nFilas),NA(),IF(AND(ISNUMBER(INDEX(rMed2,249)),ISNUMBER(INDEX(rMed,249))),INDEX(rMed,249),NA()))</f>
        <v>109250</v>
      </c>
    </row>
    <row r="252">
      <c r="BX252">
        <f>IF(OR(cMed=0,cMed2=0,250&gt;nFilas),NA(),IF(AND(ISNUMBER(INDEX(rMed2,250)),ISNUMBER(INDEX(rMed,250))),INDEX(rMed2,250),NA()))</f>
        <v>4</v>
      </c>
      <c r="BY252">
        <f>IF(OR(cMed=0,cMed2=0,250&gt;nFilas),NA(),IF(AND(ISNUMBER(INDEX(rMed2,250)),ISNUMBER(INDEX(rMed,250))),INDEX(rMed,250),NA()))</f>
        <v>3725080</v>
      </c>
    </row>
    <row r="253">
      <c r="BX253">
        <f>IF(OR(cMed=0,cMed2=0,251&gt;nFilas),NA(),IF(AND(ISNUMBER(INDEX(rMed2,251)),ISNUMBER(INDEX(rMed,251))),INDEX(rMed2,251),NA()))</f>
        <v>2</v>
      </c>
      <c r="BY253">
        <f>IF(OR(cMed=0,cMed2=0,251&gt;nFilas),NA(),IF(AND(ISNUMBER(INDEX(rMed2,251)),ISNUMBER(INDEX(rMed,251))),INDEX(rMed,251),NA()))</f>
        <v>1873810</v>
      </c>
    </row>
    <row r="254">
      <c r="BX254">
        <f>IF(OR(cMed=0,cMed2=0,252&gt;nFilas),NA(),IF(AND(ISNUMBER(INDEX(rMed2,252)),ISNUMBER(INDEX(rMed,252))),INDEX(rMed2,252),NA()))</f>
        <v>4</v>
      </c>
      <c r="BY254">
        <f>IF(OR(cMed=0,cMed2=0,252&gt;nFilas),NA(),IF(AND(ISNUMBER(INDEX(rMed2,252)),ISNUMBER(INDEX(rMed,252))),INDEX(rMed,252),NA()))</f>
        <v>874460</v>
      </c>
    </row>
    <row r="255">
      <c r="BX255">
        <f>IF(OR(cMed=0,cMed2=0,253&gt;nFilas),NA(),IF(AND(ISNUMBER(INDEX(rMed2,253)),ISNUMBER(INDEX(rMed,253))),INDEX(rMed2,253),NA()))</f>
        <v>5</v>
      </c>
      <c r="BY255">
        <f>IF(OR(cMed=0,cMed2=0,253&gt;nFilas),NA(),IF(AND(ISNUMBER(INDEX(rMed2,253)),ISNUMBER(INDEX(rMed,253))),INDEX(rMed,253),NA()))</f>
        <v>3486225</v>
      </c>
    </row>
    <row r="256">
      <c r="BX256">
        <f>IF(OR(cMed=0,cMed2=0,254&gt;nFilas),NA(),IF(AND(ISNUMBER(INDEX(rMed2,254)),ISNUMBER(INDEX(rMed,254))),INDEX(rMed2,254),NA()))</f>
        <v>4</v>
      </c>
      <c r="BY256">
        <f>IF(OR(cMed=0,cMed2=0,254&gt;nFilas),NA(),IF(AND(ISNUMBER(INDEX(rMed2,254)),ISNUMBER(INDEX(rMed,254))),INDEX(rMed,254),NA()))</f>
        <v>661480</v>
      </c>
    </row>
    <row r="257">
      <c r="BX257">
        <f>IF(OR(cMed=0,cMed2=0,255&gt;nFilas),NA(),IF(AND(ISNUMBER(INDEX(rMed2,255)),ISNUMBER(INDEX(rMed,255))),INDEX(rMed2,255),NA()))</f>
        <v>4</v>
      </c>
      <c r="BY257">
        <f>IF(OR(cMed=0,cMed2=0,255&gt;nFilas),NA(),IF(AND(ISNUMBER(INDEX(rMed2,255)),ISNUMBER(INDEX(rMed,255))),INDEX(rMed,255),NA()))</f>
        <v>553840</v>
      </c>
    </row>
    <row r="258">
      <c r="BX258">
        <f>IF(OR(cMed=0,cMed2=0,256&gt;nFilas),NA(),IF(AND(ISNUMBER(INDEX(rMed2,256)),ISNUMBER(INDEX(rMed,256))),INDEX(rMed2,256),NA()))</f>
        <v>2</v>
      </c>
      <c r="BY258">
        <f>IF(OR(cMed=0,cMed2=0,256&gt;nFilas),NA(),IF(AND(ISNUMBER(INDEX(rMed2,256)),ISNUMBER(INDEX(rMed,256))),INDEX(rMed,256),NA()))</f>
        <v>177330</v>
      </c>
    </row>
    <row r="259">
      <c r="BX259">
        <f>IF(OR(cMed=0,cMed2=0,257&gt;nFilas),NA(),IF(AND(ISNUMBER(INDEX(rMed2,257)),ISNUMBER(INDEX(rMed,257))),INDEX(rMed2,257),NA()))</f>
        <v>2</v>
      </c>
      <c r="BY259">
        <f>IF(OR(cMed=0,cMed2=0,257&gt;nFilas),NA(),IF(AND(ISNUMBER(INDEX(rMed2,257)),ISNUMBER(INDEX(rMed,257))),INDEX(rMed,257),NA()))</f>
        <v>389620</v>
      </c>
    </row>
    <row r="260">
      <c r="BX260">
        <f>IF(OR(cMed=0,cMed2=0,258&gt;nFilas),NA(),IF(AND(ISNUMBER(INDEX(rMed2,258)),ISNUMBER(INDEX(rMed,258))),INDEX(rMed2,258),NA()))</f>
        <v>4</v>
      </c>
      <c r="BY260">
        <f>IF(OR(cMed=0,cMed2=0,258&gt;nFilas),NA(),IF(AND(ISNUMBER(INDEX(rMed2,258)),ISNUMBER(INDEX(rMed,258))),INDEX(rMed,258),NA()))</f>
        <v>4259600</v>
      </c>
    </row>
    <row r="261">
      <c r="BX261">
        <f>IF(OR(cMed=0,cMed2=0,259&gt;nFilas),NA(),IF(AND(ISNUMBER(INDEX(rMed2,259)),ISNUMBER(INDEX(rMed,259))),INDEX(rMed2,259),NA()))</f>
        <v>5</v>
      </c>
      <c r="BY261">
        <f>IF(OR(cMed=0,cMed2=0,259&gt;nFilas),NA(),IF(AND(ISNUMBER(INDEX(rMed2,259)),ISNUMBER(INDEX(rMed,259))),INDEX(rMed,259),NA()))</f>
        <v>805000</v>
      </c>
    </row>
    <row r="262">
      <c r="BX262">
        <f>IF(OR(cMed=0,cMed2=0,260&gt;nFilas),NA(),IF(AND(ISNUMBER(INDEX(rMed2,260)),ISNUMBER(INDEX(rMed,260))),INDEX(rMed2,260),NA()))</f>
        <v>2</v>
      </c>
      <c r="BY262">
        <f>IF(OR(cMed=0,cMed2=0,260&gt;nFilas),NA(),IF(AND(ISNUMBER(INDEX(rMed2,260)),ISNUMBER(INDEX(rMed,260))),INDEX(rMed,260),NA()))</f>
        <v>229310</v>
      </c>
    </row>
    <row r="263">
      <c r="BX263">
        <f>IF(OR(cMed=0,cMed2=0,261&gt;nFilas),NA(),IF(AND(ISNUMBER(INDEX(rMed2,261)),ISNUMBER(INDEX(rMed,261))),INDEX(rMed2,261),NA()))</f>
        <v>2</v>
      </c>
      <c r="BY263">
        <f>IF(OR(cMed=0,cMed2=0,261&gt;nFilas),NA(),IF(AND(ISNUMBER(INDEX(rMed2,261)),ISNUMBER(INDEX(rMed,261))),INDEX(rMed,261),NA()))</f>
        <v>152720</v>
      </c>
    </row>
    <row r="264">
      <c r="BX264">
        <f>IF(OR(cMed=0,cMed2=0,262&gt;nFilas),NA(),IF(AND(ISNUMBER(INDEX(rMed2,262)),ISNUMBER(INDEX(rMed,262))),INDEX(rMed2,262),NA()))</f>
        <v>3</v>
      </c>
      <c r="BY264">
        <f>IF(OR(cMed=0,cMed2=0,262&gt;nFilas),NA(),IF(AND(ISNUMBER(INDEX(rMed2,262)),ISNUMBER(INDEX(rMed,262))),INDEX(rMed,262),NA()))</f>
        <v>399855</v>
      </c>
    </row>
    <row r="265">
      <c r="BX265">
        <f>IF(OR(cMed=0,cMed2=0,263&gt;nFilas),NA(),IF(AND(ISNUMBER(INDEX(rMed2,263)),ISNUMBER(INDEX(rMed,263))),INDEX(rMed2,263),NA()))</f>
        <v>5</v>
      </c>
      <c r="BY265">
        <f>IF(OR(cMed=0,cMed2=0,263&gt;nFilas),NA(),IF(AND(ISNUMBER(INDEX(rMed2,263)),ISNUMBER(INDEX(rMed,263))),INDEX(rMed,263),NA()))</f>
        <v>255000</v>
      </c>
    </row>
    <row r="266">
      <c r="BX266">
        <f>IF(OR(cMed=0,cMed2=0,264&gt;nFilas),NA(),IF(AND(ISNUMBER(INDEX(rMed2,264)),ISNUMBER(INDEX(rMed,264))),INDEX(rMed2,264),NA()))</f>
        <v>3</v>
      </c>
      <c r="BY266">
        <f>IF(OR(cMed=0,cMed2=0,264&gt;nFilas),NA(),IF(AND(ISNUMBER(INDEX(rMed2,264)),ISNUMBER(INDEX(rMed,264))),INDEX(rMed,264),NA()))</f>
        <v>155400</v>
      </c>
    </row>
    <row r="267">
      <c r="BX267">
        <f>IF(OR(cMed=0,cMed2=0,265&gt;nFilas),NA(),IF(AND(ISNUMBER(INDEX(rMed2,265)),ISNUMBER(INDEX(rMed,265))),INDEX(rMed2,265),NA()))</f>
        <v>5</v>
      </c>
      <c r="BY267">
        <f>IF(OR(cMed=0,cMed2=0,265&gt;nFilas),NA(),IF(AND(ISNUMBER(INDEX(rMed2,265)),ISNUMBER(INDEX(rMed,265))),INDEX(rMed,265),NA()))</f>
        <v>1139500</v>
      </c>
    </row>
    <row r="268">
      <c r="BX268">
        <f>IF(OR(cMed=0,cMed2=0,266&gt;nFilas),NA(),IF(AND(ISNUMBER(INDEX(rMed2,266)),ISNUMBER(INDEX(rMed,266))),INDEX(rMed2,266),NA()))</f>
        <v>3</v>
      </c>
      <c r="BY268">
        <f>IF(OR(cMed=0,cMed2=0,266&gt;nFilas),NA(),IF(AND(ISNUMBER(INDEX(rMed2,266)),ISNUMBER(INDEX(rMed,266))),INDEX(rMed,266),NA()))</f>
        <v>766200</v>
      </c>
    </row>
    <row r="269">
      <c r="BX269">
        <f>IF(OR(cMed=0,cMed2=0,267&gt;nFilas),NA(),IF(AND(ISNUMBER(INDEX(rMed2,267)),ISNUMBER(INDEX(rMed,267))),INDEX(rMed2,267),NA()))</f>
        <v>3</v>
      </c>
      <c r="BY269">
        <f>IF(OR(cMed=0,cMed2=0,267&gt;nFilas),NA(),IF(AND(ISNUMBER(INDEX(rMed2,267)),ISNUMBER(INDEX(rMed,267))),INDEX(rMed,267),NA()))</f>
        <v>317100</v>
      </c>
    </row>
    <row r="270">
      <c r="BX270">
        <f>IF(OR(cMed=0,cMed2=0,268&gt;nFilas),NA(),IF(AND(ISNUMBER(INDEX(rMed2,268)),ISNUMBER(INDEX(rMed,268))),INDEX(rMed2,268),NA()))</f>
        <v>4</v>
      </c>
      <c r="BY270">
        <f>IF(OR(cMed=0,cMed2=0,268&gt;nFilas),NA(),IF(AND(ISNUMBER(INDEX(rMed2,268)),ISNUMBER(INDEX(rMed,268))),INDEX(rMed,268),NA()))</f>
        <v>381200</v>
      </c>
    </row>
    <row r="271">
      <c r="BX271">
        <f>IF(OR(cMed=0,cMed2=0,269&gt;nFilas),NA(),IF(AND(ISNUMBER(INDEX(rMed2,269)),ISNUMBER(INDEX(rMed,269))),INDEX(rMed2,269),NA()))</f>
        <v>3</v>
      </c>
      <c r="BY271">
        <f>IF(OR(cMed=0,cMed2=0,269&gt;nFilas),NA(),IF(AND(ISNUMBER(INDEX(rMed2,269)),ISNUMBER(INDEX(rMed,269))),INDEX(rMed,269),NA()))</f>
        <v>224100</v>
      </c>
    </row>
    <row r="272">
      <c r="BX272">
        <f>IF(OR(cMed=0,cMed2=0,270&gt;nFilas),NA(),IF(AND(ISNUMBER(INDEX(rMed2,270)),ISNUMBER(INDEX(rMed,270))),INDEX(rMed2,270),NA()))</f>
        <v>3</v>
      </c>
      <c r="BY272">
        <f>IF(OR(cMed=0,cMed2=0,270&gt;nFilas),NA(),IF(AND(ISNUMBER(INDEX(rMed2,270)),ISNUMBER(INDEX(rMed,270))),INDEX(rMed,270),NA()))</f>
        <v>343500</v>
      </c>
    </row>
    <row r="273">
      <c r="BX273">
        <f>IF(OR(cMed=0,cMed2=0,271&gt;nFilas),NA(),IF(AND(ISNUMBER(INDEX(rMed2,271)),ISNUMBER(INDEX(rMed,271))),INDEX(rMed2,271),NA()))</f>
        <v>4</v>
      </c>
      <c r="BY273">
        <f>IF(OR(cMed=0,cMed2=0,271&gt;nFilas),NA(),IF(AND(ISNUMBER(INDEX(rMed2,271)),ISNUMBER(INDEX(rMed,271))),INDEX(rMed,271),NA()))</f>
        <v>502400</v>
      </c>
    </row>
    <row r="274">
      <c r="BX274">
        <f>IF(OR(cMed=0,cMed2=0,272&gt;nFilas),NA(),IF(AND(ISNUMBER(INDEX(rMed2,272)),ISNUMBER(INDEX(rMed,272))),INDEX(rMed2,272),NA()))</f>
        <v>5</v>
      </c>
      <c r="BY274">
        <f>IF(OR(cMed=0,cMed2=0,272&gt;nFilas),NA(),IF(AND(ISNUMBER(INDEX(rMed2,272)),ISNUMBER(INDEX(rMed,272))),INDEX(rMed,272),NA()))</f>
        <v>4899000</v>
      </c>
    </row>
    <row r="275">
      <c r="BX275">
        <f>IF(OR(cMed=0,cMed2=0,273&gt;nFilas),NA(),IF(AND(ISNUMBER(INDEX(rMed2,273)),ISNUMBER(INDEX(rMed,273))),INDEX(rMed2,273),NA()))</f>
        <v>5</v>
      </c>
      <c r="BY275">
        <f>IF(OR(cMed=0,cMed2=0,273&gt;nFilas),NA(),IF(AND(ISNUMBER(INDEX(rMed2,273)),ISNUMBER(INDEX(rMed,273))),INDEX(rMed,273),NA()))</f>
        <v>1202500</v>
      </c>
    </row>
    <row r="276">
      <c r="BX276">
        <f>IF(OR(cMed=0,cMed2=0,274&gt;nFilas),NA(),IF(AND(ISNUMBER(INDEX(rMed2,274)),ISNUMBER(INDEX(rMed,274))),INDEX(rMed2,274),NA()))</f>
        <v>2</v>
      </c>
      <c r="BY276">
        <f>IF(OR(cMed=0,cMed2=0,274&gt;nFilas),NA(),IF(AND(ISNUMBER(INDEX(rMed2,274)),ISNUMBER(INDEX(rMed,274))),INDEX(rMed,274),NA()))</f>
        <v>1736200</v>
      </c>
    </row>
    <row r="277">
      <c r="BX277">
        <f>IF(OR(cMed=0,cMed2=0,275&gt;nFilas),NA(),IF(AND(ISNUMBER(INDEX(rMed2,275)),ISNUMBER(INDEX(rMed,275))),INDEX(rMed2,275),NA()))</f>
        <v>1</v>
      </c>
      <c r="BY277">
        <f>IF(OR(cMed=0,cMed2=0,275&gt;nFilas),NA(),IF(AND(ISNUMBER(INDEX(rMed2,275)),ISNUMBER(INDEX(rMed,275))),INDEX(rMed,275),NA()))</f>
        <v>206500</v>
      </c>
    </row>
    <row r="278">
      <c r="BX278">
        <f>IF(OR(cMed=0,cMed2=0,276&gt;nFilas),NA(),IF(AND(ISNUMBER(INDEX(rMed2,276)),ISNUMBER(INDEX(rMed,276))),INDEX(rMed2,276),NA()))</f>
        <v>4</v>
      </c>
      <c r="BY278">
        <f>IF(OR(cMed=0,cMed2=0,276&gt;nFilas),NA(),IF(AND(ISNUMBER(INDEX(rMed2,276)),ISNUMBER(INDEX(rMed,276))),INDEX(rMed,276),NA()))</f>
        <v>450000</v>
      </c>
    </row>
    <row r="279">
      <c r="BX279">
        <f>IF(OR(cMed=0,cMed2=0,277&gt;nFilas),NA(),IF(AND(ISNUMBER(INDEX(rMed2,277)),ISNUMBER(INDEX(rMed,277))),INDEX(rMed2,277),NA()))</f>
        <v>2</v>
      </c>
      <c r="BY279">
        <f>IF(OR(cMed=0,cMed2=0,277&gt;nFilas),NA(),IF(AND(ISNUMBER(INDEX(rMed2,277)),ISNUMBER(INDEX(rMed,277))),INDEX(rMed,277),NA()))</f>
        <v>281000</v>
      </c>
    </row>
    <row r="280">
      <c r="BX280">
        <f>IF(OR(cMed=0,cMed2=0,278&gt;nFilas),NA(),IF(AND(ISNUMBER(INDEX(rMed2,278)),ISNUMBER(INDEX(rMed,278))),INDEX(rMed2,278),NA()))</f>
        <v>5</v>
      </c>
      <c r="BY280">
        <f>IF(OR(cMed=0,cMed2=0,278&gt;nFilas),NA(),IF(AND(ISNUMBER(INDEX(rMed2,278)),ISNUMBER(INDEX(rMed,278))),INDEX(rMed,278),NA()))</f>
        <v>649500</v>
      </c>
    </row>
    <row r="281">
      <c r="BX281">
        <f>IF(OR(cMed=0,cMed2=0,279&gt;nFilas),NA(),IF(AND(ISNUMBER(INDEX(rMed2,279)),ISNUMBER(INDEX(rMed,279))),INDEX(rMed2,279),NA()))</f>
        <v>2</v>
      </c>
      <c r="BY281">
        <f>IF(OR(cMed=0,cMed2=0,279&gt;nFilas),NA(),IF(AND(ISNUMBER(INDEX(rMed2,279)),ISNUMBER(INDEX(rMed,279))),INDEX(rMed,279),NA()))</f>
        <v>126000</v>
      </c>
    </row>
    <row r="282">
      <c r="BX282">
        <f>IF(OR(cMed=0,cMed2=0,280&gt;nFilas),NA(),IF(AND(ISNUMBER(INDEX(rMed2,280)),ISNUMBER(INDEX(rMed,280))),INDEX(rMed2,280),NA()))</f>
        <v>1</v>
      </c>
      <c r="BY282">
        <f>IF(OR(cMed=0,cMed2=0,280&gt;nFilas),NA(),IF(AND(ISNUMBER(INDEX(rMed2,280)),ISNUMBER(INDEX(rMed,280))),INDEX(rMed,280),NA()))</f>
        <v>151900</v>
      </c>
    </row>
    <row r="283">
      <c r="BX283">
        <f>IF(OR(cMed=0,cMed2=0,281&gt;nFilas),NA(),IF(AND(ISNUMBER(INDEX(rMed2,281)),ISNUMBER(INDEX(rMed,281))),INDEX(rMed2,281),NA()))</f>
        <v>3</v>
      </c>
      <c r="BY283">
        <f>IF(OR(cMed=0,cMed2=0,281&gt;nFilas),NA(),IF(AND(ISNUMBER(INDEX(rMed2,281)),ISNUMBER(INDEX(rMed,281))),INDEX(rMed,281),NA()))</f>
        <v>465300</v>
      </c>
    </row>
    <row r="284">
      <c r="BX284">
        <f>IF(OR(cMed=0,cMed2=0,282&gt;nFilas),NA(),IF(AND(ISNUMBER(INDEX(rMed2,282)),ISNUMBER(INDEX(rMed,282))),INDEX(rMed2,282),NA()))</f>
        <v>1</v>
      </c>
      <c r="BY284">
        <f>IF(OR(cMed=0,cMed2=0,282&gt;nFilas),NA(),IF(AND(ISNUMBER(INDEX(rMed2,282)),ISNUMBER(INDEX(rMed,282))),INDEX(rMed,282),NA()))</f>
        <v>60600</v>
      </c>
    </row>
    <row r="285">
      <c r="BX285">
        <f>IF(OR(cMed=0,cMed2=0,283&gt;nFilas),NA(),IF(AND(ISNUMBER(INDEX(rMed2,283)),ISNUMBER(INDEX(rMed,283))),INDEX(rMed2,283),NA()))</f>
        <v>4</v>
      </c>
      <c r="BY285">
        <f>IF(OR(cMed=0,cMed2=0,283&gt;nFilas),NA(),IF(AND(ISNUMBER(INDEX(rMed2,283)),ISNUMBER(INDEX(rMed,283))),INDEX(rMed,283),NA()))</f>
        <v>3453200</v>
      </c>
    </row>
    <row r="286">
      <c r="BX286">
        <f>IF(OR(cMed=0,cMed2=0,284&gt;nFilas),NA(),IF(AND(ISNUMBER(INDEX(rMed2,284)),ISNUMBER(INDEX(rMed,284))),INDEX(rMed2,284),NA()))</f>
        <v>1</v>
      </c>
      <c r="BY286">
        <f>IF(OR(cMed=0,cMed2=0,284&gt;nFilas),NA(),IF(AND(ISNUMBER(INDEX(rMed2,284)),ISNUMBER(INDEX(rMed,284))),INDEX(rMed,284),NA()))</f>
        <v>66300</v>
      </c>
    </row>
    <row r="287">
      <c r="BX287">
        <f>IF(OR(cMed=0,cMed2=0,285&gt;nFilas),NA(),IF(AND(ISNUMBER(INDEX(rMed2,285)),ISNUMBER(INDEX(rMed,285))),INDEX(rMed2,285),NA()))</f>
        <v>1</v>
      </c>
      <c r="BY287">
        <f>IF(OR(cMed=0,cMed2=0,285&gt;nFilas),NA(),IF(AND(ISNUMBER(INDEX(rMed2,285)),ISNUMBER(INDEX(rMed,285))),INDEX(rMed,285),NA()))</f>
        <v>206500</v>
      </c>
    </row>
    <row r="288">
      <c r="BX288">
        <f>IF(OR(cMed=0,cMed2=0,286&gt;nFilas),NA(),IF(AND(ISNUMBER(INDEX(rMed2,286)),ISNUMBER(INDEX(rMed,286))),INDEX(rMed2,286),NA()))</f>
        <v>4</v>
      </c>
      <c r="BY288">
        <f>IF(OR(cMed=0,cMed2=0,286&gt;nFilas),NA(),IF(AND(ISNUMBER(INDEX(rMed2,286)),ISNUMBER(INDEX(rMed,286))),INDEX(rMed,286),NA()))</f>
        <v>349600</v>
      </c>
    </row>
    <row r="289">
      <c r="BX289">
        <f>IF(OR(cMed=0,cMed2=0,287&gt;nFilas),NA(),IF(AND(ISNUMBER(INDEX(rMed2,287)),ISNUMBER(INDEX(rMed,287))),INDEX(rMed2,287),NA()))</f>
        <v>3</v>
      </c>
      <c r="BY289">
        <f>IF(OR(cMed=0,cMed2=0,287&gt;nFilas),NA(),IF(AND(ISNUMBER(INDEX(rMed2,287)),ISNUMBER(INDEX(rMed,287))),INDEX(rMed,287),NA()))</f>
        <v>334650</v>
      </c>
    </row>
    <row r="290">
      <c r="BX290">
        <f>IF(OR(cMed=0,cMed2=0,288&gt;nFilas),NA(),IF(AND(ISNUMBER(INDEX(rMed2,288)),ISNUMBER(INDEX(rMed,288))),INDEX(rMed2,288),NA()))</f>
        <v>2</v>
      </c>
      <c r="BY290">
        <f>IF(OR(cMed=0,cMed2=0,288&gt;nFilas),NA(),IF(AND(ISNUMBER(INDEX(rMed2,288)),ISNUMBER(INDEX(rMed,288))),INDEX(rMed,288),NA()))</f>
        <v>340630</v>
      </c>
    </row>
    <row r="291">
      <c r="BX291">
        <f>IF(OR(cMed=0,cMed2=0,289&gt;nFilas),NA(),IF(AND(ISNUMBER(INDEX(rMed2,289)),ISNUMBER(INDEX(rMed,289))),INDEX(rMed2,289),NA()))</f>
        <v>5</v>
      </c>
      <c r="BY291">
        <f>IF(OR(cMed=0,cMed2=0,289&gt;nFilas),NA(),IF(AND(ISNUMBER(INDEX(rMed2,289)),ISNUMBER(INDEX(rMed,289))),INDEX(rMed,289),NA()))</f>
        <v>1526625</v>
      </c>
    </row>
    <row r="292">
      <c r="BX292">
        <f>IF(OR(cMed=0,cMed2=0,290&gt;nFilas),NA(),IF(AND(ISNUMBER(INDEX(rMed2,290)),ISNUMBER(INDEX(rMed,290))),INDEX(rMed2,290),NA()))</f>
        <v>5</v>
      </c>
      <c r="BY292">
        <f>IF(OR(cMed=0,cMed2=0,290&gt;nFilas),NA(),IF(AND(ISNUMBER(INDEX(rMed2,290)),ISNUMBER(INDEX(rMed,290))),INDEX(rMed,290),NA()))</f>
        <v>1055700</v>
      </c>
    </row>
    <row r="293">
      <c r="BX293">
        <f>IF(OR(cMed=0,cMed2=0,291&gt;nFilas),NA(),IF(AND(ISNUMBER(INDEX(rMed2,291)),ISNUMBER(INDEX(rMed,291))),INDEX(rMed2,291),NA()))</f>
        <v>3</v>
      </c>
      <c r="BY293">
        <f>IF(OR(cMed=0,cMed2=0,291&gt;nFilas),NA(),IF(AND(ISNUMBER(INDEX(rMed2,291)),ISNUMBER(INDEX(rMed,291))),INDEX(rMed,291),NA()))</f>
        <v>294975</v>
      </c>
    </row>
    <row r="294">
      <c r="BX294">
        <f>IF(OR(cMed=0,cMed2=0,292&gt;nFilas),NA(),IF(AND(ISNUMBER(INDEX(rMed2,292)),ISNUMBER(INDEX(rMed,292))),INDEX(rMed2,292),NA()))</f>
        <v>3</v>
      </c>
      <c r="BY294">
        <f>IF(OR(cMed=0,cMed2=0,292&gt;nFilas),NA(),IF(AND(ISNUMBER(INDEX(rMed2,292)),ISNUMBER(INDEX(rMed,292))),INDEX(rMed,292),NA()))</f>
        <v>316710</v>
      </c>
    </row>
    <row r="295">
      <c r="BX295">
        <f>IF(OR(cMed=0,cMed2=0,293&gt;nFilas),NA(),IF(AND(ISNUMBER(INDEX(rMed2,293)),ISNUMBER(INDEX(rMed,293))),INDEX(rMed2,293),NA()))</f>
        <v>2</v>
      </c>
      <c r="BY295">
        <f>IF(OR(cMed=0,cMed2=0,293&gt;nFilas),NA(),IF(AND(ISNUMBER(INDEX(rMed2,293)),ISNUMBER(INDEX(rMed,293))),INDEX(rMed,293),NA()))</f>
        <v>293020</v>
      </c>
    </row>
    <row r="296">
      <c r="BX296">
        <f>IF(OR(cMed=0,cMed2=0,294&gt;nFilas),NA(),IF(AND(ISNUMBER(INDEX(rMed2,294)),ISNUMBER(INDEX(rMed,294))),INDEX(rMed2,294),NA()))</f>
        <v>1</v>
      </c>
      <c r="BY296">
        <f>IF(OR(cMed=0,cMed2=0,294&gt;nFilas),NA(),IF(AND(ISNUMBER(INDEX(rMed2,294)),ISNUMBER(INDEX(rMed,294))),INDEX(rMed,294),NA()))</f>
        <v>133860</v>
      </c>
    </row>
    <row r="297">
      <c r="BX297">
        <f>IF(OR(cMed=0,cMed2=0,295&gt;nFilas),NA(),IF(AND(ISNUMBER(INDEX(rMed2,295)),ISNUMBER(INDEX(rMed,295))),INDEX(rMed2,295),NA()))</f>
        <v>3</v>
      </c>
      <c r="BY297">
        <f>IF(OR(cMed=0,cMed2=0,295&gt;nFilas),NA(),IF(AND(ISNUMBER(INDEX(rMed2,295)),ISNUMBER(INDEX(rMed,295))),INDEX(rMed,295),NA()))</f>
        <v>347070</v>
      </c>
    </row>
    <row r="298">
      <c r="BX298">
        <f>IF(OR(cMed=0,cMed2=0,296&gt;nFilas),NA(),IF(AND(ISNUMBER(INDEX(rMed2,296)),ISNUMBER(INDEX(rMed,296))),INDEX(rMed2,296),NA()))</f>
        <v>4</v>
      </c>
      <c r="BY298">
        <f>IF(OR(cMed=0,cMed2=0,296&gt;nFilas),NA(),IF(AND(ISNUMBER(INDEX(rMed2,296)),ISNUMBER(INDEX(rMed,296))),INDEX(rMed,296),NA()))</f>
        <v>367540</v>
      </c>
    </row>
    <row r="299">
      <c r="BX299">
        <f>IF(OR(cMed=0,cMed2=0,297&gt;nFilas),NA(),IF(AND(ISNUMBER(INDEX(rMed2,297)),ISNUMBER(INDEX(rMed,297))),INDEX(rMed2,297),NA()))</f>
        <v>3</v>
      </c>
      <c r="BY299">
        <f>IF(OR(cMed=0,cMed2=0,297&gt;nFilas),NA(),IF(AND(ISNUMBER(INDEX(rMed2,297)),ISNUMBER(INDEX(rMed,297))),INDEX(rMed,297),NA()))</f>
        <v>511980</v>
      </c>
    </row>
    <row r="300">
      <c r="BX300">
        <f>IF(OR(cMed=0,cMed2=0,298&gt;nFilas),NA(),IF(AND(ISNUMBER(INDEX(rMed2,298)),ISNUMBER(INDEX(rMed,298))),INDEX(rMed2,298),NA()))</f>
        <v>3</v>
      </c>
      <c r="BY300">
        <f>IF(OR(cMed=0,cMed2=0,298&gt;nFilas),NA(),IF(AND(ISNUMBER(INDEX(rMed2,298)),ISNUMBER(INDEX(rMed,298))),INDEX(rMed,298),NA()))</f>
        <v>286500</v>
      </c>
    </row>
    <row r="301">
      <c r="BX301">
        <f>IF(OR(cMed=0,cMed2=0,299&gt;nFilas),NA(),IF(AND(ISNUMBER(INDEX(rMed2,299)),ISNUMBER(INDEX(rMed,299))),INDEX(rMed2,299),NA()))</f>
        <v>4</v>
      </c>
      <c r="BY301">
        <f>IF(OR(cMed=0,cMed2=0,299&gt;nFilas),NA(),IF(AND(ISNUMBER(INDEX(rMed2,299)),ISNUMBER(INDEX(rMed,299))),INDEX(rMed,299),NA()))</f>
        <v>198400</v>
      </c>
    </row>
    <row r="302">
      <c r="BX302">
        <f>IF(OR(cMed=0,cMed2=0,300&gt;nFilas),NA(),IF(AND(ISNUMBER(INDEX(rMed2,300)),ISNUMBER(INDEX(rMed,300))),INDEX(rMed2,300),NA()))</f>
        <v>5</v>
      </c>
      <c r="BY302">
        <f>IF(OR(cMed=0,cMed2=0,300&gt;nFilas),NA(),IF(AND(ISNUMBER(INDEX(rMed2,300)),ISNUMBER(INDEX(rMed,300))),INDEX(rMed,300),NA()))</f>
        <v>3822000</v>
      </c>
    </row>
    <row r="303">
      <c r="BX303">
        <f>IF(OR(cMed=0,cMed2=0,301&gt;nFilas),NA(),IF(AND(ISNUMBER(INDEX(rMed2,301)),ISNUMBER(INDEX(rMed,301))),INDEX(rMed2,301),NA()))</f>
        <v>5</v>
      </c>
      <c r="BY303">
        <f>IF(OR(cMed=0,cMed2=0,301&gt;nFilas),NA(),IF(AND(ISNUMBER(INDEX(rMed2,301)),ISNUMBER(INDEX(rMed,301))),INDEX(rMed,301),NA()))</f>
        <v>716000</v>
      </c>
    </row>
    <row r="304">
      <c r="BX304">
        <f>IF(OR(cMed=0,cMed2=0,302&gt;nFilas),NA(),IF(AND(ISNUMBER(INDEX(rMed2,302)),ISNUMBER(INDEX(rMed,302))),INDEX(rMed2,302),NA()))</f>
        <v>4</v>
      </c>
      <c r="BY304">
        <f>IF(OR(cMed=0,cMed2=0,302&gt;nFilas),NA(),IF(AND(ISNUMBER(INDEX(rMed2,302)),ISNUMBER(INDEX(rMed,302))),INDEX(rMed,302),NA()))</f>
        <v>346400</v>
      </c>
    </row>
    <row r="305">
      <c r="BX305">
        <f>IF(OR(cMed=0,cMed2=0,303&gt;nFilas),NA(),IF(AND(ISNUMBER(INDEX(rMed2,303)),ISNUMBER(INDEX(rMed,303))),INDEX(rMed2,303),NA()))</f>
        <v>3</v>
      </c>
      <c r="BY305">
        <f>IF(OR(cMed=0,cMed2=0,303&gt;nFilas),NA(),IF(AND(ISNUMBER(INDEX(rMed2,303)),ISNUMBER(INDEX(rMed,303))),INDEX(rMed,303),NA()))</f>
        <v>562800</v>
      </c>
    </row>
    <row r="306">
      <c r="BX306">
        <f>IF(OR(cMed=0,cMed2=0,304&gt;nFilas),NA(),IF(AND(ISNUMBER(INDEX(rMed2,304)),ISNUMBER(INDEX(rMed,304))),INDEX(rMed2,304),NA()))</f>
        <v>5</v>
      </c>
      <c r="BY306">
        <f>IF(OR(cMed=0,cMed2=0,304&gt;nFilas),NA(),IF(AND(ISNUMBER(INDEX(rMed2,304)),ISNUMBER(INDEX(rMed,304))),INDEX(rMed,304),NA()))</f>
        <v>677000</v>
      </c>
    </row>
    <row r="307">
      <c r="BX307">
        <f>IF(OR(cMed=0,cMed2=0,305&gt;nFilas),NA(),IF(AND(ISNUMBER(INDEX(rMed2,305)),ISNUMBER(INDEX(rMed,305))),INDEX(rMed2,305),NA()))</f>
        <v>4</v>
      </c>
      <c r="BY307">
        <f>IF(OR(cMed=0,cMed2=0,305&gt;nFilas),NA(),IF(AND(ISNUMBER(INDEX(rMed2,305)),ISNUMBER(INDEX(rMed,305))),INDEX(rMed,305),NA()))</f>
        <v>534400</v>
      </c>
    </row>
    <row r="308">
      <c r="BX308">
        <f>IF(OR(cMed=0,cMed2=0,306&gt;nFilas),NA(),IF(AND(ISNUMBER(INDEX(rMed2,306)),ISNUMBER(INDEX(rMed,306))),INDEX(rMed2,306),NA()))</f>
        <v>5</v>
      </c>
      <c r="BY308">
        <f>IF(OR(cMed=0,cMed2=0,306&gt;nFilas),NA(),IF(AND(ISNUMBER(INDEX(rMed2,306)),ISNUMBER(INDEX(rMed,306))),INDEX(rMed,306),NA()))</f>
        <v>754500</v>
      </c>
    </row>
    <row r="309">
      <c r="BX309">
        <f>IF(OR(cMed=0,cMed2=0,307&gt;nFilas),NA(),IF(AND(ISNUMBER(INDEX(rMed2,307)),ISNUMBER(INDEX(rMed,307))),INDEX(rMed2,307),NA()))</f>
        <v>4</v>
      </c>
      <c r="BY309">
        <f>IF(OR(cMed=0,cMed2=0,307&gt;nFilas),NA(),IF(AND(ISNUMBER(INDEX(rMed2,307)),ISNUMBER(INDEX(rMed,307))),INDEX(rMed,307),NA()))</f>
        <v>412800</v>
      </c>
    </row>
    <row r="310">
      <c r="BX310">
        <f>IF(OR(cMed=0,cMed2=0,308&gt;nFilas),NA(),IF(AND(ISNUMBER(INDEX(rMed2,308)),ISNUMBER(INDEX(rMed,308))),INDEX(rMed2,308),NA()))</f>
        <v>5</v>
      </c>
      <c r="BY310">
        <f>IF(OR(cMed=0,cMed2=0,308&gt;nFilas),NA(),IF(AND(ISNUMBER(INDEX(rMed2,308)),ISNUMBER(INDEX(rMed,308))),INDEX(rMed,308),NA()))</f>
        <v>672500</v>
      </c>
    </row>
    <row r="311">
      <c r="BX311">
        <f>IF(OR(cMed=0,cMed2=0,309&gt;nFilas),NA(),IF(AND(ISNUMBER(INDEX(rMed2,309)),ISNUMBER(INDEX(rMed,309))),INDEX(rMed2,309),NA()))</f>
        <v>5</v>
      </c>
      <c r="BY311">
        <f>IF(OR(cMed=0,cMed2=0,309&gt;nFilas),NA(),IF(AND(ISNUMBER(INDEX(rMed2,309)),ISNUMBER(INDEX(rMed,309))),INDEX(rMed,309),NA()))</f>
        <v>3426000</v>
      </c>
    </row>
    <row r="312">
      <c r="BX312">
        <f>IF(OR(cMed=0,cMed2=0,310&gt;nFilas),NA(),IF(AND(ISNUMBER(INDEX(rMed2,310)),ISNUMBER(INDEX(rMed,310))),INDEX(rMed2,310),NA()))</f>
        <v>5</v>
      </c>
      <c r="BY312">
        <f>IF(OR(cMed=0,cMed2=0,310&gt;nFilas),NA(),IF(AND(ISNUMBER(INDEX(rMed2,310)),ISNUMBER(INDEX(rMed,310))),INDEX(rMed,310),NA()))</f>
        <v>699500</v>
      </c>
    </row>
    <row r="313">
      <c r="BX313">
        <f>IF(OR(cMed=0,cMed2=0,311&gt;nFilas),NA(),IF(AND(ISNUMBER(INDEX(rMed2,311)),ISNUMBER(INDEX(rMed,311))),INDEX(rMed2,311),NA()))</f>
        <v>5</v>
      </c>
      <c r="BY313">
        <f>IF(OR(cMed=0,cMed2=0,311&gt;nFilas),NA(),IF(AND(ISNUMBER(INDEX(rMed2,311)),ISNUMBER(INDEX(rMed,311))),INDEX(rMed,311),NA()))</f>
        <v>497500</v>
      </c>
    </row>
    <row r="314">
      <c r="BX314">
        <f>IF(OR(cMed=0,cMed2=0,312&gt;nFilas),NA(),IF(AND(ISNUMBER(INDEX(rMed2,312)),ISNUMBER(INDEX(rMed,312))),INDEX(rMed2,312),NA()))</f>
        <v>4</v>
      </c>
      <c r="BY314">
        <f>IF(OR(cMed=0,cMed2=0,312&gt;nFilas),NA(),IF(AND(ISNUMBER(INDEX(rMed2,312)),ISNUMBER(INDEX(rMed,312))),INDEX(rMed,312),NA()))</f>
        <v>3854800</v>
      </c>
    </row>
    <row r="315">
      <c r="BX315">
        <f>IF(OR(cMed=0,cMed2=0,313&gt;nFilas),NA(),IF(AND(ISNUMBER(INDEX(rMed2,313)),ISNUMBER(INDEX(rMed,313))),INDEX(rMed2,313),NA()))</f>
        <v>4</v>
      </c>
      <c r="BY315">
        <f>IF(OR(cMed=0,cMed2=0,313&gt;nFilas),NA(),IF(AND(ISNUMBER(INDEX(rMed2,313)),ISNUMBER(INDEX(rMed,313))),INDEX(rMed,313),NA()))</f>
        <v>334800</v>
      </c>
    </row>
    <row r="316">
      <c r="BX316">
        <f>IF(OR(cMed=0,cMed2=0,314&gt;nFilas),NA(),IF(AND(ISNUMBER(INDEX(rMed2,314)),ISNUMBER(INDEX(rMed,314))),INDEX(rMed2,314),NA()))</f>
        <v>3</v>
      </c>
      <c r="BY316">
        <f>IF(OR(cMed=0,cMed2=0,314&gt;nFilas),NA(),IF(AND(ISNUMBER(INDEX(rMed2,314)),ISNUMBER(INDEX(rMed,314))),INDEX(rMed,314),NA()))</f>
        <v>177300</v>
      </c>
    </row>
    <row r="317">
      <c r="BX317">
        <f>IF(OR(cMed=0,cMed2=0,315&gt;nFilas),NA(),IF(AND(ISNUMBER(INDEX(rMed2,315)),ISNUMBER(INDEX(rMed,315))),INDEX(rMed2,315),NA()))</f>
        <v>1</v>
      </c>
      <c r="BY317">
        <f>IF(OR(cMed=0,cMed2=0,315&gt;nFilas),NA(),IF(AND(ISNUMBER(INDEX(rMed2,315)),ISNUMBER(INDEX(rMed,315))),INDEX(rMed,315),NA()))</f>
        <v>832300</v>
      </c>
    </row>
    <row r="318">
      <c r="BX318">
        <f>IF(OR(cMed=0,cMed2=0,316&gt;nFilas),NA(),IF(AND(ISNUMBER(INDEX(rMed2,316)),ISNUMBER(INDEX(rMed,316))),INDEX(rMed2,316),NA()))</f>
        <v>5</v>
      </c>
      <c r="BY318">
        <f>IF(OR(cMed=0,cMed2=0,316&gt;nFilas),NA(),IF(AND(ISNUMBER(INDEX(rMed2,316)),ISNUMBER(INDEX(rMed,316))),INDEX(rMed,316),NA()))</f>
        <v>549000</v>
      </c>
    </row>
    <row r="319">
      <c r="BX319">
        <f>IF(OR(cMed=0,cMed2=0,317&gt;nFilas),NA(),IF(AND(ISNUMBER(INDEX(rMed2,317)),ISNUMBER(INDEX(rMed,317))),INDEX(rMed2,317),NA()))</f>
        <v>5</v>
      </c>
      <c r="BY319">
        <f>IF(OR(cMed=0,cMed2=0,317&gt;nFilas),NA(),IF(AND(ISNUMBER(INDEX(rMed2,317)),ISNUMBER(INDEX(rMed,317))),INDEX(rMed,317),NA()))</f>
        <v>920000</v>
      </c>
    </row>
    <row r="320">
      <c r="BX320">
        <f>IF(OR(cMed=0,cMed2=0,318&gt;nFilas),NA(),IF(AND(ISNUMBER(INDEX(rMed2,318)),ISNUMBER(INDEX(rMed,318))),INDEX(rMed2,318),NA()))</f>
        <v>4</v>
      </c>
      <c r="BY320">
        <f>IF(OR(cMed=0,cMed2=0,318&gt;nFilas),NA(),IF(AND(ISNUMBER(INDEX(rMed2,318)),ISNUMBER(INDEX(rMed,318))),INDEX(rMed,318),NA()))</f>
        <v>318320</v>
      </c>
    </row>
    <row r="321">
      <c r="BX321">
        <f>IF(OR(cMed=0,cMed2=0,319&gt;nFilas),NA(),IF(AND(ISNUMBER(INDEX(rMed2,319)),ISNUMBER(INDEX(rMed,319))),INDEX(rMed2,319),NA()))</f>
        <v>5</v>
      </c>
      <c r="BY321">
        <f>IF(OR(cMed=0,cMed2=0,319&gt;nFilas),NA(),IF(AND(ISNUMBER(INDEX(rMed2,319)),ISNUMBER(INDEX(rMed,319))),INDEX(rMed,319),NA()))</f>
        <v>839500</v>
      </c>
    </row>
    <row r="322">
      <c r="BX322">
        <f>IF(OR(cMed=0,cMed2=0,320&gt;nFilas),NA(),IF(AND(ISNUMBER(INDEX(rMed2,320)),ISNUMBER(INDEX(rMed,320))),INDEX(rMed2,320),NA()))</f>
        <v>3</v>
      </c>
      <c r="BY322">
        <f>IF(OR(cMed=0,cMed2=0,320&gt;nFilas),NA(),IF(AND(ISNUMBER(INDEX(rMed2,320)),ISNUMBER(INDEX(rMed,320))),INDEX(rMed,320),NA()))</f>
        <v>414000</v>
      </c>
    </row>
    <row r="323">
      <c r="BX323">
        <f>IF(OR(cMed=0,cMed2=0,321&gt;nFilas),NA(),IF(AND(ISNUMBER(INDEX(rMed2,321)),ISNUMBER(INDEX(rMed,321))),INDEX(rMed2,321),NA()))</f>
        <v>5</v>
      </c>
      <c r="BY323">
        <f>IF(OR(cMed=0,cMed2=0,321&gt;nFilas),NA(),IF(AND(ISNUMBER(INDEX(rMed2,321)),ISNUMBER(INDEX(rMed,321))),INDEX(rMed,321),NA()))</f>
        <v>1038450</v>
      </c>
    </row>
    <row r="324">
      <c r="BX324">
        <f>IF(OR(cMed=0,cMed2=0,322&gt;nFilas),NA(),IF(AND(ISNUMBER(INDEX(rMed2,322)),ISNUMBER(INDEX(rMed,322))),INDEX(rMed2,322),NA()))</f>
        <v>2</v>
      </c>
      <c r="BY324">
        <f>IF(OR(cMed=0,cMed2=0,322&gt;nFilas),NA(),IF(AND(ISNUMBER(INDEX(rMed2,322)),ISNUMBER(INDEX(rMed,322))),INDEX(rMed,322),NA()))</f>
        <v>133630</v>
      </c>
    </row>
    <row r="325">
      <c r="BX325">
        <f>IF(OR(cMed=0,cMed2=0,323&gt;nFilas),NA(),IF(AND(ISNUMBER(INDEX(rMed2,323)),ISNUMBER(INDEX(rMed,323))),INDEX(rMed2,323),NA()))</f>
        <v>1</v>
      </c>
      <c r="BY325">
        <f>IF(OR(cMed=0,cMed2=0,323&gt;nFilas),NA(),IF(AND(ISNUMBER(INDEX(rMed2,323)),ISNUMBER(INDEX(rMed,323))),INDEX(rMed,323),NA()))</f>
        <v>1012460</v>
      </c>
    </row>
    <row r="326">
      <c r="BX326">
        <f>IF(OR(cMed=0,cMed2=0,324&gt;nFilas),NA(),IF(AND(ISNUMBER(INDEX(rMed2,324)),ISNUMBER(INDEX(rMed,324))),INDEX(rMed2,324),NA()))</f>
        <v>4</v>
      </c>
      <c r="BY326">
        <f>IF(OR(cMed=0,cMed2=0,324&gt;nFilas),NA(),IF(AND(ISNUMBER(INDEX(rMed2,324)),ISNUMBER(INDEX(rMed,324))),INDEX(rMed,324),NA()))</f>
        <v>627900</v>
      </c>
    </row>
    <row r="327">
      <c r="BX327">
        <f>IF(OR(cMed=0,cMed2=0,325&gt;nFilas),NA(),IF(AND(ISNUMBER(INDEX(rMed2,325)),ISNUMBER(INDEX(rMed,325))),INDEX(rMed2,325),NA()))</f>
        <v>5</v>
      </c>
      <c r="BY327">
        <f>IF(OR(cMed=0,cMed2=0,325&gt;nFilas),NA(),IF(AND(ISNUMBER(INDEX(rMed2,325)),ISNUMBER(INDEX(rMed,325))),INDEX(rMed,325),NA()))</f>
        <v>5901225</v>
      </c>
    </row>
    <row r="328">
      <c r="BX328">
        <f>IF(OR(cMed=0,cMed2=0,326&gt;nFilas),NA(),IF(AND(ISNUMBER(INDEX(rMed2,326)),ISNUMBER(INDEX(rMed,326))),INDEX(rMed2,326),NA()))</f>
        <v>5</v>
      </c>
      <c r="BY328">
        <f>IF(OR(cMed=0,cMed2=0,326&gt;nFilas),NA(),IF(AND(ISNUMBER(INDEX(rMed2,326)),ISNUMBER(INDEX(rMed,326))),INDEX(rMed,326),NA()))</f>
        <v>864000</v>
      </c>
    </row>
    <row r="329">
      <c r="BX329">
        <f>IF(OR(cMed=0,cMed2=0,327&gt;nFilas),NA(),IF(AND(ISNUMBER(INDEX(rMed2,327)),ISNUMBER(INDEX(rMed,327))),INDEX(rMed2,327),NA()))</f>
        <v>2</v>
      </c>
      <c r="BY329">
        <f>IF(OR(cMed=0,cMed2=0,327&gt;nFilas),NA(),IF(AND(ISNUMBER(INDEX(rMed2,327)),ISNUMBER(INDEX(rMed,327))),INDEX(rMed,327),NA()))</f>
        <v>283800</v>
      </c>
    </row>
    <row r="330">
      <c r="BX330">
        <f>IF(OR(cMed=0,cMed2=0,328&gt;nFilas),NA(),IF(AND(ISNUMBER(INDEX(rMed2,328)),ISNUMBER(INDEX(rMed,328))),INDEX(rMed2,328),NA()))</f>
        <v>2</v>
      </c>
      <c r="BY330">
        <f>IF(OR(cMed=0,cMed2=0,328&gt;nFilas),NA(),IF(AND(ISNUMBER(INDEX(rMed2,328)),ISNUMBER(INDEX(rMed,328))),INDEX(rMed,328),NA()))</f>
        <v>403600</v>
      </c>
    </row>
    <row r="331">
      <c r="BX331">
        <f>IF(OR(cMed=0,cMed2=0,329&gt;nFilas),NA(),IF(AND(ISNUMBER(INDEX(rMed2,329)),ISNUMBER(INDEX(rMed,329))),INDEX(rMed2,329),NA()))</f>
        <v>2</v>
      </c>
      <c r="BY331">
        <f>IF(OR(cMed=0,cMed2=0,329&gt;nFilas),NA(),IF(AND(ISNUMBER(INDEX(rMed2,329)),ISNUMBER(INDEX(rMed,329))),INDEX(rMed,329),NA()))</f>
        <v>250000</v>
      </c>
    </row>
    <row r="332">
      <c r="BX332">
        <f>IF(OR(cMed=0,cMed2=0,330&gt;nFilas),NA(),IF(AND(ISNUMBER(INDEX(rMed2,330)),ISNUMBER(INDEX(rMed,330))),INDEX(rMed2,330),NA()))</f>
        <v>2</v>
      </c>
      <c r="BY332">
        <f>IF(OR(cMed=0,cMed2=0,330&gt;nFilas),NA(),IF(AND(ISNUMBER(INDEX(rMed2,330)),ISNUMBER(INDEX(rMed,330))),INDEX(rMed,330),NA()))</f>
        <v>180400</v>
      </c>
    </row>
    <row r="333">
      <c r="BX333">
        <f>IF(OR(cMed=0,cMed2=0,331&gt;nFilas),NA(),IF(AND(ISNUMBER(INDEX(rMed2,331)),ISNUMBER(INDEX(rMed,331))),INDEX(rMed2,331),NA()))</f>
        <v>2</v>
      </c>
      <c r="BY333">
        <f>IF(OR(cMed=0,cMed2=0,331&gt;nFilas),NA(),IF(AND(ISNUMBER(INDEX(rMed2,331)),ISNUMBER(INDEX(rMed,331))),INDEX(rMed,331),NA()))</f>
        <v>292800</v>
      </c>
    </row>
    <row r="334">
      <c r="BX334">
        <f>IF(OR(cMed=0,cMed2=0,332&gt;nFilas),NA(),IF(AND(ISNUMBER(INDEX(rMed2,332)),ISNUMBER(INDEX(rMed,332))),INDEX(rMed2,332),NA()))</f>
        <v>4</v>
      </c>
      <c r="BY334">
        <f>IF(OR(cMed=0,cMed2=0,332&gt;nFilas),NA(),IF(AND(ISNUMBER(INDEX(rMed2,332)),ISNUMBER(INDEX(rMed,332))),INDEX(rMed,332),NA()))</f>
        <v>824800</v>
      </c>
    </row>
    <row r="335">
      <c r="BX335">
        <f>IF(OR(cMed=0,cMed2=0,333&gt;nFilas),NA(),IF(AND(ISNUMBER(INDEX(rMed2,333)),ISNUMBER(INDEX(rMed,333))),INDEX(rMed2,333),NA()))</f>
        <v>5</v>
      </c>
      <c r="BY335">
        <f>IF(OR(cMed=0,cMed2=0,333&gt;nFilas),NA(),IF(AND(ISNUMBER(INDEX(rMed2,333)),ISNUMBER(INDEX(rMed,333))),INDEX(rMed,333),NA()))</f>
        <v>555500</v>
      </c>
    </row>
    <row r="336">
      <c r="BX336">
        <f>IF(OR(cMed=0,cMed2=0,334&gt;nFilas),NA(),IF(AND(ISNUMBER(INDEX(rMed2,334)),ISNUMBER(INDEX(rMed,334))),INDEX(rMed2,334),NA()))</f>
        <v>1</v>
      </c>
      <c r="BY336">
        <f>IF(OR(cMed=0,cMed2=0,334&gt;nFilas),NA(),IF(AND(ISNUMBER(INDEX(rMed2,334)),ISNUMBER(INDEX(rMed,334))),INDEX(rMed,334),NA()))</f>
        <v>75200</v>
      </c>
    </row>
    <row r="337">
      <c r="BX337">
        <f>IF(OR(cMed=0,cMed2=0,335&gt;nFilas),NA(),IF(AND(ISNUMBER(INDEX(rMed2,335)),ISNUMBER(INDEX(rMed,335))),INDEX(rMed2,335),NA()))</f>
        <v>5</v>
      </c>
      <c r="BY337">
        <f>IF(OR(cMed=0,cMed2=0,335&gt;nFilas),NA(),IF(AND(ISNUMBER(INDEX(rMed2,335)),ISNUMBER(INDEX(rMed,335))),INDEX(rMed,335),NA()))</f>
        <v>5252000</v>
      </c>
    </row>
    <row r="338">
      <c r="BX338">
        <f>IF(OR(cMed=0,cMed2=0,336&gt;nFilas),NA(),IF(AND(ISNUMBER(INDEX(rMed2,336)),ISNUMBER(INDEX(rMed,336))),INDEX(rMed2,336),NA()))</f>
        <v>3</v>
      </c>
      <c r="BY338">
        <f>IF(OR(cMed=0,cMed2=0,336&gt;nFilas),NA(),IF(AND(ISNUMBER(INDEX(rMed2,336)),ISNUMBER(INDEX(rMed,336))),INDEX(rMed,336),NA()))</f>
        <v>619200</v>
      </c>
    </row>
    <row r="339">
      <c r="BX339">
        <f>IF(OR(cMed=0,cMed2=0,337&gt;nFilas),NA(),IF(AND(ISNUMBER(INDEX(rMed2,337)),ISNUMBER(INDEX(rMed,337))),INDEX(rMed2,337),NA()))</f>
        <v>2</v>
      </c>
      <c r="BY339">
        <f>IF(OR(cMed=0,cMed2=0,337&gt;nFilas),NA(),IF(AND(ISNUMBER(INDEX(rMed2,337)),ISNUMBER(INDEX(rMed,337))),INDEX(rMed,337),NA()))</f>
        <v>1362200</v>
      </c>
    </row>
    <row r="340">
      <c r="BX340">
        <f>IF(OR(cMed=0,cMed2=0,338&gt;nFilas),NA(),IF(AND(ISNUMBER(INDEX(rMed2,338)),ISNUMBER(INDEX(rMed,338))),INDEX(rMed2,338),NA()))</f>
        <v>5</v>
      </c>
      <c r="BY340">
        <f>IF(OR(cMed=0,cMed2=0,338&gt;nFilas),NA(),IF(AND(ISNUMBER(INDEX(rMed2,338)),ISNUMBER(INDEX(rMed,338))),INDEX(rMed,338),NA()))</f>
        <v>734000</v>
      </c>
    </row>
    <row r="341">
      <c r="BX341">
        <f>IF(OR(cMed=0,cMed2=0,339&gt;nFilas),NA(),IF(AND(ISNUMBER(INDEX(rMed2,339)),ISNUMBER(INDEX(rMed,339))),INDEX(rMed2,339),NA()))</f>
        <v>2</v>
      </c>
      <c r="BY341">
        <f>IF(OR(cMed=0,cMed2=0,339&gt;nFilas),NA(),IF(AND(ISNUMBER(INDEX(rMed2,339)),ISNUMBER(INDEX(rMed,339))),INDEX(rMed,339),NA()))</f>
        <v>155600</v>
      </c>
    </row>
    <row r="342">
      <c r="BX342">
        <f>IF(OR(cMed=0,cMed2=0,340&gt;nFilas),NA(),IF(AND(ISNUMBER(INDEX(rMed2,340)),ISNUMBER(INDEX(rMed,340))),INDEX(rMed2,340),NA()))</f>
        <v>5</v>
      </c>
      <c r="BY342">
        <f>IF(OR(cMed=0,cMed2=0,340&gt;nFilas),NA(),IF(AND(ISNUMBER(INDEX(rMed2,340)),ISNUMBER(INDEX(rMed,340))),INDEX(rMed,340),NA()))</f>
        <v>701000</v>
      </c>
    </row>
    <row r="343">
      <c r="BX343">
        <f>IF(OR(cMed=0,cMed2=0,341&gt;nFilas),NA(),IF(AND(ISNUMBER(INDEX(rMed2,341)),ISNUMBER(INDEX(rMed,341))),INDEX(rMed2,341),NA()))</f>
        <v>2</v>
      </c>
      <c r="BY343">
        <f>IF(OR(cMed=0,cMed2=0,341&gt;nFilas),NA(),IF(AND(ISNUMBER(INDEX(rMed2,341)),ISNUMBER(INDEX(rMed,341))),INDEX(rMed,341),NA()))</f>
        <v>199800</v>
      </c>
    </row>
    <row r="344">
      <c r="BX344">
        <f>IF(OR(cMed=0,cMed2=0,342&gt;nFilas),NA(),IF(AND(ISNUMBER(INDEX(rMed2,342)),ISNUMBER(INDEX(rMed,342))),INDEX(rMed2,342),NA()))</f>
        <v>1</v>
      </c>
      <c r="BY344">
        <f>IF(OR(cMed=0,cMed2=0,342&gt;nFilas),NA(),IF(AND(ISNUMBER(INDEX(rMed2,342)),ISNUMBER(INDEX(rMed,342))),INDEX(rMed,342),NA()))</f>
        <v>102900</v>
      </c>
    </row>
    <row r="345">
      <c r="BX345">
        <f>IF(OR(cMed=0,cMed2=0,343&gt;nFilas),NA(),IF(AND(ISNUMBER(INDEX(rMed2,343)),ISNUMBER(INDEX(rMed,343))),INDEX(rMed2,343),NA()))</f>
        <v>3</v>
      </c>
      <c r="BY345">
        <f>IF(OR(cMed=0,cMed2=0,343&gt;nFilas),NA(),IF(AND(ISNUMBER(INDEX(rMed2,343)),ISNUMBER(INDEX(rMed,343))),INDEX(rMed,343),NA()))</f>
        <v>333300</v>
      </c>
    </row>
    <row r="346">
      <c r="BX346">
        <f>IF(OR(cMed=0,cMed2=0,344&gt;nFilas),NA(),IF(AND(ISNUMBER(INDEX(rMed2,344)),ISNUMBER(INDEX(rMed,344))),INDEX(rMed2,344),NA()))</f>
        <v>1</v>
      </c>
      <c r="BY346">
        <f>IF(OR(cMed=0,cMed2=0,344&gt;nFilas),NA(),IF(AND(ISNUMBER(INDEX(rMed2,344)),ISNUMBER(INDEX(rMed,344))),INDEX(rMed,344),NA()))</f>
        <v>55200</v>
      </c>
    </row>
    <row r="347">
      <c r="BX347">
        <f>IF(OR(cMed=0,cMed2=0,345&gt;nFilas),NA(),IF(AND(ISNUMBER(INDEX(rMed2,345)),ISNUMBER(INDEX(rMed,345))),INDEX(rMed2,345),NA()))</f>
        <v>2</v>
      </c>
      <c r="BY347">
        <f>IF(OR(cMed=0,cMed2=0,345&gt;nFilas),NA(),IF(AND(ISNUMBER(INDEX(rMed2,345)),ISNUMBER(INDEX(rMed,345))),INDEX(rMed,345),NA()))</f>
        <v>1621800</v>
      </c>
    </row>
    <row r="348">
      <c r="BX348">
        <f>IF(OR(cMed=0,cMed2=0,346&gt;nFilas),NA(),IF(AND(ISNUMBER(INDEX(rMed2,346)),ISNUMBER(INDEX(rMed,346))),INDEX(rMed2,346),NA()))</f>
        <v>5</v>
      </c>
      <c r="BY348">
        <f>IF(OR(cMed=0,cMed2=0,346&gt;nFilas),NA(),IF(AND(ISNUMBER(INDEX(rMed2,346)),ISNUMBER(INDEX(rMed,346))),INDEX(rMed,346),NA()))</f>
        <v>505500</v>
      </c>
    </row>
    <row r="349">
      <c r="BX349">
        <f>IF(OR(cMed=0,cMed2=0,347&gt;nFilas),NA(),IF(AND(ISNUMBER(INDEX(rMed2,347)),ISNUMBER(INDEX(rMed,347))),INDEX(rMed2,347),NA()))</f>
        <v>3</v>
      </c>
      <c r="BY349">
        <f>IF(OR(cMed=0,cMed2=0,347&gt;nFilas),NA(),IF(AND(ISNUMBER(INDEX(rMed2,347)),ISNUMBER(INDEX(rMed,347))),INDEX(rMed,347),NA()))</f>
        <v>788100</v>
      </c>
    </row>
    <row r="350">
      <c r="BX350">
        <f>IF(OR(cMed=0,cMed2=0,348&gt;nFilas),NA(),IF(AND(ISNUMBER(INDEX(rMed2,348)),ISNUMBER(INDEX(rMed,348))),INDEX(rMed2,348),NA()))</f>
        <v>5</v>
      </c>
      <c r="BY350">
        <f>IF(OR(cMed=0,cMed2=0,348&gt;nFilas),NA(),IF(AND(ISNUMBER(INDEX(rMed2,348)),ISNUMBER(INDEX(rMed,348))),INDEX(rMed,348),NA()))</f>
        <v>306500</v>
      </c>
    </row>
    <row r="351">
      <c r="BX351">
        <f>IF(OR(cMed=0,cMed2=0,349&gt;nFilas),NA(),IF(AND(ISNUMBER(INDEX(rMed2,349)),ISNUMBER(INDEX(rMed,349))),INDEX(rMed2,349),NA()))</f>
        <v>3</v>
      </c>
      <c r="BY351">
        <f>IF(OR(cMed=0,cMed2=0,349&gt;nFilas),NA(),IF(AND(ISNUMBER(INDEX(rMed2,349)),ISNUMBER(INDEX(rMed,349))),INDEX(rMed,349),NA()))</f>
        <v>465900</v>
      </c>
    </row>
    <row r="352">
      <c r="BX352">
        <f>IF(OR(cMed=0,cMed2=0,350&gt;nFilas),NA(),IF(AND(ISNUMBER(INDEX(rMed2,350)),ISNUMBER(INDEX(rMed,350))),INDEX(rMed2,350),NA()))</f>
        <v>4</v>
      </c>
      <c r="BY352">
        <f>IF(OR(cMed=0,cMed2=0,350&gt;nFilas),NA(),IF(AND(ISNUMBER(INDEX(rMed2,350)),ISNUMBER(INDEX(rMed,350))),INDEX(rMed,350),NA()))</f>
        <v>284400</v>
      </c>
    </row>
    <row r="353">
      <c r="BX353">
        <f>IF(OR(cMed=0,cMed2=0,351&gt;nFilas),NA(),IF(AND(ISNUMBER(INDEX(rMed2,351)),ISNUMBER(INDEX(rMed,351))),INDEX(rMed2,351),NA()))</f>
        <v>2</v>
      </c>
      <c r="BY353">
        <f>IF(OR(cMed=0,cMed2=0,351&gt;nFilas),NA(),IF(AND(ISNUMBER(INDEX(rMed2,351)),ISNUMBER(INDEX(rMed,351))),INDEX(rMed,351),NA()))</f>
        <v>178600</v>
      </c>
    </row>
    <row r="354">
      <c r="BX354">
        <f>IF(OR(cMed=0,cMed2=0,352&gt;nFilas),NA(),IF(AND(ISNUMBER(INDEX(rMed2,352)),ISNUMBER(INDEX(rMed,352))),INDEX(rMed2,352),NA()))</f>
        <v>2</v>
      </c>
      <c r="BY354">
        <f>IF(OR(cMed=0,cMed2=0,352&gt;nFilas),NA(),IF(AND(ISNUMBER(INDEX(rMed2,352)),ISNUMBER(INDEX(rMed,352))),INDEX(rMed,352),NA()))</f>
        <v>222800</v>
      </c>
    </row>
    <row r="355">
      <c r="BX355">
        <f>IF(OR(cMed=0,cMed2=0,353&gt;nFilas),NA(),IF(AND(ISNUMBER(INDEX(rMed2,353)),ISNUMBER(INDEX(rMed,353))),INDEX(rMed2,353),NA()))</f>
        <v>2</v>
      </c>
      <c r="BY355">
        <f>IF(OR(cMed=0,cMed2=0,353&gt;nFilas),NA(),IF(AND(ISNUMBER(INDEX(rMed2,353)),ISNUMBER(INDEX(rMed,353))),INDEX(rMed,353),NA()))</f>
        <v>322800</v>
      </c>
    </row>
    <row r="356">
      <c r="BX356">
        <f>IF(OR(cMed=0,cMed2=0,354&gt;nFilas),NA(),IF(AND(ISNUMBER(INDEX(rMed2,354)),ISNUMBER(INDEX(rMed,354))),INDEX(rMed2,354),NA()))</f>
        <v>4</v>
      </c>
      <c r="BY356">
        <f>IF(OR(cMed=0,cMed2=0,354&gt;nFilas),NA(),IF(AND(ISNUMBER(INDEX(rMed2,354)),ISNUMBER(INDEX(rMed,354))),INDEX(rMed,354),NA()))</f>
        <v>367600</v>
      </c>
    </row>
    <row r="357">
      <c r="BX357">
        <f>IF(OR(cMed=0,cMed2=0,355&gt;nFilas),NA(),IF(AND(ISNUMBER(INDEX(rMed2,355)),ISNUMBER(INDEX(rMed,355))),INDEX(rMed2,355),NA()))</f>
        <v>4</v>
      </c>
      <c r="BY357">
        <f>IF(OR(cMed=0,cMed2=0,355&gt;nFilas),NA(),IF(AND(ISNUMBER(INDEX(rMed2,355)),ISNUMBER(INDEX(rMed,355))),INDEX(rMed,355),NA()))</f>
        <v>340860</v>
      </c>
    </row>
    <row r="358">
      <c r="BX358">
        <f>IF(OR(cMed=0,cMed2=0,356&gt;nFilas),NA(),IF(AND(ISNUMBER(INDEX(rMed2,356)),ISNUMBER(INDEX(rMed,356))),INDEX(rMed2,356),NA()))</f>
        <v>1</v>
      </c>
      <c r="BY358">
        <f>IF(OR(cMed=0,cMed2=0,356&gt;nFilas),NA(),IF(AND(ISNUMBER(INDEX(rMed2,356)),ISNUMBER(INDEX(rMed,356))),INDEX(rMed,356),NA()))</f>
        <v>219305</v>
      </c>
    </row>
    <row r="359">
      <c r="BX359">
        <f>IF(OR(cMed=0,cMed2=0,357&gt;nFilas),NA(),IF(AND(ISNUMBER(INDEX(rMed2,357)),ISNUMBER(INDEX(rMed,357))),INDEX(rMed2,357),NA()))</f>
        <v>1</v>
      </c>
      <c r="BY359">
        <f>IF(OR(cMed=0,cMed2=0,357&gt;nFilas),NA(),IF(AND(ISNUMBER(INDEX(rMed2,357)),ISNUMBER(INDEX(rMed,357))),INDEX(rMed,357),NA()))</f>
        <v>1218540</v>
      </c>
    </row>
    <row r="360">
      <c r="BX360">
        <f>IF(OR(cMed=0,cMed2=0,358&gt;nFilas),NA(),IF(AND(ISNUMBER(INDEX(rMed2,358)),ISNUMBER(INDEX(rMed,358))),INDEX(rMed2,358),NA()))</f>
        <v>3</v>
      </c>
      <c r="BY360">
        <f>IF(OR(cMed=0,cMed2=0,358&gt;nFilas),NA(),IF(AND(ISNUMBER(INDEX(rMed2,358)),ISNUMBER(INDEX(rMed,358))),INDEX(rMed,358),NA()))</f>
        <v>613410</v>
      </c>
    </row>
    <row r="361">
      <c r="BX361">
        <f>IF(OR(cMed=0,cMed2=0,359&gt;nFilas),NA(),IF(AND(ISNUMBER(INDEX(rMed2,359)),ISNUMBER(INDEX(rMed,359))),INDEX(rMed2,359),NA()))</f>
        <v>5</v>
      </c>
      <c r="BY361">
        <f>IF(OR(cMed=0,cMed2=0,359&gt;nFilas),NA(),IF(AND(ISNUMBER(INDEX(rMed2,359)),ISNUMBER(INDEX(rMed,359))),INDEX(rMed,359),NA()))</f>
        <v>833750</v>
      </c>
    </row>
    <row r="362">
      <c r="BX362">
        <f>IF(OR(cMed=0,cMed2=0,360&gt;nFilas),NA(),IF(AND(ISNUMBER(INDEX(rMed2,360)),ISNUMBER(INDEX(rMed,360))),INDEX(rMed2,360),NA()))</f>
        <v>5</v>
      </c>
      <c r="BY362">
        <f>IF(OR(cMed=0,cMed2=0,360&gt;nFilas),NA(),IF(AND(ISNUMBER(INDEX(rMed2,360)),ISNUMBER(INDEX(rMed,360))),INDEX(rMed,360),NA()))</f>
        <v>632500</v>
      </c>
    </row>
    <row r="363">
      <c r="BX363">
        <f>IF(OR(cMed=0,cMed2=0,361&gt;nFilas),NA(),IF(AND(ISNUMBER(INDEX(rMed2,361)),ISNUMBER(INDEX(rMed,361))),INDEX(rMed2,361),NA()))</f>
        <v>5</v>
      </c>
      <c r="BY363">
        <f>IF(OR(cMed=0,cMed2=0,361&gt;nFilas),NA(),IF(AND(ISNUMBER(INDEX(rMed2,361)),ISNUMBER(INDEX(rMed,361))),INDEX(rMed,361),NA()))</f>
        <v>554300</v>
      </c>
    </row>
    <row r="364">
      <c r="BX364">
        <f>IF(OR(cMed=0,cMed2=0,362&gt;nFilas),NA(),IF(AND(ISNUMBER(INDEX(rMed2,362)),ISNUMBER(INDEX(rMed,362))),INDEX(rMed2,362),NA()))</f>
        <v>2</v>
      </c>
      <c r="BY364">
        <f>IF(OR(cMed=0,cMed2=0,362&gt;nFilas),NA(),IF(AND(ISNUMBER(INDEX(rMed2,362)),ISNUMBER(INDEX(rMed,362))),INDEX(rMed,362),NA()))</f>
        <v>308200</v>
      </c>
    </row>
    <row r="365">
      <c r="BX365">
        <f>IF(OR(cMed=0,cMed2=0,363&gt;nFilas),NA(),IF(AND(ISNUMBER(INDEX(rMed2,363)),ISNUMBER(INDEX(rMed,363))),INDEX(rMed2,363),NA()))</f>
        <v>5</v>
      </c>
      <c r="BY365">
        <f>IF(OR(cMed=0,cMed2=0,363&gt;nFilas),NA(),IF(AND(ISNUMBER(INDEX(rMed2,363)),ISNUMBER(INDEX(rMed,363))),INDEX(rMed,363),NA()))</f>
        <v>810175</v>
      </c>
    </row>
    <row r="366">
      <c r="BX366">
        <f>IF(OR(cMed=0,cMed2=0,364&gt;nFilas),NA(),IF(AND(ISNUMBER(INDEX(rMed2,364)),ISNUMBER(INDEX(rMed,364))),INDEX(rMed2,364),NA()))</f>
        <v>5</v>
      </c>
      <c r="BY366">
        <f>IF(OR(cMed=0,cMed2=0,364&gt;nFilas),NA(),IF(AND(ISNUMBER(INDEX(rMed2,364)),ISNUMBER(INDEX(rMed,364))),INDEX(rMed,364),NA()))</f>
        <v>411700</v>
      </c>
    </row>
    <row r="367">
      <c r="BX367">
        <f>IF(OR(cMed=0,cMed2=0,365&gt;nFilas),NA(),IF(AND(ISNUMBER(INDEX(rMed2,365)),ISNUMBER(INDEX(rMed,365))),INDEX(rMed2,365),NA()))</f>
        <v>2</v>
      </c>
      <c r="BY367">
        <f>IF(OR(cMed=0,cMed2=0,365&gt;nFilas),NA(),IF(AND(ISNUMBER(INDEX(rMed2,365)),ISNUMBER(INDEX(rMed,365))),INDEX(rMed,365),NA()))</f>
        <v>340400</v>
      </c>
    </row>
    <row r="368">
      <c r="BX368">
        <f>IF(OR(cMed=0,cMed2=0,366&gt;nFilas),NA(),IF(AND(ISNUMBER(INDEX(rMed2,366)),ISNUMBER(INDEX(rMed,366))),INDEX(rMed2,366),NA()))</f>
        <v>3</v>
      </c>
      <c r="BY368">
        <f>IF(OR(cMed=0,cMed2=0,366&gt;nFilas),NA(),IF(AND(ISNUMBER(INDEX(rMed2,366)),ISNUMBER(INDEX(rMed,366))),INDEX(rMed,366),NA()))</f>
        <v>387090</v>
      </c>
    </row>
    <row r="369">
      <c r="BX369">
        <f>IF(OR(cMed=0,cMed2=0,367&gt;nFilas),NA(),IF(AND(ISNUMBER(INDEX(rMed2,367)),ISNUMBER(INDEX(rMed,367))),INDEX(rMed2,367),NA()))</f>
        <v>4</v>
      </c>
      <c r="BY369">
        <f>IF(OR(cMed=0,cMed2=0,367&gt;nFilas),NA(),IF(AND(ISNUMBER(INDEX(rMed2,367)),ISNUMBER(INDEX(rMed,367))),INDEX(rMed,367),NA()))</f>
        <v>2450400</v>
      </c>
    </row>
    <row r="370">
      <c r="BX370">
        <f>IF(OR(cMed=0,cMed2=0,368&gt;nFilas),NA(),IF(AND(ISNUMBER(INDEX(rMed2,368)),ISNUMBER(INDEX(rMed,368))),INDEX(rMed2,368),NA()))</f>
        <v>1</v>
      </c>
      <c r="BY370">
        <f>IF(OR(cMed=0,cMed2=0,368&gt;nFilas),NA(),IF(AND(ISNUMBER(INDEX(rMed2,368)),ISNUMBER(INDEX(rMed,368))),INDEX(rMed,368),NA()))</f>
        <v>68200</v>
      </c>
    </row>
    <row r="371">
      <c r="BX371">
        <f>IF(OR(cMed=0,cMed2=0,369&gt;nFilas),NA(),IF(AND(ISNUMBER(INDEX(rMed2,369)),ISNUMBER(INDEX(rMed,369))),INDEX(rMed2,369),NA()))</f>
        <v>4</v>
      </c>
      <c r="BY371">
        <f>IF(OR(cMed=0,cMed2=0,369&gt;nFilas),NA(),IF(AND(ISNUMBER(INDEX(rMed2,369)),ISNUMBER(INDEX(rMed,369))),INDEX(rMed,369),NA()))</f>
        <v>3688000</v>
      </c>
    </row>
    <row r="372">
      <c r="BX372">
        <f>IF(OR(cMed=0,cMed2=0,370&gt;nFilas),NA(),IF(AND(ISNUMBER(INDEX(rMed2,370)),ISNUMBER(INDEX(rMed,370))),INDEX(rMed2,370),NA()))</f>
        <v>1</v>
      </c>
      <c r="BY372">
        <f>IF(OR(cMed=0,cMed2=0,370&gt;nFilas),NA(),IF(AND(ISNUMBER(INDEX(rMed2,370)),ISNUMBER(INDEX(rMed,370))),INDEX(rMed,370),NA()))</f>
        <v>133200</v>
      </c>
    </row>
    <row r="373">
      <c r="BX373">
        <f>IF(OR(cMed=0,cMed2=0,371&gt;nFilas),NA(),IF(AND(ISNUMBER(INDEX(rMed2,371)),ISNUMBER(INDEX(rMed,371))),INDEX(rMed2,371),NA()))</f>
        <v>4</v>
      </c>
      <c r="BY373">
        <f>IF(OR(cMed=0,cMed2=0,371&gt;nFilas),NA(),IF(AND(ISNUMBER(INDEX(rMed2,371)),ISNUMBER(INDEX(rMed,371))),INDEX(rMed,371),NA()))</f>
        <v>908000</v>
      </c>
    </row>
    <row r="374">
      <c r="BX374">
        <f>IF(OR(cMed=0,cMed2=0,372&gt;nFilas),NA(),IF(AND(ISNUMBER(INDEX(rMed2,372)),ISNUMBER(INDEX(rMed,372))),INDEX(rMed2,372),NA()))</f>
        <v>1</v>
      </c>
      <c r="BY374">
        <f>IF(OR(cMed=0,cMed2=0,372&gt;nFilas),NA(),IF(AND(ISNUMBER(INDEX(rMed2,372)),ISNUMBER(INDEX(rMed,372))),INDEX(rMed,372),NA()))</f>
        <v>160500</v>
      </c>
    </row>
    <row r="375">
      <c r="BX375">
        <f>IF(OR(cMed=0,cMed2=0,373&gt;nFilas),NA(),IF(AND(ISNUMBER(INDEX(rMed2,373)),ISNUMBER(INDEX(rMed,373))),INDEX(rMed2,373),NA()))</f>
        <v>4</v>
      </c>
      <c r="BY375">
        <f>IF(OR(cMed=0,cMed2=0,373&gt;nFilas),NA(),IF(AND(ISNUMBER(INDEX(rMed2,373)),ISNUMBER(INDEX(rMed,373))),INDEX(rMed,373),NA()))</f>
        <v>415600</v>
      </c>
    </row>
    <row r="376">
      <c r="BX376">
        <f>IF(OR(cMed=0,cMed2=0,374&gt;nFilas),NA(),IF(AND(ISNUMBER(INDEX(rMed2,374)),ISNUMBER(INDEX(rMed,374))),INDEX(rMed2,374),NA()))</f>
        <v>1</v>
      </c>
      <c r="BY376">
        <f>IF(OR(cMed=0,cMed2=0,374&gt;nFilas),NA(),IF(AND(ISNUMBER(INDEX(rMed2,374)),ISNUMBER(INDEX(rMed,374))),INDEX(rMed,374),NA()))</f>
        <v>795300</v>
      </c>
    </row>
    <row r="377">
      <c r="BX377">
        <f>IF(OR(cMed=0,cMed2=0,375&gt;nFilas),NA(),IF(AND(ISNUMBER(INDEX(rMed2,375)),ISNUMBER(INDEX(rMed,375))),INDEX(rMed2,375),NA()))</f>
        <v>3</v>
      </c>
      <c r="BY377">
        <f>IF(OR(cMed=0,cMed2=0,375&gt;nFilas),NA(),IF(AND(ISNUMBER(INDEX(rMed2,375)),ISNUMBER(INDEX(rMed,375))),INDEX(rMed,375),NA()))</f>
        <v>291900</v>
      </c>
    </row>
    <row r="378">
      <c r="BX378">
        <f>IF(OR(cMed=0,cMed2=0,376&gt;nFilas),NA(),IF(AND(ISNUMBER(INDEX(rMed2,376)),ISNUMBER(INDEX(rMed,376))),INDEX(rMed2,376),NA()))</f>
        <v>3</v>
      </c>
      <c r="BY378">
        <f>IF(OR(cMed=0,cMed2=0,376&gt;nFilas),NA(),IF(AND(ISNUMBER(INDEX(rMed2,376)),ISNUMBER(INDEX(rMed,376))),INDEX(rMed,376),NA()))</f>
        <v>278700</v>
      </c>
    </row>
    <row r="379">
      <c r="BX379">
        <f>IF(OR(cMed=0,cMed2=0,377&gt;nFilas),NA(),IF(AND(ISNUMBER(INDEX(rMed2,377)),ISNUMBER(INDEX(rMed,377))),INDEX(rMed2,377),NA()))</f>
        <v>2</v>
      </c>
      <c r="BY379">
        <f>IF(OR(cMed=0,cMed2=0,377&gt;nFilas),NA(),IF(AND(ISNUMBER(INDEX(rMed2,377)),ISNUMBER(INDEX(rMed,377))),INDEX(rMed,377),NA()))</f>
        <v>152600</v>
      </c>
    </row>
    <row r="380">
      <c r="BX380">
        <f>IF(OR(cMed=0,cMed2=0,378&gt;nFilas),NA(),IF(AND(ISNUMBER(INDEX(rMed2,378)),ISNUMBER(INDEX(rMed,378))),INDEX(rMed2,378),NA()))</f>
        <v>5</v>
      </c>
      <c r="BY380">
        <f>IF(OR(cMed=0,cMed2=0,378&gt;nFilas),NA(),IF(AND(ISNUMBER(INDEX(rMed2,378)),ISNUMBER(INDEX(rMed,378))),INDEX(rMed,378),NA()))</f>
        <v>571000</v>
      </c>
    </row>
    <row r="381">
      <c r="BX381">
        <f>IF(OR(cMed=0,cMed2=0,379&gt;nFilas),NA(),IF(AND(ISNUMBER(INDEX(rMed2,379)),ISNUMBER(INDEX(rMed,379))),INDEX(rMed2,379),NA()))</f>
        <v>1</v>
      </c>
      <c r="BY381">
        <f>IF(OR(cMed=0,cMed2=0,379&gt;nFilas),NA(),IF(AND(ISNUMBER(INDEX(rMed2,379)),ISNUMBER(INDEX(rMed,379))),INDEX(rMed,379),NA()))</f>
        <v>63600</v>
      </c>
    </row>
    <row r="382">
      <c r="BX382">
        <f>IF(OR(cMed=0,cMed2=0,380&gt;nFilas),NA(),IF(AND(ISNUMBER(INDEX(rMed2,380)),ISNUMBER(INDEX(rMed,380))),INDEX(rMed2,380),NA()))</f>
        <v>2</v>
      </c>
      <c r="BY382">
        <f>IF(OR(cMed=0,cMed2=0,380&gt;nFilas),NA(),IF(AND(ISNUMBER(INDEX(rMed2,380)),ISNUMBER(INDEX(rMed,380))),INDEX(rMed,380),NA()))</f>
        <v>475800</v>
      </c>
    </row>
    <row r="383">
      <c r="BX383">
        <f>IF(OR(cMed=0,cMed2=0,381&gt;nFilas),NA(),IF(AND(ISNUMBER(INDEX(rMed2,381)),ISNUMBER(INDEX(rMed,381))),INDEX(rMed2,381),NA()))</f>
        <v>2</v>
      </c>
      <c r="BY383">
        <f>IF(OR(cMed=0,cMed2=0,381&gt;nFilas),NA(),IF(AND(ISNUMBER(INDEX(rMed2,381)),ISNUMBER(INDEX(rMed,381))),INDEX(rMed,381),NA()))</f>
        <v>226600</v>
      </c>
    </row>
    <row r="384">
      <c r="BX384">
        <f>IF(OR(cMed=0,cMed2=0,382&gt;nFilas),NA(),IF(AND(ISNUMBER(INDEX(rMed2,382)),ISNUMBER(INDEX(rMed,382))),INDEX(rMed2,382),NA()))</f>
        <v>5</v>
      </c>
      <c r="BY384">
        <f>IF(OR(cMed=0,cMed2=0,382&gt;nFilas),NA(),IF(AND(ISNUMBER(INDEX(rMed2,382)),ISNUMBER(INDEX(rMed,382))),INDEX(rMed,382),NA()))</f>
        <v>4640500</v>
      </c>
    </row>
    <row r="385">
      <c r="BX385">
        <f>IF(OR(cMed=0,cMed2=0,383&gt;nFilas),NA(),IF(AND(ISNUMBER(INDEX(rMed2,383)),ISNUMBER(INDEX(rMed,383))),INDEX(rMed2,383),NA()))</f>
        <v>2</v>
      </c>
      <c r="BY385">
        <f>IF(OR(cMed=0,cMed2=0,383&gt;nFilas),NA(),IF(AND(ISNUMBER(INDEX(rMed2,383)),ISNUMBER(INDEX(rMed,383))),INDEX(rMed,383),NA()))</f>
        <v>119000</v>
      </c>
    </row>
    <row r="386">
      <c r="BX386">
        <f>IF(OR(cMed=0,cMed2=0,384&gt;nFilas),NA(),IF(AND(ISNUMBER(INDEX(rMed2,384)),ISNUMBER(INDEX(rMed,384))),INDEX(rMed2,384),NA()))</f>
        <v>5</v>
      </c>
      <c r="BY386">
        <f>IF(OR(cMed=0,cMed2=0,384&gt;nFilas),NA(),IF(AND(ISNUMBER(INDEX(rMed2,384)),ISNUMBER(INDEX(rMed,384))),INDEX(rMed,384),NA()))</f>
        <v>769500</v>
      </c>
    </row>
    <row r="387">
      <c r="BX387">
        <f>IF(OR(cMed=0,cMed2=0,385&gt;nFilas),NA(),IF(AND(ISNUMBER(INDEX(rMed2,385)),ISNUMBER(INDEX(rMed,385))),INDEX(rMed2,385),NA()))</f>
        <v>2</v>
      </c>
      <c r="BY387">
        <f>IF(OR(cMed=0,cMed2=0,385&gt;nFilas),NA(),IF(AND(ISNUMBER(INDEX(rMed2,385)),ISNUMBER(INDEX(rMed,385))),INDEX(rMed,385),NA()))</f>
        <v>169400</v>
      </c>
    </row>
    <row r="388">
      <c r="BX388">
        <f>IF(OR(cMed=0,cMed2=0,386&gt;nFilas),NA(),IF(AND(ISNUMBER(INDEX(rMed2,386)),ISNUMBER(INDEX(rMed,386))),INDEX(rMed2,386),NA()))</f>
        <v>4</v>
      </c>
      <c r="BY388">
        <f>IF(OR(cMed=0,cMed2=0,386&gt;nFilas),NA(),IF(AND(ISNUMBER(INDEX(rMed2,386)),ISNUMBER(INDEX(rMed,386))),INDEX(rMed,386),NA()))</f>
        <v>338000</v>
      </c>
    </row>
    <row r="389">
      <c r="BX389">
        <f>IF(OR(cMed=0,cMed2=0,387&gt;nFilas),NA(),IF(AND(ISNUMBER(INDEX(rMed2,387)),ISNUMBER(INDEX(rMed,387))),INDEX(rMed2,387),NA()))</f>
        <v>2</v>
      </c>
      <c r="BY389">
        <f>IF(OR(cMed=0,cMed2=0,387&gt;nFilas),NA(),IF(AND(ISNUMBER(INDEX(rMed2,387)),ISNUMBER(INDEX(rMed,387))),INDEX(rMed,387),NA()))</f>
        <v>473800</v>
      </c>
    </row>
    <row r="390">
      <c r="BX390">
        <f>IF(OR(cMed=0,cMed2=0,388&gt;nFilas),NA(),IF(AND(ISNUMBER(INDEX(rMed2,388)),ISNUMBER(INDEX(rMed,388))),INDEX(rMed2,388),NA()))</f>
        <v>4</v>
      </c>
      <c r="BY390">
        <f>IF(OR(cMed=0,cMed2=0,388&gt;nFilas),NA(),IF(AND(ISNUMBER(INDEX(rMed2,388)),ISNUMBER(INDEX(rMed,388))),INDEX(rMed,388),NA()))</f>
        <v>322800</v>
      </c>
    </row>
    <row r="391">
      <c r="BX391">
        <f>IF(OR(cMed=0,cMed2=0,389&gt;nFilas),NA(),IF(AND(ISNUMBER(INDEX(rMed2,389)),ISNUMBER(INDEX(rMed,389))),INDEX(rMed2,389),NA()))</f>
        <v>1</v>
      </c>
      <c r="BY391">
        <f>IF(OR(cMed=0,cMed2=0,389&gt;nFilas),NA(),IF(AND(ISNUMBER(INDEX(rMed2,389)),ISNUMBER(INDEX(rMed,389))),INDEX(rMed,389),NA()))</f>
        <v>185900</v>
      </c>
    </row>
    <row r="392">
      <c r="BX392">
        <f>IF(OR(cMed=0,cMed2=0,390&gt;nFilas),NA(),IF(AND(ISNUMBER(INDEX(rMed2,390)),ISNUMBER(INDEX(rMed,390))),INDEX(rMed2,390),NA()))</f>
        <v>1</v>
      </c>
      <c r="BY392">
        <f>IF(OR(cMed=0,cMed2=0,390&gt;nFilas),NA(),IF(AND(ISNUMBER(INDEX(rMed2,390)),ISNUMBER(INDEX(rMed,390))),INDEX(rMed,390),NA()))</f>
        <v>175605</v>
      </c>
    </row>
    <row r="393">
      <c r="BX393">
        <f>IF(OR(cMed=0,cMed2=0,391&gt;nFilas),NA(),IF(AND(ISNUMBER(INDEX(rMed2,391)),ISNUMBER(INDEX(rMed,391))),INDEX(rMed2,391),NA()))</f>
        <v>4</v>
      </c>
      <c r="BY393">
        <f>IF(OR(cMed=0,cMed2=0,391&gt;nFilas),NA(),IF(AND(ISNUMBER(INDEX(rMed2,391)),ISNUMBER(INDEX(rMed,391))),INDEX(rMed,391),NA()))</f>
        <v>523940</v>
      </c>
    </row>
    <row r="394">
      <c r="BX394">
        <f>IF(OR(cMed=0,cMed2=0,392&gt;nFilas),NA(),IF(AND(ISNUMBER(INDEX(rMed2,392)),ISNUMBER(INDEX(rMed,392))),INDEX(rMed2,392),NA()))</f>
        <v>4</v>
      </c>
      <c r="BY394">
        <f>IF(OR(cMed=0,cMed2=0,392&gt;nFilas),NA(),IF(AND(ISNUMBER(INDEX(rMed2,392)),ISNUMBER(INDEX(rMed,392))),INDEX(rMed,392),NA()))</f>
        <v>387780</v>
      </c>
    </row>
    <row r="395">
      <c r="BX395">
        <f>IF(OR(cMed=0,cMed2=0,393&gt;nFilas),NA(),IF(AND(ISNUMBER(INDEX(rMed2,393)),ISNUMBER(INDEX(rMed,393))),INDEX(rMed2,393),NA()))</f>
        <v>4</v>
      </c>
      <c r="BY395">
        <f>IF(OR(cMed=0,cMed2=0,393&gt;nFilas),NA(),IF(AND(ISNUMBER(INDEX(rMed2,393)),ISNUMBER(INDEX(rMed,393))),INDEX(rMed,393),NA()))</f>
        <v>946680</v>
      </c>
    </row>
    <row r="396">
      <c r="BX396">
        <f>IF(OR(cMed=0,cMed2=0,394&gt;nFilas),NA(),IF(AND(ISNUMBER(INDEX(rMed2,394)),ISNUMBER(INDEX(rMed,394))),INDEX(rMed2,394),NA()))</f>
        <v>1</v>
      </c>
      <c r="BY396">
        <f>IF(OR(cMed=0,cMed2=0,394&gt;nFilas),NA(),IF(AND(ISNUMBER(INDEX(rMed2,394)),ISNUMBER(INDEX(rMed,394))),INDEX(rMed,394),NA()))</f>
        <v>78545</v>
      </c>
    </row>
    <row r="397">
      <c r="BX397">
        <f>IF(OR(cMed=0,cMed2=0,395&gt;nFilas),NA(),IF(AND(ISNUMBER(INDEX(rMed2,395)),ISNUMBER(INDEX(rMed,395))),INDEX(rMed2,395),NA()))</f>
        <v>1</v>
      </c>
      <c r="BY397">
        <f>IF(OR(cMed=0,cMed2=0,395&gt;nFilas),NA(),IF(AND(ISNUMBER(INDEX(rMed2,395)),ISNUMBER(INDEX(rMed,395))),INDEX(rMed,395),NA()))</f>
        <v>136160</v>
      </c>
    </row>
    <row r="398">
      <c r="BX398">
        <f>IF(OR(cMed=0,cMed2=0,396&gt;nFilas),NA(),IF(AND(ISNUMBER(INDEX(rMed2,396)),ISNUMBER(INDEX(rMed,396))),INDEX(rMed2,396),NA()))</f>
        <v>3</v>
      </c>
      <c r="BY398">
        <f>IF(OR(cMed=0,cMed2=0,396&gt;nFilas),NA(),IF(AND(ISNUMBER(INDEX(rMed2,396)),ISNUMBER(INDEX(rMed,396))),INDEX(rMed,396),NA()))</f>
        <v>487485</v>
      </c>
    </row>
    <row r="399">
      <c r="BX399">
        <f>IF(OR(cMed=0,cMed2=0,397&gt;nFilas),NA(),IF(AND(ISNUMBER(INDEX(rMed2,397)),ISNUMBER(INDEX(rMed,397))),INDEX(rMed2,397),NA()))</f>
        <v>4</v>
      </c>
      <c r="BY399">
        <f>IF(OR(cMed=0,cMed2=0,397&gt;nFilas),NA(),IF(AND(ISNUMBER(INDEX(rMed2,397)),ISNUMBER(INDEX(rMed,397))),INDEX(rMed,397),NA()))</f>
        <v>407560</v>
      </c>
    </row>
    <row r="400">
      <c r="BX400">
        <f>IF(OR(cMed=0,cMed2=0,398&gt;nFilas),NA(),IF(AND(ISNUMBER(INDEX(rMed2,398)),ISNUMBER(INDEX(rMed,398))),INDEX(rMed2,398),NA()))</f>
        <v>2</v>
      </c>
      <c r="BY400">
        <f>IF(OR(cMed=0,cMed2=0,398&gt;nFilas),NA(),IF(AND(ISNUMBER(INDEX(rMed2,398)),ISNUMBER(INDEX(rMed,398))),INDEX(rMed,398),NA()))</f>
        <v>236670</v>
      </c>
    </row>
    <row r="401">
      <c r="BX401">
        <f>IF(OR(cMed=0,cMed2=0,399&gt;nFilas),NA(),IF(AND(ISNUMBER(INDEX(rMed2,399)),ISNUMBER(INDEX(rMed,399))),INDEX(rMed2,399),NA()))</f>
        <v>2</v>
      </c>
      <c r="BY401">
        <f>IF(OR(cMed=0,cMed2=0,399&gt;nFilas),NA(),IF(AND(ISNUMBER(INDEX(rMed2,399)),ISNUMBER(INDEX(rMed,399))),INDEX(rMed,399),NA()))</f>
        <v>556140</v>
      </c>
    </row>
    <row r="402">
      <c r="BX402">
        <f>IF(OR(cMed=0,cMed2=0,400&gt;nFilas),NA(),IF(AND(ISNUMBER(INDEX(rMed2,400)),ISNUMBER(INDEX(rMed,400))),INDEX(rMed2,400),NA()))</f>
        <v>2</v>
      </c>
      <c r="BY402">
        <f>IF(OR(cMed=0,cMed2=0,400&gt;nFilas),NA(),IF(AND(ISNUMBER(INDEX(rMed2,400)),ISNUMBER(INDEX(rMed,400))),INDEX(rMed,400),NA()))</f>
        <v>220570</v>
      </c>
    </row>
    <row r="403">
      <c r="BX403">
        <f>IF(OR(cMed=0,cMed2=0,401&gt;nFilas),NA(),IF(AND(ISNUMBER(INDEX(rMed2,401)),ISNUMBER(INDEX(rMed,401))),INDEX(rMed2,401),NA()))</f>
        <v>4</v>
      </c>
      <c r="BY403">
        <f>IF(OR(cMed=0,cMed2=0,401&gt;nFilas),NA(),IF(AND(ISNUMBER(INDEX(rMed2,401)),ISNUMBER(INDEX(rMed,401))),INDEX(rMed,401),NA()))</f>
        <v>379500</v>
      </c>
    </row>
    <row r="404">
      <c r="BX404">
        <f>IF(OR(cMed=0,cMed2=0,402&gt;nFilas),NA(),IF(AND(ISNUMBER(INDEX(rMed2,402)),ISNUMBER(INDEX(rMed,402))),INDEX(rMed2,402),NA()))</f>
        <v>4</v>
      </c>
      <c r="BY404">
        <f>IF(OR(cMed=0,cMed2=0,402&gt;nFilas),NA(),IF(AND(ISNUMBER(INDEX(rMed2,402)),ISNUMBER(INDEX(rMed,402))),INDEX(rMed,402),NA()))</f>
        <v>3100800</v>
      </c>
    </row>
    <row r="405">
      <c r="BX405">
        <f>IF(OR(cMed=0,cMed2=0,403&gt;nFilas),NA(),IF(AND(ISNUMBER(INDEX(rMed2,403)),ISNUMBER(INDEX(rMed,403))),INDEX(rMed2,403),NA()))</f>
        <v>5</v>
      </c>
      <c r="BY405">
        <f>IF(OR(cMed=0,cMed2=0,403&gt;nFilas),NA(),IF(AND(ISNUMBER(INDEX(rMed2,403)),ISNUMBER(INDEX(rMed,403))),INDEX(rMed,403),NA()))</f>
        <v>380000</v>
      </c>
    </row>
    <row r="406">
      <c r="BX406">
        <f>IF(OR(cMed=0,cMed2=0,404&gt;nFilas),NA(),IF(AND(ISNUMBER(INDEX(rMed2,404)),ISNUMBER(INDEX(rMed,404))),INDEX(rMed2,404),NA()))</f>
        <v>4</v>
      </c>
      <c r="BY406">
        <f>IF(OR(cMed=0,cMed2=0,404&gt;nFilas),NA(),IF(AND(ISNUMBER(INDEX(rMed2,404)),ISNUMBER(INDEX(rMed,404))),INDEX(rMed,404),NA()))</f>
        <v>600800</v>
      </c>
    </row>
    <row r="407">
      <c r="BX407">
        <f>IF(OR(cMed=0,cMed2=0,405&gt;nFilas),NA(),IF(AND(ISNUMBER(INDEX(rMed2,405)),ISNUMBER(INDEX(rMed,405))),INDEX(rMed2,405),NA()))</f>
        <v>5</v>
      </c>
      <c r="BY407">
        <f>IF(OR(cMed=0,cMed2=0,405&gt;nFilas),NA(),IF(AND(ISNUMBER(INDEX(rMed2,405)),ISNUMBER(INDEX(rMed,405))),INDEX(rMed,405),NA()))</f>
        <v>1113000</v>
      </c>
    </row>
    <row r="408">
      <c r="BX408">
        <f>IF(OR(cMed=0,cMed2=0,406&gt;nFilas),NA(),IF(AND(ISNUMBER(INDEX(rMed2,406)),ISNUMBER(INDEX(rMed,406))),INDEX(rMed2,406),NA()))</f>
        <v>3</v>
      </c>
      <c r="BY408">
        <f>IF(OR(cMed=0,cMed2=0,406&gt;nFilas),NA(),IF(AND(ISNUMBER(INDEX(rMed2,406)),ISNUMBER(INDEX(rMed,406))),INDEX(rMed,406),NA()))</f>
        <v>645900</v>
      </c>
    </row>
    <row r="409">
      <c r="BX409">
        <f>IF(OR(cMed=0,cMed2=0,407&gt;nFilas),NA(),IF(AND(ISNUMBER(INDEX(rMed2,407)),ISNUMBER(INDEX(rMed,407))),INDEX(rMed2,407),NA()))</f>
        <v>1</v>
      </c>
      <c r="BY409">
        <f>IF(OR(cMed=0,cMed2=0,407&gt;nFilas),NA(),IF(AND(ISNUMBER(INDEX(rMed2,407)),ISNUMBER(INDEX(rMed,407))),INDEX(rMed,407),NA()))</f>
        <v>632200</v>
      </c>
    </row>
    <row r="410">
      <c r="BX410">
        <f>IF(OR(cMed=0,cMed2=0,408&gt;nFilas),NA(),IF(AND(ISNUMBER(INDEX(rMed2,408)),ISNUMBER(INDEX(rMed,408))),INDEX(rMed2,408),NA()))</f>
        <v>3</v>
      </c>
      <c r="BY410">
        <f>IF(OR(cMed=0,cMed2=0,408&gt;nFilas),NA(),IF(AND(ISNUMBER(INDEX(rMed2,408)),ISNUMBER(INDEX(rMed,408))),INDEX(rMed,408),NA()))</f>
        <v>532800</v>
      </c>
    </row>
    <row r="411">
      <c r="BX411">
        <f>IF(OR(cMed=0,cMed2=0,409&gt;nFilas),NA(),IF(AND(ISNUMBER(INDEX(rMed2,409)),ISNUMBER(INDEX(rMed,409))),INDEX(rMed2,409),NA()))</f>
        <v>3</v>
      </c>
      <c r="BY411">
        <f>IF(OR(cMed=0,cMed2=0,409&gt;nFilas),NA(),IF(AND(ISNUMBER(INDEX(rMed2,409)),ISNUMBER(INDEX(rMed,409))),INDEX(rMed,409),NA()))</f>
        <v>759600</v>
      </c>
    </row>
    <row r="412">
      <c r="BX412">
        <f>IF(OR(cMed=0,cMed2=0,410&gt;nFilas),NA(),IF(AND(ISNUMBER(INDEX(rMed2,410)),ISNUMBER(INDEX(rMed,410))),INDEX(rMed2,410),NA()))</f>
        <v>5</v>
      </c>
      <c r="BY412">
        <f>IF(OR(cMed=0,cMed2=0,410&gt;nFilas),NA(),IF(AND(ISNUMBER(INDEX(rMed2,410)),ISNUMBER(INDEX(rMed,410))),INDEX(rMed,410),NA()))</f>
        <v>433500</v>
      </c>
    </row>
    <row r="413">
      <c r="BX413">
        <f>IF(OR(cMed=0,cMed2=0,411&gt;nFilas),NA(),IF(AND(ISNUMBER(INDEX(rMed2,411)),ISNUMBER(INDEX(rMed,411))),INDEX(rMed2,411),NA()))</f>
        <v>3</v>
      </c>
      <c r="BY413">
        <f>IF(OR(cMed=0,cMed2=0,411&gt;nFilas),NA(),IF(AND(ISNUMBER(INDEX(rMed2,411)),ISNUMBER(INDEX(rMed,411))),INDEX(rMed,411),NA()))</f>
        <v>409800</v>
      </c>
    </row>
    <row r="414">
      <c r="BX414">
        <f>IF(OR(cMed=0,cMed2=0,412&gt;nFilas),NA(),IF(AND(ISNUMBER(INDEX(rMed2,412)),ISNUMBER(INDEX(rMed,412))),INDEX(rMed2,412),NA()))</f>
        <v>4</v>
      </c>
      <c r="BY414">
        <f>IF(OR(cMed=0,cMed2=0,412&gt;nFilas),NA(),IF(AND(ISNUMBER(INDEX(rMed2,412)),ISNUMBER(INDEX(rMed,412))),INDEX(rMed,412),NA()))</f>
        <v>739200</v>
      </c>
    </row>
    <row r="415">
      <c r="BX415">
        <f>IF(OR(cMed=0,cMed2=0,413&gt;nFilas),NA(),IF(AND(ISNUMBER(INDEX(rMed2,413)),ISNUMBER(INDEX(rMed,413))),INDEX(rMed2,413),NA()))</f>
        <v>2</v>
      </c>
      <c r="BY415">
        <f>IF(OR(cMed=0,cMed2=0,413&gt;nFilas),NA(),IF(AND(ISNUMBER(INDEX(rMed2,413)),ISNUMBER(INDEX(rMed,413))),INDEX(rMed,413),NA()))</f>
        <v>381200</v>
      </c>
    </row>
    <row r="416">
      <c r="BX416">
        <f>IF(OR(cMed=0,cMed2=0,414&gt;nFilas),NA(),IF(AND(ISNUMBER(INDEX(rMed2,414)),ISNUMBER(INDEX(rMed,414))),INDEX(rMed2,414),NA()))</f>
        <v>4</v>
      </c>
      <c r="BY416">
        <f>IF(OR(cMed=0,cMed2=0,414&gt;nFilas),NA(),IF(AND(ISNUMBER(INDEX(rMed2,414)),ISNUMBER(INDEX(rMed,414))),INDEX(rMed,414),NA()))</f>
        <v>1085200</v>
      </c>
    </row>
    <row r="417">
      <c r="BX417">
        <f>IF(OR(cMed=0,cMed2=0,415&gt;nFilas),NA(),IF(AND(ISNUMBER(INDEX(rMed2,415)),ISNUMBER(INDEX(rMed,415))),INDEX(rMed2,415),NA()))</f>
        <v>1</v>
      </c>
      <c r="BY417">
        <f>IF(OR(cMed=0,cMed2=0,415&gt;nFilas),NA(),IF(AND(ISNUMBER(INDEX(rMed2,415)),ISNUMBER(INDEX(rMed,415))),INDEX(rMed,415),NA()))</f>
        <v>112585</v>
      </c>
    </row>
    <row r="418">
      <c r="BX418">
        <f>IF(OR(cMed=0,cMed2=0,416&gt;nFilas),NA(),IF(AND(ISNUMBER(INDEX(rMed2,416)),ISNUMBER(INDEX(rMed,416))),INDEX(rMed2,416),NA()))</f>
        <v>4</v>
      </c>
      <c r="BY418">
        <f>IF(OR(cMed=0,cMed2=0,416&gt;nFilas),NA(),IF(AND(ISNUMBER(INDEX(rMed2,416)),ISNUMBER(INDEX(rMed,416))),INDEX(rMed,416),NA()))</f>
        <v>766360</v>
      </c>
    </row>
    <row r="419">
      <c r="BX419">
        <f>IF(OR(cMed=0,cMed2=0,417&gt;nFilas),NA(),IF(AND(ISNUMBER(INDEX(rMed2,417)),ISNUMBER(INDEX(rMed,417))),INDEX(rMed2,417),NA()))</f>
        <v>5</v>
      </c>
      <c r="BY419">
        <f>IF(OR(cMed=0,cMed2=0,417&gt;nFilas),NA(),IF(AND(ISNUMBER(INDEX(rMed2,417)),ISNUMBER(INDEX(rMed,417))),INDEX(rMed,417),NA()))</f>
        <v>377200</v>
      </c>
    </row>
    <row r="420">
      <c r="BX420">
        <f>IF(OR(cMed=0,cMed2=0,418&gt;nFilas),NA(),IF(AND(ISNUMBER(INDEX(rMed2,418)),ISNUMBER(INDEX(rMed,418))),INDEX(rMed2,418),NA()))</f>
        <v>4</v>
      </c>
      <c r="BY420">
        <f>IF(OR(cMed=0,cMed2=0,418&gt;nFilas),NA(),IF(AND(ISNUMBER(INDEX(rMed2,418)),ISNUMBER(INDEX(rMed,418))),INDEX(rMed,418),NA()))</f>
        <v>240580</v>
      </c>
    </row>
    <row r="421">
      <c r="BX421">
        <f>IF(OR(cMed=0,cMed2=0,419&gt;nFilas),NA(),IF(AND(ISNUMBER(INDEX(rMed2,419)),ISNUMBER(INDEX(rMed,419))),INDEX(rMed2,419),NA()))</f>
        <v>5</v>
      </c>
      <c r="BY421">
        <f>IF(OR(cMed=0,cMed2=0,419&gt;nFilas),NA(),IF(AND(ISNUMBER(INDEX(rMed2,419)),ISNUMBER(INDEX(rMed,419))),INDEX(rMed,419),NA()))</f>
        <v>3820875</v>
      </c>
    </row>
    <row r="422">
      <c r="BX422">
        <f>IF(OR(cMed=0,cMed2=0,420&gt;nFilas),NA(),IF(AND(ISNUMBER(INDEX(rMed2,420)),ISNUMBER(INDEX(rMed,420))),INDEX(rMed2,420),NA()))</f>
        <v>1</v>
      </c>
      <c r="BY422">
        <f>IF(OR(cMed=0,cMed2=0,420&gt;nFilas),NA(),IF(AND(ISNUMBER(INDEX(rMed2,420)),ISNUMBER(INDEX(rMed,420))),INDEX(rMed,420),NA()))</f>
        <v>162610</v>
      </c>
    </row>
    <row r="423">
      <c r="BX423">
        <f>IF(OR(cMed=0,cMed2=0,421&gt;nFilas),NA(),IF(AND(ISNUMBER(INDEX(rMed2,421)),ISNUMBER(INDEX(rMed,421))),INDEX(rMed2,421),NA()))</f>
        <v>4</v>
      </c>
      <c r="BY423">
        <f>IF(OR(cMed=0,cMed2=0,421&gt;nFilas),NA(),IF(AND(ISNUMBER(INDEX(rMed2,421)),ISNUMBER(INDEX(rMed,421))),INDEX(rMed,421),NA()))</f>
        <v>811440</v>
      </c>
    </row>
    <row r="424">
      <c r="BX424">
        <f>IF(OR(cMed=0,cMed2=0,422&gt;nFilas),NA(),IF(AND(ISNUMBER(INDEX(rMed2,422)),ISNUMBER(INDEX(rMed,422))),INDEX(rMed2,422),NA()))</f>
        <v>1</v>
      </c>
      <c r="BY424">
        <f>IF(OR(cMed=0,cMed2=0,422&gt;nFilas),NA(),IF(AND(ISNUMBER(INDEX(rMed2,422)),ISNUMBER(INDEX(rMed,422))),INDEX(rMed,422),NA()))</f>
        <v>226435</v>
      </c>
    </row>
    <row r="425">
      <c r="BX425">
        <f>IF(OR(cMed=0,cMed2=0,423&gt;nFilas),NA(),IF(AND(ISNUMBER(INDEX(rMed2,423)),ISNUMBER(INDEX(rMed,423))),INDEX(rMed2,423),NA()))</f>
        <v>3</v>
      </c>
      <c r="BY425">
        <f>IF(OR(cMed=0,cMed2=0,423&gt;nFilas),NA(),IF(AND(ISNUMBER(INDEX(rMed2,423)),ISNUMBER(INDEX(rMed,423))),INDEX(rMed,423),NA()))</f>
        <v>387435</v>
      </c>
    </row>
    <row r="426">
      <c r="BX426">
        <f>IF(OR(cMed=0,cMed2=0,424&gt;nFilas),NA(),IF(AND(ISNUMBER(INDEX(rMed2,424)),ISNUMBER(INDEX(rMed,424))),INDEX(rMed2,424),NA()))</f>
        <v>1</v>
      </c>
      <c r="BY426">
        <f>IF(OR(cMed=0,cMed2=0,424&gt;nFilas),NA(),IF(AND(ISNUMBER(INDEX(rMed2,424)),ISNUMBER(INDEX(rMed,424))),INDEX(rMed,424),NA()))</f>
        <v>102925</v>
      </c>
    </row>
    <row r="427">
      <c r="BX427">
        <f>IF(OR(cMed=0,cMed2=0,425&gt;nFilas),NA(),IF(AND(ISNUMBER(INDEX(rMed2,425)),ISNUMBER(INDEX(rMed,425))),INDEX(rMed2,425),NA()))</f>
        <v>5</v>
      </c>
      <c r="BY427">
        <f>IF(OR(cMed=0,cMed2=0,425&gt;nFilas),NA(),IF(AND(ISNUMBER(INDEX(rMed2,425)),ISNUMBER(INDEX(rMed,425))),INDEX(rMed,425),NA()))</f>
        <v>1026950</v>
      </c>
    </row>
    <row r="428">
      <c r="BX428">
        <f>IF(OR(cMed=0,cMed2=0,426&gt;nFilas),NA(),IF(AND(ISNUMBER(INDEX(rMed2,426)),ISNUMBER(INDEX(rMed,426))),INDEX(rMed2,426),NA()))</f>
        <v>1</v>
      </c>
      <c r="BY428">
        <f>IF(OR(cMed=0,cMed2=0,426&gt;nFilas),NA(),IF(AND(ISNUMBER(INDEX(rMed2,426)),ISNUMBER(INDEX(rMed,426))),INDEX(rMed,426),NA()))</f>
        <v>239085</v>
      </c>
    </row>
    <row r="429">
      <c r="BX429">
        <f>IF(OR(cMed=0,cMed2=0,427&gt;nFilas),NA(),IF(AND(ISNUMBER(INDEX(rMed2,427)),ISNUMBER(INDEX(rMed,427))),INDEX(rMed2,427),NA()))</f>
        <v>4</v>
      </c>
      <c r="BY429">
        <f>IF(OR(cMed=0,cMed2=0,427&gt;nFilas),NA(),IF(AND(ISNUMBER(INDEX(rMed2,427)),ISNUMBER(INDEX(rMed,427))),INDEX(rMed,427),NA()))</f>
        <v>416300</v>
      </c>
    </row>
    <row r="430">
      <c r="BX430">
        <f>IF(OR(cMed=0,cMed2=0,428&gt;nFilas),NA(),IF(AND(ISNUMBER(INDEX(rMed2,428)),ISNUMBER(INDEX(rMed,428))),INDEX(rMed2,428),NA()))</f>
        <v>2</v>
      </c>
      <c r="BY430">
        <f>IF(OR(cMed=0,cMed2=0,428&gt;nFilas),NA(),IF(AND(ISNUMBER(INDEX(rMed2,428)),ISNUMBER(INDEX(rMed,428))),INDEX(rMed,428),NA()))</f>
        <v>199640</v>
      </c>
    </row>
    <row r="431">
      <c r="BX431">
        <f>IF(OR(cMed=0,cMed2=0,429&gt;nFilas),NA(),IF(AND(ISNUMBER(INDEX(rMed2,429)),ISNUMBER(INDEX(rMed,429))),INDEX(rMed2,429),NA()))</f>
        <v>2</v>
      </c>
      <c r="BY431">
        <f>IF(OR(cMed=0,cMed2=0,429&gt;nFilas),NA(),IF(AND(ISNUMBER(INDEX(rMed2,429)),ISNUMBER(INDEX(rMed,429))),INDEX(rMed,429),NA()))</f>
        <v>261510</v>
      </c>
    </row>
    <row r="432">
      <c r="BX432">
        <f>IF(OR(cMed=0,cMed2=0,430&gt;nFilas),NA(),IF(AND(ISNUMBER(INDEX(rMed2,430)),ISNUMBER(INDEX(rMed,430))),INDEX(rMed2,430),NA()))</f>
        <v>3</v>
      </c>
      <c r="BY432">
        <f>IF(OR(cMed=0,cMed2=0,430&gt;nFilas),NA(),IF(AND(ISNUMBER(INDEX(rMed2,430)),ISNUMBER(INDEX(rMed,430))),INDEX(rMed,430),NA()))</f>
        <v>550965</v>
      </c>
    </row>
    <row r="433">
      <c r="BX433">
        <f>IF(OR(cMed=0,cMed2=0,431&gt;nFilas),NA(),IF(AND(ISNUMBER(INDEX(rMed2,431)),ISNUMBER(INDEX(rMed,431))),INDEX(rMed2,431),NA()))</f>
        <v>1</v>
      </c>
      <c r="BY433">
        <f>IF(OR(cMed=0,cMed2=0,431&gt;nFilas),NA(),IF(AND(ISNUMBER(INDEX(rMed2,431)),ISNUMBER(INDEX(rMed,431))),INDEX(rMed,431),NA()))</f>
        <v>73100</v>
      </c>
    </row>
    <row r="434">
      <c r="BX434">
        <f>IF(OR(cMed=0,cMed2=0,432&gt;nFilas),NA(),IF(AND(ISNUMBER(INDEX(rMed2,432)),ISNUMBER(INDEX(rMed,432))),INDEX(rMed2,432),NA()))</f>
        <v>3</v>
      </c>
      <c r="BY434">
        <f>IF(OR(cMed=0,cMed2=0,432&gt;nFilas),NA(),IF(AND(ISNUMBER(INDEX(rMed2,432)),ISNUMBER(INDEX(rMed,432))),INDEX(rMed,432),NA()))</f>
        <v>2488500</v>
      </c>
    </row>
    <row r="435">
      <c r="BX435">
        <f>IF(OR(cMed=0,cMed2=0,433&gt;nFilas),NA(),IF(AND(ISNUMBER(INDEX(rMed2,433)),ISNUMBER(INDEX(rMed,433))),INDEX(rMed2,433),NA()))</f>
        <v>2</v>
      </c>
      <c r="BY435">
        <f>IF(OR(cMed=0,cMed2=0,433&gt;nFilas),NA(),IF(AND(ISNUMBER(INDEX(rMed2,433)),ISNUMBER(INDEX(rMed,433))),INDEX(rMed,433),NA()))</f>
        <v>228200</v>
      </c>
    </row>
    <row r="436">
      <c r="BX436">
        <f>IF(OR(cMed=0,cMed2=0,434&gt;nFilas),NA(),IF(AND(ISNUMBER(INDEX(rMed2,434)),ISNUMBER(INDEX(rMed,434))),INDEX(rMed2,434),NA()))</f>
        <v>1</v>
      </c>
      <c r="BY436">
        <f>IF(OR(cMed=0,cMed2=0,434&gt;nFilas),NA(),IF(AND(ISNUMBER(INDEX(rMed2,434)),ISNUMBER(INDEX(rMed,434))),INDEX(rMed,434),NA()))</f>
        <v>109000</v>
      </c>
    </row>
    <row r="437">
      <c r="BX437">
        <f>IF(OR(cMed=0,cMed2=0,435&gt;nFilas),NA(),IF(AND(ISNUMBER(INDEX(rMed2,435)),ISNUMBER(INDEX(rMed,435))),INDEX(rMed2,435),NA()))</f>
        <v>4</v>
      </c>
      <c r="BY437">
        <f>IF(OR(cMed=0,cMed2=0,435&gt;nFilas),NA(),IF(AND(ISNUMBER(INDEX(rMed2,435)),ISNUMBER(INDEX(rMed,435))),INDEX(rMed,435),NA()))</f>
        <v>3066800</v>
      </c>
    </row>
    <row r="438">
      <c r="BX438">
        <f>IF(OR(cMed=0,cMed2=0,436&gt;nFilas),NA(),IF(AND(ISNUMBER(INDEX(rMed2,436)),ISNUMBER(INDEX(rMed,436))),INDEX(rMed2,436),NA()))</f>
        <v>1</v>
      </c>
      <c r="BY438">
        <f>IF(OR(cMed=0,cMed2=0,436&gt;nFilas),NA(),IF(AND(ISNUMBER(INDEX(rMed2,436)),ISNUMBER(INDEX(rMed,436))),INDEX(rMed,436),NA()))</f>
        <v>114000</v>
      </c>
    </row>
    <row r="439">
      <c r="BX439">
        <f>IF(OR(cMed=0,cMed2=0,437&gt;nFilas),NA(),IF(AND(ISNUMBER(INDEX(rMed2,437)),ISNUMBER(INDEX(rMed,437))),INDEX(rMed2,437),NA()))</f>
        <v>3</v>
      </c>
      <c r="BY439">
        <f>IF(OR(cMed=0,cMed2=0,437&gt;nFilas),NA(),IF(AND(ISNUMBER(INDEX(rMed2,437)),ISNUMBER(INDEX(rMed,437))),INDEX(rMed,437),NA()))</f>
        <v>251400</v>
      </c>
    </row>
    <row r="440">
      <c r="BX440">
        <f>IF(OR(cMed=0,cMed2=0,438&gt;nFilas),NA(),IF(AND(ISNUMBER(INDEX(rMed2,438)),ISNUMBER(INDEX(rMed,438))),INDEX(rMed2,438),NA()))</f>
        <v>4</v>
      </c>
      <c r="BY440">
        <f>IF(OR(cMed=0,cMed2=0,438&gt;nFilas),NA(),IF(AND(ISNUMBER(INDEX(rMed2,438)),ISNUMBER(INDEX(rMed,438))),INDEX(rMed,438),NA()))</f>
        <v>2652800</v>
      </c>
    </row>
    <row r="441">
      <c r="BX441">
        <f>IF(OR(cMed=0,cMed2=0,439&gt;nFilas),NA(),IF(AND(ISNUMBER(INDEX(rMed2,439)),ISNUMBER(INDEX(rMed,439))),INDEX(rMed2,439),NA()))</f>
        <v>1</v>
      </c>
      <c r="BY441">
        <f>IF(OR(cMed=0,cMed2=0,439&gt;nFilas),NA(),IF(AND(ISNUMBER(INDEX(rMed2,439)),ISNUMBER(INDEX(rMed,439))),INDEX(rMed,439),NA()))</f>
        <v>243900</v>
      </c>
    </row>
    <row r="442">
      <c r="BX442">
        <f>IF(OR(cMed=0,cMed2=0,440&gt;nFilas),NA(),IF(AND(ISNUMBER(INDEX(rMed2,440)),ISNUMBER(INDEX(rMed,440))),INDEX(rMed2,440),NA()))</f>
        <v>5</v>
      </c>
      <c r="BY442">
        <f>IF(OR(cMed=0,cMed2=0,440&gt;nFilas),NA(),IF(AND(ISNUMBER(INDEX(rMed2,440)),ISNUMBER(INDEX(rMed,440))),INDEX(rMed,440),NA()))</f>
        <v>267000</v>
      </c>
    </row>
    <row r="443">
      <c r="BX443">
        <f>IF(OR(cMed=0,cMed2=0,441&gt;nFilas),NA(),IF(AND(ISNUMBER(INDEX(rMed2,441)),ISNUMBER(INDEX(rMed,441))),INDEX(rMed2,441),NA()))</f>
        <v>3</v>
      </c>
      <c r="BY443">
        <f>IF(OR(cMed=0,cMed2=0,441&gt;nFilas),NA(),IF(AND(ISNUMBER(INDEX(rMed2,441)),ISNUMBER(INDEX(rMed,441))),INDEX(rMed,441),NA()))</f>
        <v>749400</v>
      </c>
    </row>
    <row r="444">
      <c r="BX444">
        <f>IF(OR(cMed=0,cMed2=0,442&gt;nFilas),NA(),IF(AND(ISNUMBER(INDEX(rMed2,442)),ISNUMBER(INDEX(rMed,442))),INDEX(rMed2,442),NA()))</f>
        <v>5</v>
      </c>
      <c r="BY444">
        <f>IF(OR(cMed=0,cMed2=0,442&gt;nFilas),NA(),IF(AND(ISNUMBER(INDEX(rMed2,442)),ISNUMBER(INDEX(rMed,442))),INDEX(rMed,442),NA()))</f>
        <v>814000</v>
      </c>
    </row>
    <row r="445">
      <c r="BX445">
        <f>IF(OR(cMed=0,cMed2=0,443&gt;nFilas),NA(),IF(AND(ISNUMBER(INDEX(rMed2,443)),ISNUMBER(INDEX(rMed,443))),INDEX(rMed2,443),NA()))</f>
        <v>5</v>
      </c>
      <c r="BY445">
        <f>IF(OR(cMed=0,cMed2=0,443&gt;nFilas),NA(),IF(AND(ISNUMBER(INDEX(rMed2,443)),ISNUMBER(INDEX(rMed,443))),INDEX(rMed,443),NA()))</f>
        <v>635500</v>
      </c>
    </row>
    <row r="446">
      <c r="BX446">
        <f>IF(OR(cMed=0,cMed2=0,444&gt;nFilas),NA(),IF(AND(ISNUMBER(INDEX(rMed2,444)),ISNUMBER(INDEX(rMed,444))),INDEX(rMed2,444),NA()))</f>
        <v>1</v>
      </c>
      <c r="BY446">
        <f>IF(OR(cMed=0,cMed2=0,444&gt;nFilas),NA(),IF(AND(ISNUMBER(INDEX(rMed2,444)),ISNUMBER(INDEX(rMed,444))),INDEX(rMed,444),NA()))</f>
        <v>147400</v>
      </c>
    </row>
    <row r="447">
      <c r="BX447">
        <f>IF(OR(cMed=0,cMed2=0,445&gt;nFilas),NA(),IF(AND(ISNUMBER(INDEX(rMed2,445)),ISNUMBER(INDEX(rMed,445))),INDEX(rMed2,445),NA()))</f>
        <v>5</v>
      </c>
      <c r="BY447">
        <f>IF(OR(cMed=0,cMed2=0,445&gt;nFilas),NA(),IF(AND(ISNUMBER(INDEX(rMed2,445)),ISNUMBER(INDEX(rMed,445))),INDEX(rMed,445),NA()))</f>
        <v>849850</v>
      </c>
    </row>
    <row r="448">
      <c r="BX448">
        <f>IF(OR(cMed=0,cMed2=0,446&gt;nFilas),NA(),IF(AND(ISNUMBER(INDEX(rMed2,446)),ISNUMBER(INDEX(rMed,446))),INDEX(rMed2,446),NA()))</f>
        <v>5</v>
      </c>
      <c r="BY448">
        <f>IF(OR(cMed=0,cMed2=0,446&gt;nFilas),NA(),IF(AND(ISNUMBER(INDEX(rMed2,446)),ISNUMBER(INDEX(rMed,446))),INDEX(rMed,446),NA()))</f>
        <v>835475</v>
      </c>
    </row>
    <row r="449">
      <c r="BX449">
        <f>IF(OR(cMed=0,cMed2=0,447&gt;nFilas),NA(),IF(AND(ISNUMBER(INDEX(rMed2,447)),ISNUMBER(INDEX(rMed,447))),INDEX(rMed2,447),NA()))</f>
        <v>3</v>
      </c>
      <c r="BY449">
        <f>IF(OR(cMed=0,cMed2=0,447&gt;nFilas),NA(),IF(AND(ISNUMBER(INDEX(rMed2,447)),ISNUMBER(INDEX(rMed,447))),INDEX(rMed,447),NA()))</f>
        <v>284280</v>
      </c>
    </row>
    <row r="450">
      <c r="BX450">
        <f>IF(OR(cMed=0,cMed2=0,448&gt;nFilas),NA(),IF(AND(ISNUMBER(INDEX(rMed2,448)),ISNUMBER(INDEX(rMed,448))),INDEX(rMed2,448),NA()))</f>
        <v>2</v>
      </c>
      <c r="BY450">
        <f>IF(OR(cMed=0,cMed2=0,448&gt;nFilas),NA(),IF(AND(ISNUMBER(INDEX(rMed2,448)),ISNUMBER(INDEX(rMed,448))),INDEX(rMed,448),NA()))</f>
        <v>149730</v>
      </c>
    </row>
    <row r="451">
      <c r="BX451">
        <f>IF(OR(cMed=0,cMed2=0,449&gt;nFilas),NA(),IF(AND(ISNUMBER(INDEX(rMed2,449)),ISNUMBER(INDEX(rMed,449))),INDEX(rMed2,449),NA()))</f>
        <v>4</v>
      </c>
      <c r="BY451">
        <f>IF(OR(cMed=0,cMed2=0,449&gt;nFilas),NA(),IF(AND(ISNUMBER(INDEX(rMed2,449)),ISNUMBER(INDEX(rMed,449))),INDEX(rMed,449),NA()))</f>
        <v>678960</v>
      </c>
    </row>
    <row r="452">
      <c r="BX452">
        <f>IF(OR(cMed=0,cMed2=0,450&gt;nFilas),NA(),IF(AND(ISNUMBER(INDEX(rMed2,450)),ISNUMBER(INDEX(rMed,450))),INDEX(rMed2,450),NA()))</f>
        <v>3</v>
      </c>
      <c r="BY452">
        <f>IF(OR(cMed=0,cMed2=0,450&gt;nFilas),NA(),IF(AND(ISNUMBER(INDEX(rMed2,450)),ISNUMBER(INDEX(rMed,450))),INDEX(rMed,450),NA()))</f>
        <v>3333045</v>
      </c>
    </row>
    <row r="453">
      <c r="BX453">
        <f>IF(OR(cMed=0,cMed2=0,451&gt;nFilas),NA(),IF(AND(ISNUMBER(INDEX(rMed2,451)),ISNUMBER(INDEX(rMed,451))),INDEX(rMed2,451),NA()))</f>
        <v>2</v>
      </c>
      <c r="BY453">
        <f>IF(OR(cMed=0,cMed2=0,451&gt;nFilas),NA(),IF(AND(ISNUMBER(INDEX(rMed2,451)),ISNUMBER(INDEX(rMed,451))),INDEX(rMed,451),NA()))</f>
        <v>1838620</v>
      </c>
    </row>
    <row r="454">
      <c r="BX454">
        <f>IF(OR(cMed=0,cMed2=0,452&gt;nFilas),NA(),IF(AND(ISNUMBER(INDEX(rMed2,452)),ISNUMBER(INDEX(rMed,452))),INDEX(rMed2,452),NA()))</f>
        <v>5</v>
      </c>
      <c r="BY454">
        <f>IF(OR(cMed=0,cMed2=0,452&gt;nFilas),NA(),IF(AND(ISNUMBER(INDEX(rMed2,452)),ISNUMBER(INDEX(rMed,452))),INDEX(rMed,452),NA()))</f>
        <v>1282250</v>
      </c>
    </row>
    <row r="455">
      <c r="BX455">
        <f>IF(OR(cMed=0,cMed2=0,453&gt;nFilas),NA(),IF(AND(ISNUMBER(INDEX(rMed2,453)),ISNUMBER(INDEX(rMed,453))),INDEX(rMed2,453),NA()))</f>
        <v>2</v>
      </c>
      <c r="BY455">
        <f>IF(OR(cMed=0,cMed2=0,453&gt;nFilas),NA(),IF(AND(ISNUMBER(INDEX(rMed2,453)),ISNUMBER(INDEX(rMed,453))),INDEX(rMed,453),NA()))</f>
        <v>2479400</v>
      </c>
    </row>
    <row r="456">
      <c r="BX456">
        <f>IF(OR(cMed=0,cMed2=0,454&gt;nFilas),NA(),IF(AND(ISNUMBER(INDEX(rMed2,454)),ISNUMBER(INDEX(rMed,454))),INDEX(rMed2,454),NA()))</f>
        <v>4</v>
      </c>
      <c r="BY456">
        <f>IF(OR(cMed=0,cMed2=0,454&gt;nFilas),NA(),IF(AND(ISNUMBER(INDEX(rMed2,454)),ISNUMBER(INDEX(rMed,454))),INDEX(rMed,454),NA()))</f>
        <v>969680</v>
      </c>
    </row>
    <row r="457">
      <c r="BX457">
        <f>IF(OR(cMed=0,cMed2=0,455&gt;nFilas),NA(),IF(AND(ISNUMBER(INDEX(rMed2,455)),ISNUMBER(INDEX(rMed,455))),INDEX(rMed2,455),NA()))</f>
        <v>5</v>
      </c>
      <c r="BY457">
        <f>IF(OR(cMed=0,cMed2=0,455&gt;nFilas),NA(),IF(AND(ISNUMBER(INDEX(rMed2,455)),ISNUMBER(INDEX(rMed,455))),INDEX(rMed,455),NA()))</f>
        <v>5737925</v>
      </c>
    </row>
    <row r="458">
      <c r="BX458">
        <f>IF(OR(cMed=0,cMed2=0,456&gt;nFilas),NA(),IF(AND(ISNUMBER(INDEX(rMed2,456)),ISNUMBER(INDEX(rMed,456))),INDEX(rMed2,456),NA()))</f>
        <v>5</v>
      </c>
      <c r="BY458">
        <f>IF(OR(cMed=0,cMed2=0,456&gt;nFilas),NA(),IF(AND(ISNUMBER(INDEX(rMed2,456)),ISNUMBER(INDEX(rMed,456))),INDEX(rMed,456),NA()))</f>
        <v>561775</v>
      </c>
    </row>
    <row r="459">
      <c r="BX459">
        <f>IF(OR(cMed=0,cMed2=0,457&gt;nFilas),NA(),IF(AND(ISNUMBER(INDEX(rMed2,457)),ISNUMBER(INDEX(rMed,457))),INDEX(rMed2,457),NA()))</f>
        <v>4</v>
      </c>
      <c r="BY459">
        <f>IF(OR(cMed=0,cMed2=0,457&gt;nFilas),NA(),IF(AND(ISNUMBER(INDEX(rMed2,457)),ISNUMBER(INDEX(rMed,457))),INDEX(rMed,457),NA()))</f>
        <v>3749460</v>
      </c>
    </row>
    <row r="460">
      <c r="BX460">
        <f>IF(OR(cMed=0,cMed2=0,458&gt;nFilas),NA(),IF(AND(ISNUMBER(INDEX(rMed2,458)),ISNUMBER(INDEX(rMed,458))),INDEX(rMed2,458),NA()))</f>
        <v>1</v>
      </c>
      <c r="BY460">
        <f>IF(OR(cMed=0,cMed2=0,458&gt;nFilas),NA(),IF(AND(ISNUMBER(INDEX(rMed2,458)),ISNUMBER(INDEX(rMed,458))),INDEX(rMed,458),NA()))</f>
        <v>77395</v>
      </c>
    </row>
    <row r="461">
      <c r="BX461">
        <f>IF(OR(cMed=0,cMed2=0,459&gt;nFilas),NA(),IF(AND(ISNUMBER(INDEX(rMed2,459)),ISNUMBER(INDEX(rMed,459))),INDEX(rMed2,459),NA()))</f>
        <v>1</v>
      </c>
      <c r="BY461">
        <f>IF(OR(cMed=0,cMed2=0,459&gt;nFilas),NA(),IF(AND(ISNUMBER(INDEX(rMed2,459)),ISNUMBER(INDEX(rMed,459))),INDEX(rMed,459),NA()))</f>
        <v>219075</v>
      </c>
    </row>
    <row r="462">
      <c r="BX462">
        <f>IF(OR(cMed=0,cMed2=0,460&gt;nFilas),NA(),IF(AND(ISNUMBER(INDEX(rMed2,460)),ISNUMBER(INDEX(rMed,460))),INDEX(rMed2,460),NA()))</f>
        <v>2</v>
      </c>
      <c r="BY462">
        <f>IF(OR(cMed=0,cMed2=0,460&gt;nFilas),NA(),IF(AND(ISNUMBER(INDEX(rMed2,460)),ISNUMBER(INDEX(rMed,460))),INDEX(rMed,460),NA()))</f>
        <v>1765000</v>
      </c>
    </row>
    <row r="463">
      <c r="BX463">
        <f>IF(OR(cMed=0,cMed2=0,461&gt;nFilas),NA(),IF(AND(ISNUMBER(INDEX(rMed2,461)),ISNUMBER(INDEX(rMed,461))),INDEX(rMed2,461),NA()))</f>
        <v>5</v>
      </c>
      <c r="BY463">
        <f>IF(OR(cMed=0,cMed2=0,461&gt;nFilas),NA(),IF(AND(ISNUMBER(INDEX(rMed2,461)),ISNUMBER(INDEX(rMed,461))),INDEX(rMed,461),NA()))</f>
        <v>3484000</v>
      </c>
    </row>
    <row r="464">
      <c r="BX464">
        <f>IF(OR(cMed=0,cMed2=0,462&gt;nFilas),NA(),IF(AND(ISNUMBER(INDEX(rMed2,462)),ISNUMBER(INDEX(rMed,462))),INDEX(rMed2,462),NA()))</f>
        <v>1</v>
      </c>
      <c r="BY464">
        <f>IF(OR(cMed=0,cMed2=0,462&gt;nFilas),NA(),IF(AND(ISNUMBER(INDEX(rMed2,462)),ISNUMBER(INDEX(rMed,462))),INDEX(rMed,462),NA()))</f>
        <v>82800</v>
      </c>
    </row>
    <row r="465">
      <c r="BX465">
        <f>IF(OR(cMed=0,cMed2=0,463&gt;nFilas),NA(),IF(AND(ISNUMBER(INDEX(rMed2,463)),ISNUMBER(INDEX(rMed,463))),INDEX(rMed2,463),NA()))</f>
        <v>5</v>
      </c>
      <c r="BY465">
        <f>IF(OR(cMed=0,cMed2=0,463&gt;nFilas),NA(),IF(AND(ISNUMBER(INDEX(rMed2,463)),ISNUMBER(INDEX(rMed,463))),INDEX(rMed,463),NA()))</f>
        <v>594500</v>
      </c>
    </row>
    <row r="466">
      <c r="BX466">
        <f>IF(OR(cMed=0,cMed2=0,464&gt;nFilas),NA(),IF(AND(ISNUMBER(INDEX(rMed2,464)),ISNUMBER(INDEX(rMed,464))),INDEX(rMed2,464),NA()))</f>
        <v>1</v>
      </c>
      <c r="BY466">
        <f>IF(OR(cMed=0,cMed2=0,464&gt;nFilas),NA(),IF(AND(ISNUMBER(INDEX(rMed2,464)),ISNUMBER(INDEX(rMed,464))),INDEX(rMed,464),NA()))</f>
        <v>55500</v>
      </c>
    </row>
    <row r="467">
      <c r="BX467">
        <f>IF(OR(cMed=0,cMed2=0,465&gt;nFilas),NA(),IF(AND(ISNUMBER(INDEX(rMed2,465)),ISNUMBER(INDEX(rMed,465))),INDEX(rMed2,465),NA()))</f>
        <v>2</v>
      </c>
      <c r="BY467">
        <f>IF(OR(cMed=0,cMed2=0,465&gt;nFilas),NA(),IF(AND(ISNUMBER(INDEX(rMed2,465)),ISNUMBER(INDEX(rMed,465))),INDEX(rMed,465),NA()))</f>
        <v>183200</v>
      </c>
    </row>
    <row r="468">
      <c r="BX468">
        <f>IF(OR(cMed=0,cMed2=0,466&gt;nFilas),NA(),IF(AND(ISNUMBER(INDEX(rMed2,466)),ISNUMBER(INDEX(rMed,466))),INDEX(rMed2,466),NA()))</f>
        <v>3</v>
      </c>
      <c r="BY468">
        <f>IF(OR(cMed=0,cMed2=0,466&gt;nFilas),NA(),IF(AND(ISNUMBER(INDEX(rMed2,466)),ISNUMBER(INDEX(rMed,466))),INDEX(rMed,466),NA()))</f>
        <v>373800</v>
      </c>
    </row>
    <row r="469">
      <c r="BX469">
        <f>IF(OR(cMed=0,cMed2=0,467&gt;nFilas),NA(),IF(AND(ISNUMBER(INDEX(rMed2,467)),ISNUMBER(INDEX(rMed,467))),INDEX(rMed2,467),NA()))</f>
        <v>3</v>
      </c>
      <c r="BY469">
        <f>IF(OR(cMed=0,cMed2=0,467&gt;nFilas),NA(),IF(AND(ISNUMBER(INDEX(rMed2,467)),ISNUMBER(INDEX(rMed,467))),INDEX(rMed,467),NA()))</f>
        <v>494100</v>
      </c>
    </row>
    <row r="470">
      <c r="BX470">
        <f>IF(OR(cMed=0,cMed2=0,468&gt;nFilas),NA(),IF(AND(ISNUMBER(INDEX(rMed2,468)),ISNUMBER(INDEX(rMed,468))),INDEX(rMed2,468),NA()))</f>
        <v>1</v>
      </c>
      <c r="BY470">
        <f>IF(OR(cMed=0,cMed2=0,468&gt;nFilas),NA(),IF(AND(ISNUMBER(INDEX(rMed2,468)),ISNUMBER(INDEX(rMed,468))),INDEX(rMed,468),NA()))</f>
        <v>856100</v>
      </c>
    </row>
    <row r="471">
      <c r="BX471">
        <f>IF(OR(cMed=0,cMed2=0,469&gt;nFilas),NA(),IF(AND(ISNUMBER(INDEX(rMed2,469)),ISNUMBER(INDEX(rMed,469))),INDEX(rMed2,469),NA()))</f>
        <v>2</v>
      </c>
      <c r="BY471">
        <f>IF(OR(cMed=0,cMed2=0,469&gt;nFilas),NA(),IF(AND(ISNUMBER(INDEX(rMed2,469)),ISNUMBER(INDEX(rMed,469))),INDEX(rMed,469),NA()))</f>
        <v>330200</v>
      </c>
    </row>
    <row r="472">
      <c r="BX472">
        <f>IF(OR(cMed=0,cMed2=0,470&gt;nFilas),NA(),IF(AND(ISNUMBER(INDEX(rMed2,470)),ISNUMBER(INDEX(rMed,470))),INDEX(rMed2,470),NA()))</f>
        <v>2</v>
      </c>
      <c r="BY472">
        <f>IF(OR(cMed=0,cMed2=0,470&gt;nFilas),NA(),IF(AND(ISNUMBER(INDEX(rMed2,470)),ISNUMBER(INDEX(rMed,470))),INDEX(rMed,470),NA()))</f>
        <v>2090400</v>
      </c>
    </row>
    <row r="473">
      <c r="BX473">
        <f>IF(OR(cMed=0,cMed2=0,471&gt;nFilas),NA(),IF(AND(ISNUMBER(INDEX(rMed2,471)),ISNUMBER(INDEX(rMed,471))),INDEX(rMed2,471),NA()))</f>
        <v>2</v>
      </c>
      <c r="BY473">
        <f>IF(OR(cMed=0,cMed2=0,471&gt;nFilas),NA(),IF(AND(ISNUMBER(INDEX(rMed2,471)),ISNUMBER(INDEX(rMed,471))),INDEX(rMed,471),NA()))</f>
        <v>134400</v>
      </c>
    </row>
    <row r="474">
      <c r="BX474">
        <f>IF(OR(cMed=0,cMed2=0,472&gt;nFilas),NA(),IF(AND(ISNUMBER(INDEX(rMed2,472)),ISNUMBER(INDEX(rMed,472))),INDEX(rMed2,472),NA()))</f>
        <v>2</v>
      </c>
      <c r="BY474">
        <f>IF(OR(cMed=0,cMed2=0,472&gt;nFilas),NA(),IF(AND(ISNUMBER(INDEX(rMed2,472)),ISNUMBER(INDEX(rMed,472))),INDEX(rMed,472),NA()))</f>
        <v>461400</v>
      </c>
    </row>
    <row r="475">
      <c r="BX475">
        <f>IF(OR(cMed=0,cMed2=0,473&gt;nFilas),NA(),IF(AND(ISNUMBER(INDEX(rMed2,473)),ISNUMBER(INDEX(rMed,473))),INDEX(rMed2,473),NA()))</f>
        <v>4</v>
      </c>
      <c r="BY475">
        <f>IF(OR(cMed=0,cMed2=0,473&gt;nFilas),NA(),IF(AND(ISNUMBER(INDEX(rMed2,473)),ISNUMBER(INDEX(rMed,473))),INDEX(rMed,473),NA()))</f>
        <v>3886400</v>
      </c>
    </row>
    <row r="476">
      <c r="BX476">
        <f>IF(OR(cMed=0,cMed2=0,474&gt;nFilas),NA(),IF(AND(ISNUMBER(INDEX(rMed2,474)),ISNUMBER(INDEX(rMed,474))),INDEX(rMed2,474),NA()))</f>
        <v>5</v>
      </c>
      <c r="BY476">
        <f>IF(OR(cMed=0,cMed2=0,474&gt;nFilas),NA(),IF(AND(ISNUMBER(INDEX(rMed2,474)),ISNUMBER(INDEX(rMed,474))),INDEX(rMed,474),NA()))</f>
        <v>638000</v>
      </c>
    </row>
    <row r="477">
      <c r="BX477">
        <f>IF(OR(cMed=0,cMed2=0,475&gt;nFilas),NA(),IF(AND(ISNUMBER(INDEX(rMed2,475)),ISNUMBER(INDEX(rMed,475))),INDEX(rMed2,475),NA()))</f>
        <v>1</v>
      </c>
      <c r="BY477">
        <f>IF(OR(cMed=0,cMed2=0,475&gt;nFilas),NA(),IF(AND(ISNUMBER(INDEX(rMed2,475)),ISNUMBER(INDEX(rMed,475))),INDEX(rMed,475),NA()))</f>
        <v>74700</v>
      </c>
    </row>
    <row r="478">
      <c r="BX478">
        <f>IF(OR(cMed=0,cMed2=0,476&gt;nFilas),NA(),IF(AND(ISNUMBER(INDEX(rMed2,476)),ISNUMBER(INDEX(rMed,476))),INDEX(rMed2,476),NA()))</f>
        <v>2</v>
      </c>
      <c r="BY478">
        <f>IF(OR(cMed=0,cMed2=0,476&gt;nFilas),NA(),IF(AND(ISNUMBER(INDEX(rMed2,476)),ISNUMBER(INDEX(rMed,476))),INDEX(rMed,476),NA()))</f>
        <v>364090</v>
      </c>
    </row>
    <row r="479">
      <c r="BX479">
        <f>IF(OR(cMed=0,cMed2=0,477&gt;nFilas),NA(),IF(AND(ISNUMBER(INDEX(rMed2,477)),ISNUMBER(INDEX(rMed,477))),INDEX(rMed2,477),NA()))</f>
        <v>4</v>
      </c>
      <c r="BY479">
        <f>IF(OR(cMed=0,cMed2=0,477&gt;nFilas),NA(),IF(AND(ISNUMBER(INDEX(rMed2,477)),ISNUMBER(INDEX(rMed,477))),INDEX(rMed,477),NA()))</f>
        <v>1138500</v>
      </c>
    </row>
    <row r="480">
      <c r="BX480">
        <f>IF(OR(cMed=0,cMed2=0,478&gt;nFilas),NA(),IF(AND(ISNUMBER(INDEX(rMed2,478)),ISNUMBER(INDEX(rMed,478))),INDEX(rMed2,478),NA()))</f>
        <v>1</v>
      </c>
      <c r="BY480">
        <f>IF(OR(cMed=0,cMed2=0,478&gt;nFilas),NA(),IF(AND(ISNUMBER(INDEX(rMed2,478)),ISNUMBER(INDEX(rMed,478))),INDEX(rMed,478),NA()))</f>
        <v>170775</v>
      </c>
    </row>
    <row r="481">
      <c r="BX481">
        <f>IF(OR(cMed=0,cMed2=0,479&gt;nFilas),NA(),IF(AND(ISNUMBER(INDEX(rMed2,479)),ISNUMBER(INDEX(rMed,479))),INDEX(rMed2,479),NA()))</f>
        <v>1</v>
      </c>
      <c r="BY481">
        <f>IF(OR(cMed=0,cMed2=0,479&gt;nFilas),NA(),IF(AND(ISNUMBER(INDEX(rMed2,479)),ISNUMBER(INDEX(rMed,479))),INDEX(rMed,479),NA()))</f>
        <v>85790</v>
      </c>
    </row>
    <row r="482">
      <c r="BX482">
        <f>IF(OR(cMed=0,cMed2=0,480&gt;nFilas),NA(),IF(AND(ISNUMBER(INDEX(rMed2,480)),ISNUMBER(INDEX(rMed,480))),INDEX(rMed2,480),NA()))</f>
        <v>3</v>
      </c>
      <c r="BY482">
        <f>IF(OR(cMed=0,cMed2=0,480&gt;nFilas),NA(),IF(AND(ISNUMBER(INDEX(rMed2,480)),ISNUMBER(INDEX(rMed,480))),INDEX(rMed,480),NA()))</f>
        <v>219420</v>
      </c>
    </row>
    <row r="483">
      <c r="BX483">
        <f>IF(OR(cMed=0,cMed2=0,481&gt;nFilas),NA(),IF(AND(ISNUMBER(INDEX(rMed2,481)),ISNUMBER(INDEX(rMed,481))),INDEX(rMed2,481),NA()))</f>
        <v>5</v>
      </c>
      <c r="BY483">
        <f>IF(OR(cMed=0,cMed2=0,481&gt;nFilas),NA(),IF(AND(ISNUMBER(INDEX(rMed2,481)),ISNUMBER(INDEX(rMed,481))),INDEX(rMed,481),NA()))</f>
        <v>484725</v>
      </c>
    </row>
    <row r="484">
      <c r="BX484">
        <f>IF(OR(cMed=0,cMed2=0,482&gt;nFilas),NA(),IF(AND(ISNUMBER(INDEX(rMed2,482)),ISNUMBER(INDEX(rMed,482))),INDEX(rMed2,482),NA()))</f>
        <v>2</v>
      </c>
      <c r="BY484">
        <f>IF(OR(cMed=0,cMed2=0,482&gt;nFilas),NA(),IF(AND(ISNUMBER(INDEX(rMed2,482)),ISNUMBER(INDEX(rMed,482))),INDEX(rMed,482),NA()))</f>
        <v>292100</v>
      </c>
    </row>
    <row r="485">
      <c r="BX485">
        <f>IF(OR(cMed=0,cMed2=0,483&gt;nFilas),NA(),IF(AND(ISNUMBER(INDEX(rMed2,483)),ISNUMBER(INDEX(rMed,483))),INDEX(rMed2,483),NA()))</f>
        <v>5</v>
      </c>
      <c r="BY485">
        <f>IF(OR(cMed=0,cMed2=0,483&gt;nFilas),NA(),IF(AND(ISNUMBER(INDEX(rMed2,483)),ISNUMBER(INDEX(rMed,483))),INDEX(rMed,483),NA()))</f>
        <v>1095950</v>
      </c>
    </row>
    <row r="486">
      <c r="BX486">
        <f>IF(OR(cMed=0,cMed2=0,484&gt;nFilas),NA(),IF(AND(ISNUMBER(INDEX(rMed2,484)),ISNUMBER(INDEX(rMed,484))),INDEX(rMed2,484),NA()))</f>
        <v>4</v>
      </c>
      <c r="BY486">
        <f>IF(OR(cMed=0,cMed2=0,484&gt;nFilas),NA(),IF(AND(ISNUMBER(INDEX(rMed2,484)),ISNUMBER(INDEX(rMed,484))),INDEX(rMed,484),NA()))</f>
        <v>983940</v>
      </c>
    </row>
    <row r="487">
      <c r="BX487">
        <f>IF(OR(cMed=0,cMed2=0,485&gt;nFilas),NA(),IF(AND(ISNUMBER(INDEX(rMed2,485)),ISNUMBER(INDEX(rMed,485))),INDEX(rMed2,485),NA()))</f>
        <v>5</v>
      </c>
      <c r="BY487">
        <f>IF(OR(cMed=0,cMed2=0,485&gt;nFilas),NA(),IF(AND(ISNUMBER(INDEX(rMed2,485)),ISNUMBER(INDEX(rMed,485))),INDEX(rMed,485),NA()))</f>
        <v>1565725</v>
      </c>
    </row>
    <row r="488">
      <c r="BX488">
        <f>IF(OR(cMed=0,cMed2=0,486&gt;nFilas),NA(),IF(AND(ISNUMBER(INDEX(rMed2,486)),ISNUMBER(INDEX(rMed,486))),INDEX(rMed2,486),NA()))</f>
        <v>1</v>
      </c>
      <c r="BY488">
        <f>IF(OR(cMed=0,cMed2=0,486&gt;nFilas),NA(),IF(AND(ISNUMBER(INDEX(rMed2,486)),ISNUMBER(INDEX(rMed,486))),INDEX(rMed,486),NA()))</f>
        <v>173765</v>
      </c>
    </row>
    <row r="489">
      <c r="BX489">
        <f>IF(OR(cMed=0,cMed2=0,487&gt;nFilas),NA(),IF(AND(ISNUMBER(INDEX(rMed2,487)),ISNUMBER(INDEX(rMed,487))),INDEX(rMed2,487),NA()))</f>
        <v>3</v>
      </c>
      <c r="BY489">
        <f>IF(OR(cMed=0,cMed2=0,487&gt;nFilas),NA(),IF(AND(ISNUMBER(INDEX(rMed2,487)),ISNUMBER(INDEX(rMed,487))),INDEX(rMed,487),NA()))</f>
        <v>338100</v>
      </c>
    </row>
    <row r="490">
      <c r="BX490">
        <f>IF(OR(cMed=0,cMed2=0,488&gt;nFilas),NA(),IF(AND(ISNUMBER(INDEX(rMed2,488)),ISNUMBER(INDEX(rMed,488))),INDEX(rMed2,488),NA()))</f>
        <v>5</v>
      </c>
      <c r="BY490">
        <f>IF(OR(cMed=0,cMed2=0,488&gt;nFilas),NA(),IF(AND(ISNUMBER(INDEX(rMed2,488)),ISNUMBER(INDEX(rMed,488))),INDEX(rMed,488),NA()))</f>
        <v>4566650</v>
      </c>
    </row>
    <row r="491">
      <c r="BX491">
        <f>IF(OR(cMed=0,cMed2=0,489&gt;nFilas),NA(),IF(AND(ISNUMBER(INDEX(rMed2,489)),ISNUMBER(INDEX(rMed,489))),INDEX(rMed2,489),NA()))</f>
        <v>4</v>
      </c>
      <c r="BY491">
        <f>IF(OR(cMed=0,cMed2=0,489&gt;nFilas),NA(),IF(AND(ISNUMBER(INDEX(rMed2,489)),ISNUMBER(INDEX(rMed,489))),INDEX(rMed,489),NA()))</f>
        <v>749800</v>
      </c>
    </row>
    <row r="492">
      <c r="BX492">
        <f>IF(OR(cMed=0,cMed2=0,490&gt;nFilas),NA(),IF(AND(ISNUMBER(INDEX(rMed2,490)),ISNUMBER(INDEX(rMed,490))),INDEX(rMed2,490),NA()))</f>
        <v>4</v>
      </c>
      <c r="BY492">
        <f>IF(OR(cMed=0,cMed2=0,490&gt;nFilas),NA(),IF(AND(ISNUMBER(INDEX(rMed2,490)),ISNUMBER(INDEX(rMed,490))),INDEX(rMed,490),NA()))</f>
        <v>707940</v>
      </c>
    </row>
    <row r="493">
      <c r="BX493">
        <f>IF(OR(cMed=0,cMed2=0,491&gt;nFilas),NA(),IF(AND(ISNUMBER(INDEX(rMed2,491)),ISNUMBER(INDEX(rMed,491))),INDEX(rMed2,491),NA()))</f>
        <v>4</v>
      </c>
      <c r="BY493">
        <f>IF(OR(cMed=0,cMed2=0,491&gt;nFilas),NA(),IF(AND(ISNUMBER(INDEX(rMed2,491)),ISNUMBER(INDEX(rMed,491))),INDEX(rMed,491),NA()))</f>
        <v>796000</v>
      </c>
    </row>
    <row r="494">
      <c r="BX494">
        <f>IF(OR(cMed=0,cMed2=0,492&gt;nFilas),NA(),IF(AND(ISNUMBER(INDEX(rMed2,492)),ISNUMBER(INDEX(rMed,492))),INDEX(rMed2,492),NA()))</f>
        <v>1</v>
      </c>
      <c r="BY494">
        <f>IF(OR(cMed=0,cMed2=0,492&gt;nFilas),NA(),IF(AND(ISNUMBER(INDEX(rMed2,492)),ISNUMBER(INDEX(rMed,492))),INDEX(rMed,492),NA()))</f>
        <v>184600</v>
      </c>
    </row>
    <row r="495">
      <c r="BX495">
        <f>IF(OR(cMed=0,cMed2=0,493&gt;nFilas),NA(),IF(AND(ISNUMBER(INDEX(rMed2,493)),ISNUMBER(INDEX(rMed,493))),INDEX(rMed2,493),NA()))</f>
        <v>5</v>
      </c>
      <c r="BY495">
        <f>IF(OR(cMed=0,cMed2=0,493&gt;nFilas),NA(),IF(AND(ISNUMBER(INDEX(rMed2,493)),ISNUMBER(INDEX(rMed,493))),INDEX(rMed,493),NA()))</f>
        <v>427500</v>
      </c>
    </row>
    <row r="496">
      <c r="BX496">
        <f>IF(OR(cMed=0,cMed2=0,494&gt;nFilas),NA(),IF(AND(ISNUMBER(INDEX(rMed2,494)),ISNUMBER(INDEX(rMed,494))),INDEX(rMed2,494),NA()))</f>
        <v>1</v>
      </c>
      <c r="BY496">
        <f>IF(OR(cMed=0,cMed2=0,494&gt;nFilas),NA(),IF(AND(ISNUMBER(INDEX(rMed2,494)),ISNUMBER(INDEX(rMed,494))),INDEX(rMed,494),NA()))</f>
        <v>56200</v>
      </c>
    </row>
    <row r="497">
      <c r="BX497">
        <f>IF(OR(cMed=0,cMed2=0,495&gt;nFilas),NA(),IF(AND(ISNUMBER(INDEX(rMed2,495)),ISNUMBER(INDEX(rMed,495))),INDEX(rMed2,495),NA()))</f>
        <v>5</v>
      </c>
      <c r="BY497">
        <f>IF(OR(cMed=0,cMed2=0,495&gt;nFilas),NA(),IF(AND(ISNUMBER(INDEX(rMed2,495)),ISNUMBER(INDEX(rMed,495))),INDEX(rMed,495),NA()))</f>
        <v>1356500</v>
      </c>
    </row>
    <row r="498">
      <c r="BX498">
        <f>IF(OR(cMed=0,cMed2=0,496&gt;nFilas),NA(),IF(AND(ISNUMBER(INDEX(rMed2,496)),ISNUMBER(INDEX(rMed,496))),INDEX(rMed2,496),NA()))</f>
        <v>1</v>
      </c>
      <c r="BY498">
        <f>IF(OR(cMed=0,cMed2=0,496&gt;nFilas),NA(),IF(AND(ISNUMBER(INDEX(rMed2,496)),ISNUMBER(INDEX(rMed,496))),INDEX(rMed,496),NA()))</f>
        <v>156900</v>
      </c>
    </row>
    <row r="499">
      <c r="BX499">
        <f>IF(OR(cMed=0,cMed2=0,497&gt;nFilas),NA(),IF(AND(ISNUMBER(INDEX(rMed2,497)),ISNUMBER(INDEX(rMed,497))),INDEX(rMed2,497),NA()))</f>
        <v>5</v>
      </c>
      <c r="BY499">
        <f>IF(OR(cMed=0,cMed2=0,497&gt;nFilas),NA(),IF(AND(ISNUMBER(INDEX(rMed2,497)),ISNUMBER(INDEX(rMed,497))),INDEX(rMed,497),NA()))</f>
        <v>883500</v>
      </c>
    </row>
    <row r="500">
      <c r="BX500">
        <f>IF(OR(cMed=0,cMed2=0,498&gt;nFilas),NA(),IF(AND(ISNUMBER(INDEX(rMed2,498)),ISNUMBER(INDEX(rMed,498))),INDEX(rMed2,498),NA()))</f>
        <v>3</v>
      </c>
      <c r="BY500">
        <f>IF(OR(cMed=0,cMed2=0,498&gt;nFilas),NA(),IF(AND(ISNUMBER(INDEX(rMed2,498)),ISNUMBER(INDEX(rMed,498))),INDEX(rMed,498),NA()))</f>
        <v>396300</v>
      </c>
    </row>
    <row r="501">
      <c r="BX501">
        <f>IF(OR(cMed=0,cMed2=0,499&gt;nFilas),NA(),IF(AND(ISNUMBER(INDEX(rMed2,499)),ISNUMBER(INDEX(rMed,499))),INDEX(rMed2,499),NA()))</f>
        <v>2</v>
      </c>
      <c r="BY501">
        <f>IF(OR(cMed=0,cMed2=0,499&gt;nFilas),NA(),IF(AND(ISNUMBER(INDEX(rMed2,499)),ISNUMBER(INDEX(rMed,499))),INDEX(rMed,499),NA()))</f>
        <v>515200</v>
      </c>
    </row>
    <row r="502">
      <c r="BX502">
        <f>IF(OR(cMed=0,cMed2=0,500&gt;nFilas),NA(),IF(AND(ISNUMBER(INDEX(rMed2,500)),ISNUMBER(INDEX(rMed,500))),INDEX(rMed2,500),NA()))</f>
        <v>4</v>
      </c>
      <c r="BY502">
        <f>IF(OR(cMed=0,cMed2=0,500&gt;nFilas),NA(),IF(AND(ISNUMBER(INDEX(rMed2,500)),ISNUMBER(INDEX(rMed,500))),INDEX(rMed,500),NA()))</f>
        <v>495200</v>
      </c>
    </row>
    <row r="503">
      <c r="BX503">
        <f>IF(OR(cMed=0,cMed2=0,501&gt;nFilas),NA(),IF(AND(ISNUMBER(INDEX(rMed2,501)),ISNUMBER(INDEX(rMed,501))),INDEX(rMed2,501),NA()))</f>
        <v>3</v>
      </c>
      <c r="BY503">
        <f>IF(OR(cMed=0,cMed2=0,501&gt;nFilas),NA(),IF(AND(ISNUMBER(INDEX(rMed2,501)),ISNUMBER(INDEX(rMed,501))),INDEX(rMed,501),NA()))</f>
        <v>193500</v>
      </c>
    </row>
    <row r="504">
      <c r="BX504">
        <f>IF(OR(cMed=0,cMed2=0,502&gt;nFilas),NA(),IF(AND(ISNUMBER(INDEX(rMed2,502)),ISNUMBER(INDEX(rMed,502))),INDEX(rMed2,502),NA()))</f>
        <v>1</v>
      </c>
      <c r="BY504">
        <f>IF(OR(cMed=0,cMed2=0,502&gt;nFilas),NA(),IF(AND(ISNUMBER(INDEX(rMed2,502)),ISNUMBER(INDEX(rMed,502))),INDEX(rMed,502),NA()))</f>
        <v>120400</v>
      </c>
    </row>
    <row r="505">
      <c r="BX505">
        <f>IF(OR(cMed=0,cMed2=0,503&gt;nFilas),NA(),IF(AND(ISNUMBER(INDEX(rMed2,503)),ISNUMBER(INDEX(rMed,503))),INDEX(rMed2,503),NA()))</f>
        <v>2</v>
      </c>
      <c r="BY505">
        <f>IF(OR(cMed=0,cMed2=0,503&gt;nFilas),NA(),IF(AND(ISNUMBER(INDEX(rMed2,503)),ISNUMBER(INDEX(rMed,503))),INDEX(rMed,503),NA()))</f>
        <v>107000</v>
      </c>
    </row>
    <row r="506">
      <c r="BX506">
        <f>IF(OR(cMed=0,cMed2=0,504&gt;nFilas),NA(),IF(AND(ISNUMBER(INDEX(rMed2,504)),ISNUMBER(INDEX(rMed,504))),INDEX(rMed2,504),NA()))</f>
        <v>1</v>
      </c>
      <c r="BY506">
        <f>IF(OR(cMed=0,cMed2=0,504&gt;nFilas),NA(),IF(AND(ISNUMBER(INDEX(rMed2,504)),ISNUMBER(INDEX(rMed,504))),INDEX(rMed,504),NA()))</f>
        <v>1084400</v>
      </c>
    </row>
    <row r="507">
      <c r="BX507">
        <f>IF(OR(cMed=0,cMed2=0,505&gt;nFilas),NA(),IF(AND(ISNUMBER(INDEX(rMed2,505)),ISNUMBER(INDEX(rMed,505))),INDEX(rMed2,505),NA()))</f>
        <v>2</v>
      </c>
      <c r="BY507">
        <f>IF(OR(cMed=0,cMed2=0,505&gt;nFilas),NA(),IF(AND(ISNUMBER(INDEX(rMed2,505)),ISNUMBER(INDEX(rMed,505))),INDEX(rMed,505),NA()))</f>
        <v>1943600</v>
      </c>
    </row>
    <row r="508">
      <c r="BX508">
        <f>IF(OR(cMed=0,cMed2=0,506&gt;nFilas),NA(),IF(AND(ISNUMBER(INDEX(rMed2,506)),ISNUMBER(INDEX(rMed,506))),INDEX(rMed2,506),NA()))</f>
        <v>5</v>
      </c>
      <c r="BY508">
        <f>IF(OR(cMed=0,cMed2=0,506&gt;nFilas),NA(),IF(AND(ISNUMBER(INDEX(rMed2,506)),ISNUMBER(INDEX(rMed,506))),INDEX(rMed,506),NA()))</f>
        <v>426500</v>
      </c>
    </row>
    <row r="509">
      <c r="BX509">
        <f>IF(OR(cMed=0,cMed2=0,507&gt;nFilas),NA(),IF(AND(ISNUMBER(INDEX(rMed2,507)),ISNUMBER(INDEX(rMed,507))),INDEX(rMed2,507),NA()))</f>
        <v>5</v>
      </c>
      <c r="BY509">
        <f>IF(OR(cMed=0,cMed2=0,507&gt;nFilas),NA(),IF(AND(ISNUMBER(INDEX(rMed2,507)),ISNUMBER(INDEX(rMed,507))),INDEX(rMed,507),NA()))</f>
        <v>601000</v>
      </c>
    </row>
    <row r="510">
      <c r="BX510">
        <f>IF(OR(cMed=0,cMed2=0,508&gt;nFilas),NA(),IF(AND(ISNUMBER(INDEX(rMed2,508)),ISNUMBER(INDEX(rMed,508))),INDEX(rMed2,508),NA()))</f>
        <v>4</v>
      </c>
      <c r="BY510">
        <f>IF(OR(cMed=0,cMed2=0,508&gt;nFilas),NA(),IF(AND(ISNUMBER(INDEX(rMed2,508)),ISNUMBER(INDEX(rMed,508))),INDEX(rMed,508),NA()))</f>
        <v>3230800</v>
      </c>
    </row>
    <row r="511">
      <c r="BX511">
        <f>IF(OR(cMed=0,cMed2=0,509&gt;nFilas),NA(),IF(AND(ISNUMBER(INDEX(rMed2,509)),ISNUMBER(INDEX(rMed,509))),INDEX(rMed2,509),NA()))</f>
        <v>2</v>
      </c>
      <c r="BY511">
        <f>IF(OR(cMed=0,cMed2=0,509&gt;nFilas),NA(),IF(AND(ISNUMBER(INDEX(rMed2,509)),ISNUMBER(INDEX(rMed,509))),INDEX(rMed,509),NA()))</f>
        <v>274200</v>
      </c>
    </row>
    <row r="512">
      <c r="BX512">
        <f>IF(OR(cMed=0,cMed2=0,510&gt;nFilas),NA(),IF(AND(ISNUMBER(INDEX(rMed2,510)),ISNUMBER(INDEX(rMed,510))),INDEX(rMed2,510),NA()))</f>
        <v>1</v>
      </c>
      <c r="BY512">
        <f>IF(OR(cMed=0,cMed2=0,510&gt;nFilas),NA(),IF(AND(ISNUMBER(INDEX(rMed2,510)),ISNUMBER(INDEX(rMed,510))),INDEX(rMed,510),NA()))</f>
        <v>145400</v>
      </c>
    </row>
    <row r="513">
      <c r="BX513">
        <f>IF(OR(cMed=0,cMed2=0,511&gt;nFilas),NA(),IF(AND(ISNUMBER(INDEX(rMed2,511)),ISNUMBER(INDEX(rMed,511))),INDEX(rMed2,511),NA()))</f>
        <v>1</v>
      </c>
      <c r="BY513">
        <f>IF(OR(cMed=0,cMed2=0,511&gt;nFilas),NA(),IF(AND(ISNUMBER(INDEX(rMed2,511)),ISNUMBER(INDEX(rMed,511))),INDEX(rMed,511),NA()))</f>
        <v>101700</v>
      </c>
    </row>
    <row r="514">
      <c r="BX514">
        <f>IF(OR(cMed=0,cMed2=0,512&gt;nFilas),NA(),IF(AND(ISNUMBER(INDEX(rMed2,512)),ISNUMBER(INDEX(rMed,512))),INDEX(rMed2,512),NA()))</f>
        <v>4</v>
      </c>
      <c r="BY514">
        <f>IF(OR(cMed=0,cMed2=0,512&gt;nFilas),NA(),IF(AND(ISNUMBER(INDEX(rMed2,512)),ISNUMBER(INDEX(rMed,512))),INDEX(rMed,512),NA()))</f>
        <v>670800</v>
      </c>
    </row>
    <row r="515">
      <c r="BX515">
        <f>IF(OR(cMed=0,cMed2=0,513&gt;nFilas),NA(),IF(AND(ISNUMBER(INDEX(rMed2,513)),ISNUMBER(INDEX(rMed,513))),INDEX(rMed2,513),NA()))</f>
        <v>3</v>
      </c>
      <c r="BY515">
        <f>IF(OR(cMed=0,cMed2=0,513&gt;nFilas),NA(),IF(AND(ISNUMBER(INDEX(rMed2,513)),ISNUMBER(INDEX(rMed,513))),INDEX(rMed,513),NA()))</f>
        <v>395370</v>
      </c>
    </row>
    <row r="516">
      <c r="BX516">
        <f>IF(OR(cMed=0,cMed2=0,514&gt;nFilas),NA(),IF(AND(ISNUMBER(INDEX(rMed2,514)),ISNUMBER(INDEX(rMed,514))),INDEX(rMed2,514),NA()))</f>
        <v>4</v>
      </c>
      <c r="BY516">
        <f>IF(OR(cMed=0,cMed2=0,514&gt;nFilas),NA(),IF(AND(ISNUMBER(INDEX(rMed2,514)),ISNUMBER(INDEX(rMed,514))),INDEX(rMed,514),NA()))</f>
        <v>557060</v>
      </c>
    </row>
    <row r="517">
      <c r="BX517">
        <f>IF(OR(cMed=0,cMed2=0,515&gt;nFilas),NA(),IF(AND(ISNUMBER(INDEX(rMed2,515)),ISNUMBER(INDEX(rMed,515))),INDEX(rMed2,515),NA()))</f>
        <v>1</v>
      </c>
      <c r="BY517">
        <f>IF(OR(cMed=0,cMed2=0,515&gt;nFilas),NA(),IF(AND(ISNUMBER(INDEX(rMed2,515)),ISNUMBER(INDEX(rMed,515))),INDEX(rMed,515),NA()))</f>
        <v>100740</v>
      </c>
    </row>
    <row r="518">
      <c r="BX518">
        <f>IF(OR(cMed=0,cMed2=0,516&gt;nFilas),NA(),IF(AND(ISNUMBER(INDEX(rMed2,516)),ISNUMBER(INDEX(rMed,516))),INDEX(rMed2,516),NA()))</f>
        <v>1</v>
      </c>
      <c r="BY518">
        <f>IF(OR(cMed=0,cMed2=0,516&gt;nFilas),NA(),IF(AND(ISNUMBER(INDEX(rMed2,516)),ISNUMBER(INDEX(rMed,516))),INDEX(rMed,516),NA()))</f>
        <v>105110</v>
      </c>
    </row>
    <row r="519">
      <c r="BX519">
        <f>IF(OR(cMed=0,cMed2=0,517&gt;nFilas),NA(),IF(AND(ISNUMBER(INDEX(rMed2,517)),ISNUMBER(INDEX(rMed,517))),INDEX(rMed2,517),NA()))</f>
        <v>5</v>
      </c>
      <c r="BY519">
        <f>IF(OR(cMed=0,cMed2=0,517&gt;nFilas),NA(),IF(AND(ISNUMBER(INDEX(rMed2,517)),ISNUMBER(INDEX(rMed,517))),INDEX(rMed,517),NA()))</f>
        <v>476675</v>
      </c>
    </row>
    <row r="520">
      <c r="BX520">
        <f>IF(OR(cMed=0,cMed2=0,518&gt;nFilas),NA(),IF(AND(ISNUMBER(INDEX(rMed2,518)),ISNUMBER(INDEX(rMed,518))),INDEX(rMed2,518),NA()))</f>
        <v>2</v>
      </c>
      <c r="BY520">
        <f>IF(OR(cMed=0,cMed2=0,518&gt;nFilas),NA(),IF(AND(ISNUMBER(INDEX(rMed2,518)),ISNUMBER(INDEX(rMed,518))),INDEX(rMed,518),NA()))</f>
        <v>276920</v>
      </c>
    </row>
    <row r="521">
      <c r="BX521">
        <f>IF(OR(cMed=0,cMed2=0,519&gt;nFilas),NA(),IF(AND(ISNUMBER(INDEX(rMed2,519)),ISNUMBER(INDEX(rMed,519))),INDEX(rMed2,519),NA()))</f>
        <v>4</v>
      </c>
      <c r="BY521">
        <f>IF(OR(cMed=0,cMed2=0,519&gt;nFilas),NA(),IF(AND(ISNUMBER(INDEX(rMed2,519)),ISNUMBER(INDEX(rMed,519))),INDEX(rMed,519),NA()))</f>
        <v>5019060</v>
      </c>
    </row>
    <row r="522">
      <c r="BX522">
        <f>IF(OR(cMed=0,cMed2=0,520&gt;nFilas),NA(),IF(AND(ISNUMBER(INDEX(rMed2,520)),ISNUMBER(INDEX(rMed,520))),INDEX(rMed2,520),NA()))</f>
        <v>3</v>
      </c>
      <c r="BY522">
        <f>IF(OR(cMed=0,cMed2=0,520&gt;nFilas),NA(),IF(AND(ISNUMBER(INDEX(rMed2,520)),ISNUMBER(INDEX(rMed,520))),INDEX(rMed,520),NA()))</f>
        <v>2854875</v>
      </c>
    </row>
    <row r="523">
      <c r="BX523">
        <f>IF(OR(cMed=0,cMed2=0,521&gt;nFilas),NA(),IF(AND(ISNUMBER(INDEX(rMed2,521)),ISNUMBER(INDEX(rMed,521))),INDEX(rMed2,521),NA()))</f>
        <v>3</v>
      </c>
      <c r="BY523">
        <f>IF(OR(cMed=0,cMed2=0,521&gt;nFilas),NA(),IF(AND(ISNUMBER(INDEX(rMed2,521)),ISNUMBER(INDEX(rMed,521))),INDEX(rMed,521),NA()))</f>
        <v>272100</v>
      </c>
    </row>
    <row r="524">
      <c r="BX524">
        <f>IF(OR(cMed=0,cMed2=0,522&gt;nFilas),NA(),IF(AND(ISNUMBER(INDEX(rMed2,522)),ISNUMBER(INDEX(rMed,522))),INDEX(rMed2,522),NA()))</f>
        <v>3</v>
      </c>
      <c r="BY524">
        <f>IF(OR(cMed=0,cMed2=0,522&gt;nFilas),NA(),IF(AND(ISNUMBER(INDEX(rMed2,522)),ISNUMBER(INDEX(rMed,522))),INDEX(rMed,522),NA()))</f>
        <v>633900</v>
      </c>
    </row>
    <row r="525">
      <c r="BX525">
        <f>IF(OR(cMed=0,cMed2=0,523&gt;nFilas),NA(),IF(AND(ISNUMBER(INDEX(rMed2,523)),ISNUMBER(INDEX(rMed,523))),INDEX(rMed2,523),NA()))</f>
        <v>4</v>
      </c>
      <c r="BY525">
        <f>IF(OR(cMed=0,cMed2=0,523&gt;nFilas),NA(),IF(AND(ISNUMBER(INDEX(rMed2,523)),ISNUMBER(INDEX(rMed,523))),INDEX(rMed,523),NA()))</f>
        <v>3464800</v>
      </c>
    </row>
    <row r="526">
      <c r="BX526">
        <f>IF(OR(cMed=0,cMed2=0,524&gt;nFilas),NA(),IF(AND(ISNUMBER(INDEX(rMed2,524)),ISNUMBER(INDEX(rMed,524))),INDEX(rMed2,524),NA()))</f>
        <v>4</v>
      </c>
      <c r="BY526">
        <f>IF(OR(cMed=0,cMed2=0,524&gt;nFilas),NA(),IF(AND(ISNUMBER(INDEX(rMed2,524)),ISNUMBER(INDEX(rMed,524))),INDEX(rMed,524),NA()))</f>
        <v>543200</v>
      </c>
    </row>
    <row r="527">
      <c r="BX527">
        <f>IF(OR(cMed=0,cMed2=0,525&gt;nFilas),NA(),IF(AND(ISNUMBER(INDEX(rMed2,525)),ISNUMBER(INDEX(rMed,525))),INDEX(rMed2,525),NA()))</f>
        <v>4</v>
      </c>
      <c r="BY527">
        <f>IF(OR(cMed=0,cMed2=0,525&gt;nFilas),NA(),IF(AND(ISNUMBER(INDEX(rMed2,525)),ISNUMBER(INDEX(rMed,525))),INDEX(rMed,525),NA()))</f>
        <v>366000</v>
      </c>
    </row>
    <row r="528">
      <c r="BX528">
        <f>IF(OR(cMed=0,cMed2=0,526&gt;nFilas),NA(),IF(AND(ISNUMBER(INDEX(rMed2,526)),ISNUMBER(INDEX(rMed,526))),INDEX(rMed2,526),NA()))</f>
        <v>3</v>
      </c>
      <c r="BY528">
        <f>IF(OR(cMed=0,cMed2=0,526&gt;nFilas),NA(),IF(AND(ISNUMBER(INDEX(rMed2,526)),ISNUMBER(INDEX(rMed,526))),INDEX(rMed,526),NA()))</f>
        <v>372600</v>
      </c>
    </row>
    <row r="529">
      <c r="BX529">
        <f>IF(OR(cMed=0,cMed2=0,527&gt;nFilas),NA(),IF(AND(ISNUMBER(INDEX(rMed2,527)),ISNUMBER(INDEX(rMed,527))),INDEX(rMed2,527),NA()))</f>
        <v>3</v>
      </c>
      <c r="BY529">
        <f>IF(OR(cMed=0,cMed2=0,527&gt;nFilas),NA(),IF(AND(ISNUMBER(INDEX(rMed2,527)),ISNUMBER(INDEX(rMed,527))),INDEX(rMed,527),NA()))</f>
        <v>456900</v>
      </c>
    </row>
    <row r="530">
      <c r="BX530">
        <f>IF(OR(cMed=0,cMed2=0,528&gt;nFilas),NA(),IF(AND(ISNUMBER(INDEX(rMed2,528)),ISNUMBER(INDEX(rMed,528))),INDEX(rMed2,528),NA()))</f>
        <v>3</v>
      </c>
      <c r="BY530">
        <f>IF(OR(cMed=0,cMed2=0,528&gt;nFilas),NA(),IF(AND(ISNUMBER(INDEX(rMed2,528)),ISNUMBER(INDEX(rMed,528))),INDEX(rMed,528),NA()))</f>
        <v>306000</v>
      </c>
    </row>
    <row r="531">
      <c r="BX531">
        <f>IF(OR(cMed=0,cMed2=0,529&gt;nFilas),NA(),IF(AND(ISNUMBER(INDEX(rMed2,529)),ISNUMBER(INDEX(rMed,529))),INDEX(rMed2,529),NA()))</f>
        <v>5</v>
      </c>
      <c r="BY531">
        <f>IF(OR(cMed=0,cMed2=0,529&gt;nFilas),NA(),IF(AND(ISNUMBER(INDEX(rMed2,529)),ISNUMBER(INDEX(rMed,529))),INDEX(rMed,529),NA()))</f>
        <v>255500</v>
      </c>
    </row>
    <row r="532">
      <c r="BX532">
        <f>IF(OR(cMed=0,cMed2=0,530&gt;nFilas),NA(),IF(AND(ISNUMBER(INDEX(rMed2,530)),ISNUMBER(INDEX(rMed,530))),INDEX(rMed2,530),NA()))</f>
        <v>1</v>
      </c>
      <c r="BY532">
        <f>IF(OR(cMed=0,cMed2=0,530&gt;nFilas),NA(),IF(AND(ISNUMBER(INDEX(rMed2,530)),ISNUMBER(INDEX(rMed,530))),INDEX(rMed,530),NA()))</f>
        <v>220900</v>
      </c>
    </row>
    <row r="533">
      <c r="BX533">
        <f>IF(OR(cMed=0,cMed2=0,531&gt;nFilas),NA(),IF(AND(ISNUMBER(INDEX(rMed2,531)),ISNUMBER(INDEX(rMed,531))),INDEX(rMed2,531),NA()))</f>
        <v>4</v>
      </c>
      <c r="BY533">
        <f>IF(OR(cMed=0,cMed2=0,531&gt;nFilas),NA(),IF(AND(ISNUMBER(INDEX(rMed2,531)),ISNUMBER(INDEX(rMed,531))),INDEX(rMed,531),NA()))</f>
        <v>497600</v>
      </c>
    </row>
    <row r="534">
      <c r="BX534">
        <f>IF(OR(cMed=0,cMed2=0,532&gt;nFilas),NA(),IF(AND(ISNUMBER(INDEX(rMed2,532)),ISNUMBER(INDEX(rMed,532))),INDEX(rMed2,532),NA()))</f>
        <v>1</v>
      </c>
      <c r="BY534">
        <f>IF(OR(cMed=0,cMed2=0,532&gt;nFilas),NA(),IF(AND(ISNUMBER(INDEX(rMed2,532)),ISNUMBER(INDEX(rMed,532))),INDEX(rMed,532),NA()))</f>
        <v>77300</v>
      </c>
    </row>
    <row r="535">
      <c r="BX535">
        <f>IF(OR(cMed=0,cMed2=0,533&gt;nFilas),NA(),IF(AND(ISNUMBER(INDEX(rMed2,533)),ISNUMBER(INDEX(rMed,533))),INDEX(rMed2,533),NA()))</f>
        <v>2</v>
      </c>
      <c r="BY535">
        <f>IF(OR(cMed=0,cMed2=0,533&gt;nFilas),NA(),IF(AND(ISNUMBER(INDEX(rMed2,533)),ISNUMBER(INDEX(rMed,533))),INDEX(rMed,533),NA()))</f>
        <v>280400</v>
      </c>
    </row>
    <row r="536">
      <c r="BX536">
        <f>IF(OR(cMed=0,cMed2=0,534&gt;nFilas),NA(),IF(AND(ISNUMBER(INDEX(rMed2,534)),ISNUMBER(INDEX(rMed,534))),INDEX(rMed2,534),NA()))</f>
        <v>5</v>
      </c>
      <c r="BY536">
        <f>IF(OR(cMed=0,cMed2=0,534&gt;nFilas),NA(),IF(AND(ISNUMBER(INDEX(rMed2,534)),ISNUMBER(INDEX(rMed,534))),INDEX(rMed,534),NA()))</f>
        <v>759000</v>
      </c>
    </row>
    <row r="537">
      <c r="BX537">
        <f>IF(OR(cMed=0,cMed2=0,535&gt;nFilas),NA(),IF(AND(ISNUMBER(INDEX(rMed2,535)),ISNUMBER(INDEX(rMed,535))),INDEX(rMed2,535),NA()))</f>
        <v>2</v>
      </c>
      <c r="BY537">
        <f>IF(OR(cMed=0,cMed2=0,535&gt;nFilas),NA(),IF(AND(ISNUMBER(INDEX(rMed2,535)),ISNUMBER(INDEX(rMed,535))),INDEX(rMed,535),NA()))</f>
        <v>188000</v>
      </c>
    </row>
    <row r="538">
      <c r="BX538">
        <f>IF(OR(cMed=0,cMed2=0,536&gt;nFilas),NA(),IF(AND(ISNUMBER(INDEX(rMed2,536)),ISNUMBER(INDEX(rMed,536))),INDEX(rMed2,536),NA()))</f>
        <v>3</v>
      </c>
      <c r="BY538">
        <f>IF(OR(cMed=0,cMed2=0,536&gt;nFilas),NA(),IF(AND(ISNUMBER(INDEX(rMed2,536)),ISNUMBER(INDEX(rMed,536))),INDEX(rMed,536),NA()))</f>
        <v>277500</v>
      </c>
    </row>
    <row r="539">
      <c r="BX539">
        <f>IF(OR(cMed=0,cMed2=0,537&gt;nFilas),NA(),IF(AND(ISNUMBER(INDEX(rMed2,537)),ISNUMBER(INDEX(rMed,537))),INDEX(rMed2,537),NA()))</f>
        <v>1</v>
      </c>
      <c r="BY539">
        <f>IF(OR(cMed=0,cMed2=0,537&gt;nFilas),NA(),IF(AND(ISNUMBER(INDEX(rMed2,537)),ISNUMBER(INDEX(rMed,537))),INDEX(rMed,537),NA()))</f>
        <v>272200</v>
      </c>
    </row>
    <row r="540">
      <c r="BX540">
        <f>IF(OR(cMed=0,cMed2=0,538&gt;nFilas),NA(),IF(AND(ISNUMBER(INDEX(rMed2,538)),ISNUMBER(INDEX(rMed,538))),INDEX(rMed2,538),NA()))</f>
        <v>2</v>
      </c>
      <c r="BY540">
        <f>IF(OR(cMed=0,cMed2=0,538&gt;nFilas),NA(),IF(AND(ISNUMBER(INDEX(rMed2,538)),ISNUMBER(INDEX(rMed,538))),INDEX(rMed,538),NA()))</f>
        <v>170000</v>
      </c>
    </row>
    <row r="541">
      <c r="BX541">
        <f>IF(OR(cMed=0,cMed2=0,539&gt;nFilas),NA(),IF(AND(ISNUMBER(INDEX(rMed2,539)),ISNUMBER(INDEX(rMed,539))),INDEX(rMed2,539),NA()))</f>
        <v>4</v>
      </c>
      <c r="BY541">
        <f>IF(OR(cMed=0,cMed2=0,539&gt;nFilas),NA(),IF(AND(ISNUMBER(INDEX(rMed2,539)),ISNUMBER(INDEX(rMed,539))),INDEX(rMed,539),NA()))</f>
        <v>3605200</v>
      </c>
    </row>
    <row r="542">
      <c r="BX542">
        <f>IF(OR(cMed=0,cMed2=0,540&gt;nFilas),NA(),IF(AND(ISNUMBER(INDEX(rMed2,540)),ISNUMBER(INDEX(rMed,540))),INDEX(rMed2,540),NA()))</f>
        <v>5</v>
      </c>
      <c r="BY542">
        <f>IF(OR(cMed=0,cMed2=0,540&gt;nFilas),NA(),IF(AND(ISNUMBER(INDEX(rMed2,540)),ISNUMBER(INDEX(rMed,540))),INDEX(rMed,540),NA()))</f>
        <v>378000</v>
      </c>
    </row>
    <row r="543">
      <c r="BX543">
        <f>IF(OR(cMed=0,cMed2=0,541&gt;nFilas),NA(),IF(AND(ISNUMBER(INDEX(rMed2,541)),ISNUMBER(INDEX(rMed,541))),INDEX(rMed2,541),NA()))</f>
        <v>1</v>
      </c>
      <c r="BY543">
        <f>IF(OR(cMed=0,cMed2=0,541&gt;nFilas),NA(),IF(AND(ISNUMBER(INDEX(rMed2,541)),ISNUMBER(INDEX(rMed,541))),INDEX(rMed,541),NA()))</f>
        <v>183700</v>
      </c>
    </row>
    <row r="544">
      <c r="BX544">
        <f>IF(OR(cMed=0,cMed2=0,542&gt;nFilas),NA(),IF(AND(ISNUMBER(INDEX(rMed2,542)),ISNUMBER(INDEX(rMed,542))),INDEX(rMed2,542),NA()))</f>
        <v>2</v>
      </c>
      <c r="BY544">
        <f>IF(OR(cMed=0,cMed2=0,542&gt;nFilas),NA(),IF(AND(ISNUMBER(INDEX(rMed2,542)),ISNUMBER(INDEX(rMed,542))),INDEX(rMed,542),NA()))</f>
        <v>1349400</v>
      </c>
    </row>
    <row r="545">
      <c r="BX545">
        <f>IF(OR(cMed=0,cMed2=0,543&gt;nFilas),NA(),IF(AND(ISNUMBER(INDEX(rMed2,543)),ISNUMBER(INDEX(rMed,543))),INDEX(rMed2,543),NA()))</f>
        <v>5</v>
      </c>
      <c r="BY545">
        <f>IF(OR(cMed=0,cMed2=0,543&gt;nFilas),NA(),IF(AND(ISNUMBER(INDEX(rMed2,543)),ISNUMBER(INDEX(rMed,543))),INDEX(rMed,543),NA()))</f>
        <v>1039000</v>
      </c>
    </row>
    <row r="546">
      <c r="BX546">
        <f>IF(OR(cMed=0,cMed2=0,544&gt;nFilas),NA(),IF(AND(ISNUMBER(INDEX(rMed2,544)),ISNUMBER(INDEX(rMed,544))),INDEX(rMed2,544),NA()))</f>
        <v>3</v>
      </c>
      <c r="BY546">
        <f>IF(OR(cMed=0,cMed2=0,544&gt;nFilas),NA(),IF(AND(ISNUMBER(INDEX(rMed2,544)),ISNUMBER(INDEX(rMed,544))),INDEX(rMed,544),NA()))</f>
        <v>797100</v>
      </c>
    </row>
    <row r="547">
      <c r="BX547">
        <f>IF(OR(cMed=0,cMed2=0,545&gt;nFilas),NA(),IF(AND(ISNUMBER(INDEX(rMed2,545)),ISNUMBER(INDEX(rMed,545))),INDEX(rMed2,545),NA()))</f>
        <v>3</v>
      </c>
      <c r="BY547">
        <f>IF(OR(cMed=0,cMed2=0,545&gt;nFilas),NA(),IF(AND(ISNUMBER(INDEX(rMed2,545)),ISNUMBER(INDEX(rMed,545))),INDEX(rMed,545),NA()))</f>
        <v>695400</v>
      </c>
    </row>
    <row r="548">
      <c r="BX548">
        <f>IF(OR(cMed=0,cMed2=0,546&gt;nFilas),NA(),IF(AND(ISNUMBER(INDEX(rMed2,546)),ISNUMBER(INDEX(rMed,546))),INDEX(rMed2,546),NA()))</f>
        <v>2</v>
      </c>
      <c r="BY548">
        <f>IF(OR(cMed=0,cMed2=0,546&gt;nFilas),NA(),IF(AND(ISNUMBER(INDEX(rMed2,546)),ISNUMBER(INDEX(rMed,546))),INDEX(rMed,546),NA()))</f>
        <v>430560</v>
      </c>
    </row>
    <row r="549">
      <c r="BX549">
        <f>IF(OR(cMed=0,cMed2=0,547&gt;nFilas),NA(),IF(AND(ISNUMBER(INDEX(rMed2,547)),ISNUMBER(INDEX(rMed,547))),INDEX(rMed2,547),NA()))</f>
        <v>1</v>
      </c>
      <c r="BY549">
        <f>IF(OR(cMed=0,cMed2=0,547&gt;nFilas),NA(),IF(AND(ISNUMBER(INDEX(rMed2,547)),ISNUMBER(INDEX(rMed,547))),INDEX(rMed,547),NA()))</f>
        <v>83490</v>
      </c>
    </row>
    <row r="550">
      <c r="BX550">
        <f>IF(OR(cMed=0,cMed2=0,548&gt;nFilas),NA(),IF(AND(ISNUMBER(INDEX(rMed2,548)),ISNUMBER(INDEX(rMed,548))),INDEX(rMed2,548),NA()))</f>
        <v>1</v>
      </c>
      <c r="BY550">
        <f>IF(OR(cMed=0,cMed2=0,548&gt;nFilas),NA(),IF(AND(ISNUMBER(INDEX(rMed2,548)),ISNUMBER(INDEX(rMed,548))),INDEX(rMed,548),NA()))</f>
        <v>181240</v>
      </c>
    </row>
    <row r="551">
      <c r="BX551">
        <f>IF(OR(cMed=0,cMed2=0,549&gt;nFilas),NA(),IF(AND(ISNUMBER(INDEX(rMed2,549)),ISNUMBER(INDEX(rMed,549))),INDEX(rMed2,549),NA()))</f>
        <v>5</v>
      </c>
      <c r="BY551">
        <f>IF(OR(cMed=0,cMed2=0,549&gt;nFilas),NA(),IF(AND(ISNUMBER(INDEX(rMed2,549)),ISNUMBER(INDEX(rMed,549))),INDEX(rMed,549),NA()))</f>
        <v>419175</v>
      </c>
    </row>
    <row r="552">
      <c r="BX552">
        <f>IF(OR(cMed=0,cMed2=0,550&gt;nFilas),NA(),IF(AND(ISNUMBER(INDEX(rMed2,550)),ISNUMBER(INDEX(rMed,550))),INDEX(rMed2,550),NA()))</f>
        <v>2</v>
      </c>
      <c r="BY552">
        <f>IF(OR(cMed=0,cMed2=0,550&gt;nFilas),NA(),IF(AND(ISNUMBER(INDEX(rMed2,550)),ISNUMBER(INDEX(rMed,550))),INDEX(rMed,550),NA()))</f>
        <v>477710</v>
      </c>
    </row>
    <row r="553">
      <c r="BX553">
        <f>IF(OR(cMed=0,cMed2=0,551&gt;nFilas),NA(),IF(AND(ISNUMBER(INDEX(rMed2,551)),ISNUMBER(INDEX(rMed,551))),INDEX(rMed2,551),NA()))</f>
        <v>5</v>
      </c>
      <c r="BY553">
        <f>IF(OR(cMed=0,cMed2=0,551&gt;nFilas),NA(),IF(AND(ISNUMBER(INDEX(rMed2,551)),ISNUMBER(INDEX(rMed,551))),INDEX(rMed,551),NA()))</f>
        <v>401925</v>
      </c>
    </row>
    <row r="554">
      <c r="BX554">
        <f>IF(OR(cMed=0,cMed2=0,552&gt;nFilas),NA(),IF(AND(ISNUMBER(INDEX(rMed2,552)),ISNUMBER(INDEX(rMed,552))),INDEX(rMed2,552),NA()))</f>
        <v>3</v>
      </c>
      <c r="BY554">
        <f>IF(OR(cMed=0,cMed2=0,552&gt;nFilas),NA(),IF(AND(ISNUMBER(INDEX(rMed2,552)),ISNUMBER(INDEX(rMed,552))),INDEX(rMed,552),NA()))</f>
        <v>737100</v>
      </c>
    </row>
    <row r="555">
      <c r="BX555">
        <f>IF(OR(cMed=0,cMed2=0,553&gt;nFilas),NA(),IF(AND(ISNUMBER(INDEX(rMed2,553)),ISNUMBER(INDEX(rMed,553))),INDEX(rMed2,553),NA()))</f>
        <v>5</v>
      </c>
      <c r="BY555">
        <f>IF(OR(cMed=0,cMed2=0,553&gt;nFilas),NA(),IF(AND(ISNUMBER(INDEX(rMed2,553)),ISNUMBER(INDEX(rMed,553))),INDEX(rMed,553),NA()))</f>
        <v>4956500</v>
      </c>
    </row>
    <row r="556">
      <c r="BX556">
        <f>IF(OR(cMed=0,cMed2=0,554&gt;nFilas),NA(),IF(AND(ISNUMBER(INDEX(rMed2,554)),ISNUMBER(INDEX(rMed,554))),INDEX(rMed2,554),NA()))</f>
        <v>5</v>
      </c>
      <c r="BY556">
        <f>IF(OR(cMed=0,cMed2=0,554&gt;nFilas),NA(),IF(AND(ISNUMBER(INDEX(rMed2,554)),ISNUMBER(INDEX(rMed,554))),INDEX(rMed,554),NA()))</f>
        <v>450000</v>
      </c>
    </row>
    <row r="557">
      <c r="BX557">
        <f>IF(OR(cMed=0,cMed2=0,555&gt;nFilas),NA(),IF(AND(ISNUMBER(INDEX(rMed2,555)),ISNUMBER(INDEX(rMed,555))),INDEX(rMed2,555),NA()))</f>
        <v>3</v>
      </c>
      <c r="BY557">
        <f>IF(OR(cMed=0,cMed2=0,555&gt;nFilas),NA(),IF(AND(ISNUMBER(INDEX(rMed2,555)),ISNUMBER(INDEX(rMed,555))),INDEX(rMed,555),NA()))</f>
        <v>354900</v>
      </c>
    </row>
    <row r="558">
      <c r="BX558">
        <f>IF(OR(cMed=0,cMed2=0,556&gt;nFilas),NA(),IF(AND(ISNUMBER(INDEX(rMed2,556)),ISNUMBER(INDEX(rMed,556))),INDEX(rMed2,556),NA()))</f>
        <v>4</v>
      </c>
      <c r="BY558">
        <f>IF(OR(cMed=0,cMed2=0,556&gt;nFilas),NA(),IF(AND(ISNUMBER(INDEX(rMed2,556)),ISNUMBER(INDEX(rMed,556))),INDEX(rMed,556),NA()))</f>
        <v>664800</v>
      </c>
    </row>
    <row r="559">
      <c r="BX559">
        <f>IF(OR(cMed=0,cMed2=0,557&gt;nFilas),NA(),IF(AND(ISNUMBER(INDEX(rMed2,557)),ISNUMBER(INDEX(rMed,557))),INDEX(rMed2,557),NA()))</f>
        <v>4</v>
      </c>
      <c r="BY559">
        <f>IF(OR(cMed=0,cMed2=0,557&gt;nFilas),NA(),IF(AND(ISNUMBER(INDEX(rMed2,557)),ISNUMBER(INDEX(rMed,557))),INDEX(rMed,557),NA()))</f>
        <v>3935200</v>
      </c>
    </row>
    <row r="560">
      <c r="BX560">
        <f>IF(OR(cMed=0,cMed2=0,558&gt;nFilas),NA(),IF(AND(ISNUMBER(INDEX(rMed2,558)),ISNUMBER(INDEX(rMed,558))),INDEX(rMed2,558),NA()))</f>
        <v>5</v>
      </c>
      <c r="BY560">
        <f>IF(OR(cMed=0,cMed2=0,558&gt;nFilas),NA(),IF(AND(ISNUMBER(INDEX(rMed2,558)),ISNUMBER(INDEX(rMed,558))),INDEX(rMed,558),NA()))</f>
        <v>702000</v>
      </c>
    </row>
    <row r="561">
      <c r="BX561">
        <f>IF(OR(cMed=0,cMed2=0,559&gt;nFilas),NA(),IF(AND(ISNUMBER(INDEX(rMed2,559)),ISNUMBER(INDEX(rMed,559))),INDEX(rMed2,559),NA()))</f>
        <v>1</v>
      </c>
      <c r="BY561">
        <f>IF(OR(cMed=0,cMed2=0,559&gt;nFilas),NA(),IF(AND(ISNUMBER(INDEX(rMed2,559)),ISNUMBER(INDEX(rMed,559))),INDEX(rMed,559),NA()))</f>
        <v>66800</v>
      </c>
    </row>
    <row r="562">
      <c r="BX562">
        <f>IF(OR(cMed=0,cMed2=0,560&gt;nFilas),NA(),IF(AND(ISNUMBER(INDEX(rMed2,560)),ISNUMBER(INDEX(rMed,560))),INDEX(rMed2,560),NA()))</f>
        <v>1</v>
      </c>
      <c r="BY562">
        <f>IF(OR(cMed=0,cMed2=0,560&gt;nFilas),NA(),IF(AND(ISNUMBER(INDEX(rMed2,560)),ISNUMBER(INDEX(rMed,560))),INDEX(rMed,560),NA()))</f>
        <v>120300</v>
      </c>
    </row>
    <row r="563">
      <c r="BX563">
        <f>IF(OR(cMed=0,cMed2=0,561&gt;nFilas),NA(),IF(AND(ISNUMBER(INDEX(rMed2,561)),ISNUMBER(INDEX(rMed,561))),INDEX(rMed2,561),NA()))</f>
        <v>4</v>
      </c>
      <c r="BY563">
        <f>IF(OR(cMed=0,cMed2=0,561&gt;nFilas),NA(),IF(AND(ISNUMBER(INDEX(rMed2,561)),ISNUMBER(INDEX(rMed,561))),INDEX(rMed,561),NA()))</f>
        <v>288800</v>
      </c>
    </row>
    <row r="564">
      <c r="BX564">
        <f>IF(OR(cMed=0,cMed2=0,562&gt;nFilas),NA(),IF(AND(ISNUMBER(INDEX(rMed2,562)),ISNUMBER(INDEX(rMed,562))),INDEX(rMed2,562),NA()))</f>
        <v>4</v>
      </c>
      <c r="BY564">
        <f>IF(OR(cMed=0,cMed2=0,562&gt;nFilas),NA(),IF(AND(ISNUMBER(INDEX(rMed2,562)),ISNUMBER(INDEX(rMed,562))),INDEX(rMed,562),NA()))</f>
        <v>459600</v>
      </c>
    </row>
    <row r="565">
      <c r="BX565">
        <f>IF(OR(cMed=0,cMed2=0,563&gt;nFilas),NA(),IF(AND(ISNUMBER(INDEX(rMed2,563)),ISNUMBER(INDEX(rMed,563))),INDEX(rMed2,563),NA()))</f>
        <v>4</v>
      </c>
      <c r="BY565">
        <f>IF(OR(cMed=0,cMed2=0,563&gt;nFilas),NA(),IF(AND(ISNUMBER(INDEX(rMed2,563)),ISNUMBER(INDEX(rMed,563))),INDEX(rMed,563),NA()))</f>
        <v>298400</v>
      </c>
    </row>
    <row r="566">
      <c r="BX566">
        <f>IF(OR(cMed=0,cMed2=0,564&gt;nFilas),NA(),IF(AND(ISNUMBER(INDEX(rMed2,564)),ISNUMBER(INDEX(rMed,564))),INDEX(rMed2,564),NA()))</f>
        <v>3</v>
      </c>
      <c r="BY566">
        <f>IF(OR(cMed=0,cMed2=0,564&gt;nFilas),NA(),IF(AND(ISNUMBER(INDEX(rMed2,564)),ISNUMBER(INDEX(rMed,564))),INDEX(rMed,564),NA()))</f>
        <v>537900</v>
      </c>
    </row>
    <row r="567">
      <c r="BX567">
        <f>IF(OR(cMed=0,cMed2=0,565&gt;nFilas),NA(),IF(AND(ISNUMBER(INDEX(rMed2,565)),ISNUMBER(INDEX(rMed,565))),INDEX(rMed2,565),NA()))</f>
        <v>2</v>
      </c>
      <c r="BY567">
        <f>IF(OR(cMed=0,cMed2=0,565&gt;nFilas),NA(),IF(AND(ISNUMBER(INDEX(rMed2,565)),ISNUMBER(INDEX(rMed,565))),INDEX(rMed,565),NA()))</f>
        <v>277800</v>
      </c>
    </row>
    <row r="568">
      <c r="BX568">
        <f>IF(OR(cMed=0,cMed2=0,566&gt;nFilas),NA(),IF(AND(ISNUMBER(INDEX(rMed2,566)),ISNUMBER(INDEX(rMed,566))),INDEX(rMed2,566),NA()))</f>
        <v>1</v>
      </c>
      <c r="BY568">
        <f>IF(OR(cMed=0,cMed2=0,566&gt;nFilas),NA(),IF(AND(ISNUMBER(INDEX(rMed2,566)),ISNUMBER(INDEX(rMed,566))),INDEX(rMed,566),NA()))</f>
        <v>133600</v>
      </c>
    </row>
    <row r="569">
      <c r="BX569">
        <f>IF(OR(cMed=0,cMed2=0,567&gt;nFilas),NA(),IF(AND(ISNUMBER(INDEX(rMed2,567)),ISNUMBER(INDEX(rMed,567))),INDEX(rMed2,567),NA()))</f>
        <v>5</v>
      </c>
      <c r="BY569">
        <f>IF(OR(cMed=0,cMed2=0,567&gt;nFilas),NA(),IF(AND(ISNUMBER(INDEX(rMed2,567)),ISNUMBER(INDEX(rMed,567))),INDEX(rMed,567),NA()))</f>
        <v>440000</v>
      </c>
    </row>
    <row r="570">
      <c r="BX570">
        <f>IF(OR(cMed=0,cMed2=0,568&gt;nFilas),NA(),IF(AND(ISNUMBER(INDEX(rMed2,568)),ISNUMBER(INDEX(rMed,568))),INDEX(rMed2,568),NA()))</f>
        <v>1</v>
      </c>
      <c r="BY570">
        <f>IF(OR(cMed=0,cMed2=0,568&gt;nFilas),NA(),IF(AND(ISNUMBER(INDEX(rMed2,568)),ISNUMBER(INDEX(rMed,568))),INDEX(rMed,568),NA()))</f>
        <v>216600</v>
      </c>
    </row>
    <row r="571">
      <c r="BX571">
        <f>IF(OR(cMed=0,cMed2=0,569&gt;nFilas),NA(),IF(AND(ISNUMBER(INDEX(rMed2,569)),ISNUMBER(INDEX(rMed,569))),INDEX(rMed2,569),NA()))</f>
        <v>3</v>
      </c>
      <c r="BY571">
        <f>IF(OR(cMed=0,cMed2=0,569&gt;nFilas),NA(),IF(AND(ISNUMBER(INDEX(rMed2,569)),ISNUMBER(INDEX(rMed,569))),INDEX(rMed,569),NA()))</f>
        <v>213600</v>
      </c>
    </row>
    <row r="572">
      <c r="BX572">
        <f>IF(OR(cMed=0,cMed2=0,570&gt;nFilas),NA(),IF(AND(ISNUMBER(INDEX(rMed2,570)),ISNUMBER(INDEX(rMed,570))),INDEX(rMed2,570),NA()))</f>
        <v>2</v>
      </c>
      <c r="BY572">
        <f>IF(OR(cMed=0,cMed2=0,570&gt;nFilas),NA(),IF(AND(ISNUMBER(INDEX(rMed2,570)),ISNUMBER(INDEX(rMed,570))),INDEX(rMed,570),NA()))</f>
        <v>1534200</v>
      </c>
    </row>
    <row r="573">
      <c r="BX573">
        <f>IF(OR(cMed=0,cMed2=0,571&gt;nFilas),NA(),IF(AND(ISNUMBER(INDEX(rMed2,571)),ISNUMBER(INDEX(rMed,571))),INDEX(rMed2,571),NA()))</f>
        <v>3</v>
      </c>
      <c r="BY573">
        <f>IF(OR(cMed=0,cMed2=0,571&gt;nFilas),NA(),IF(AND(ISNUMBER(INDEX(rMed2,571)),ISNUMBER(INDEX(rMed,571))),INDEX(rMed,571),NA()))</f>
        <v>284970</v>
      </c>
    </row>
    <row r="574">
      <c r="BX574">
        <f>IF(OR(cMed=0,cMed2=0,572&gt;nFilas),NA(),IF(AND(ISNUMBER(INDEX(rMed2,572)),ISNUMBER(INDEX(rMed,572))),INDEX(rMed2,572),NA()))</f>
        <v>3</v>
      </c>
      <c r="BY574">
        <f>IF(OR(cMed=0,cMed2=0,572&gt;nFilas),NA(),IF(AND(ISNUMBER(INDEX(rMed2,572)),ISNUMBER(INDEX(rMed,572))),INDEX(rMed,572),NA()))</f>
        <v>290145</v>
      </c>
    </row>
    <row r="575">
      <c r="BX575">
        <f>IF(OR(cMed=0,cMed2=0,573&gt;nFilas),NA(),IF(AND(ISNUMBER(INDEX(rMed2,573)),ISNUMBER(INDEX(rMed,573))),INDEX(rMed2,573),NA()))</f>
        <v>4</v>
      </c>
      <c r="BY575">
        <f>IF(OR(cMed=0,cMed2=0,573&gt;nFilas),NA(),IF(AND(ISNUMBER(INDEX(rMed2,573)),ISNUMBER(INDEX(rMed,573))),INDEX(rMed,573),NA()))</f>
        <v>3942660</v>
      </c>
    </row>
    <row r="576">
      <c r="BX576">
        <f>IF(OR(cMed=0,cMed2=0,574&gt;nFilas),NA(),IF(AND(ISNUMBER(INDEX(rMed2,574)),ISNUMBER(INDEX(rMed,574))),INDEX(rMed2,574),NA()))</f>
        <v>4</v>
      </c>
      <c r="BY576">
        <f>IF(OR(cMed=0,cMed2=0,574&gt;nFilas),NA(),IF(AND(ISNUMBER(INDEX(rMed2,574)),ISNUMBER(INDEX(rMed,574))),INDEX(rMed,574),NA()))</f>
        <v>553840</v>
      </c>
    </row>
    <row r="577">
      <c r="BX577">
        <f>IF(OR(cMed=0,cMed2=0,575&gt;nFilas),NA(),IF(AND(ISNUMBER(INDEX(rMed2,575)),ISNUMBER(INDEX(rMed,575))),INDEX(rMed2,575),NA()))</f>
        <v>1</v>
      </c>
      <c r="BY577">
        <f>IF(OR(cMed=0,cMed2=0,575&gt;nFilas),NA(),IF(AND(ISNUMBER(INDEX(rMed2,575)),ISNUMBER(INDEX(rMed,575))),INDEX(rMed,575),NA()))</f>
        <v>97175</v>
      </c>
    </row>
    <row r="578">
      <c r="BX578">
        <f>IF(OR(cMed=0,cMed2=0,576&gt;nFilas),NA(),IF(AND(ISNUMBER(INDEX(rMed2,576)),ISNUMBER(INDEX(rMed,576))),INDEX(rMed2,576),NA()))</f>
        <v>5</v>
      </c>
      <c r="BY578">
        <f>IF(OR(cMed=0,cMed2=0,576&gt;nFilas),NA(),IF(AND(ISNUMBER(INDEX(rMed2,576)),ISNUMBER(INDEX(rMed,576))),INDEX(rMed,576),NA()))</f>
        <v>596850</v>
      </c>
    </row>
    <row r="579">
      <c r="BX579">
        <f>IF(OR(cMed=0,cMed2=0,577&gt;nFilas),NA(),IF(AND(ISNUMBER(INDEX(rMed2,577)),ISNUMBER(INDEX(rMed,577))),INDEX(rMed2,577),NA()))</f>
        <v>4</v>
      </c>
      <c r="BY579">
        <f>IF(OR(cMed=0,cMed2=0,577&gt;nFilas),NA(),IF(AND(ISNUMBER(INDEX(rMed2,577)),ISNUMBER(INDEX(rMed,577))),INDEX(rMed,577),NA()))</f>
        <v>744280</v>
      </c>
    </row>
    <row r="580">
      <c r="BX580">
        <f>IF(OR(cMed=0,cMed2=0,578&gt;nFilas),NA(),IF(AND(ISNUMBER(INDEX(rMed2,578)),ISNUMBER(INDEX(rMed,578))),INDEX(rMed2,578),NA()))</f>
        <v>2</v>
      </c>
      <c r="BY580">
        <f>IF(OR(cMed=0,cMed2=0,578&gt;nFilas),NA(),IF(AND(ISNUMBER(INDEX(rMed2,578)),ISNUMBER(INDEX(rMed,578))),INDEX(rMed,578),NA()))</f>
        <v>1751680</v>
      </c>
    </row>
    <row r="581">
      <c r="BX581">
        <f>IF(OR(cMed=0,cMed2=0,579&gt;nFilas),NA(),IF(AND(ISNUMBER(INDEX(rMed2,579)),ISNUMBER(INDEX(rMed,579))),INDEX(rMed2,579),NA()))</f>
        <v>5</v>
      </c>
      <c r="BY581">
        <f>IF(OR(cMed=0,cMed2=0,579&gt;nFilas),NA(),IF(AND(ISNUMBER(INDEX(rMed2,579)),ISNUMBER(INDEX(rMed,579))),INDEX(rMed,579),NA()))</f>
        <v>1120675</v>
      </c>
    </row>
    <row r="582">
      <c r="BX582">
        <f>IF(OR(cMed=0,cMed2=0,580&gt;nFilas),NA(),IF(AND(ISNUMBER(INDEX(rMed2,580)),ISNUMBER(INDEX(rMed,580))),INDEX(rMed2,580),NA()))</f>
        <v>5</v>
      </c>
      <c r="BY582">
        <f>IF(OR(cMed=0,cMed2=0,580&gt;nFilas),NA(),IF(AND(ISNUMBER(INDEX(rMed2,580)),ISNUMBER(INDEX(rMed,580))),INDEX(rMed,580),NA()))</f>
        <v>428375</v>
      </c>
    </row>
    <row r="583">
      <c r="BX583">
        <f>IF(OR(cMed=0,cMed2=0,581&gt;nFilas),NA(),IF(AND(ISNUMBER(INDEX(rMed2,581)),ISNUMBER(INDEX(rMed,581))),INDEX(rMed2,581),NA()))</f>
        <v>2</v>
      </c>
      <c r="BY583">
        <f>IF(OR(cMed=0,cMed2=0,581&gt;nFilas),NA(),IF(AND(ISNUMBER(INDEX(rMed2,581)),ISNUMBER(INDEX(rMed,581))),INDEX(rMed,581),NA()))</f>
        <v>158930</v>
      </c>
    </row>
    <row r="584">
      <c r="BX584">
        <f>IF(OR(cMed=0,cMed2=0,582&gt;nFilas),NA(),IF(AND(ISNUMBER(INDEX(rMed2,582)),ISNUMBER(INDEX(rMed,582))),INDEX(rMed2,582),NA()))</f>
        <v>3</v>
      </c>
      <c r="BY584">
        <f>IF(OR(cMed=0,cMed2=0,582&gt;nFilas),NA(),IF(AND(ISNUMBER(INDEX(rMed2,582)),ISNUMBER(INDEX(rMed,582))),INDEX(rMed,582),NA()))</f>
        <v>544410</v>
      </c>
    </row>
    <row r="585">
      <c r="BX585">
        <f>IF(OR(cMed=0,cMed2=0,583&gt;nFilas),NA(),IF(AND(ISNUMBER(INDEX(rMed2,583)),ISNUMBER(INDEX(rMed,583))),INDEX(rMed2,583),NA()))</f>
        <v>2</v>
      </c>
      <c r="BY585">
        <f>IF(OR(cMed=0,cMed2=0,583&gt;nFilas),NA(),IF(AND(ISNUMBER(INDEX(rMed2,583)),ISNUMBER(INDEX(rMed,583))),INDEX(rMed,583),NA()))</f>
        <v>292560</v>
      </c>
    </row>
    <row r="586">
      <c r="BX586">
        <f>IF(OR(cMed=0,cMed2=0,584&gt;nFilas),NA(),IF(AND(ISNUMBER(INDEX(rMed2,584)),ISNUMBER(INDEX(rMed,584))),INDEX(rMed2,584),NA()))</f>
        <v>3</v>
      </c>
      <c r="BY586">
        <f>IF(OR(cMed=0,cMed2=0,584&gt;nFilas),NA(),IF(AND(ISNUMBER(INDEX(rMed2,584)),ISNUMBER(INDEX(rMed,584))),INDEX(rMed,584),NA()))</f>
        <v>599955</v>
      </c>
    </row>
    <row r="587">
      <c r="BX587">
        <f>IF(OR(cMed=0,cMed2=0,585&gt;nFilas),NA(),IF(AND(ISNUMBER(INDEX(rMed2,585)),ISNUMBER(INDEX(rMed,585))),INDEX(rMed2,585),NA()))</f>
        <v>3</v>
      </c>
      <c r="BY587">
        <f>IF(OR(cMed=0,cMed2=0,585&gt;nFilas),NA(),IF(AND(ISNUMBER(INDEX(rMed2,585)),ISNUMBER(INDEX(rMed,585))),INDEX(rMed,585),NA()))</f>
        <v>169395</v>
      </c>
    </row>
    <row r="588">
      <c r="BX588">
        <f>IF(OR(cMed=0,cMed2=0,586&gt;nFilas),NA(),IF(AND(ISNUMBER(INDEX(rMed2,586)),ISNUMBER(INDEX(rMed,586))),INDEX(rMed2,586),NA()))</f>
        <v>1</v>
      </c>
      <c r="BY588">
        <f>IF(OR(cMed=0,cMed2=0,586&gt;nFilas),NA(),IF(AND(ISNUMBER(INDEX(rMed2,586)),ISNUMBER(INDEX(rMed,586))),INDEX(rMed,586),NA()))</f>
        <v>110745</v>
      </c>
    </row>
    <row r="589">
      <c r="BX589">
        <f>IF(OR(cMed=0,cMed2=0,587&gt;nFilas),NA(),IF(AND(ISNUMBER(INDEX(rMed2,587)),ISNUMBER(INDEX(rMed,587))),INDEX(rMed2,587),NA()))</f>
        <v>3</v>
      </c>
      <c r="BY589">
        <f>IF(OR(cMed=0,cMed2=0,587&gt;nFilas),NA(),IF(AND(ISNUMBER(INDEX(rMed2,587)),ISNUMBER(INDEX(rMed,587))),INDEX(rMed,587),NA()))</f>
        <v>772800</v>
      </c>
    </row>
    <row r="590">
      <c r="BX590">
        <f>IF(OR(cMed=0,cMed2=0,588&gt;nFilas),NA(),IF(AND(ISNUMBER(INDEX(rMed2,588)),ISNUMBER(INDEX(rMed,588))),INDEX(rMed2,588),NA()))</f>
        <v>3</v>
      </c>
      <c r="BY590">
        <f>IF(OR(cMed=0,cMed2=0,588&gt;nFilas),NA(),IF(AND(ISNUMBER(INDEX(rMed2,588)),ISNUMBER(INDEX(rMed,588))),INDEX(rMed,588),NA()))</f>
        <v>398130</v>
      </c>
    </row>
    <row r="591">
      <c r="BX591">
        <f>IF(OR(cMed=0,cMed2=0,589&gt;nFilas),NA(),IF(AND(ISNUMBER(INDEX(rMed2,589)),ISNUMBER(INDEX(rMed,589))),INDEX(rMed2,589),NA()))</f>
        <v>5</v>
      </c>
      <c r="BY591">
        <f>IF(OR(cMed=0,cMed2=0,589&gt;nFilas),NA(),IF(AND(ISNUMBER(INDEX(rMed2,589)),ISNUMBER(INDEX(rMed,589))),INDEX(rMed,589),NA()))</f>
        <v>628475</v>
      </c>
    </row>
    <row r="592">
      <c r="BX592">
        <f>IF(OR(cMed=0,cMed2=0,590&gt;nFilas),NA(),IF(AND(ISNUMBER(INDEX(rMed2,590)),ISNUMBER(INDEX(rMed,590))),INDEX(rMed2,590),NA()))</f>
        <v>4</v>
      </c>
      <c r="BY592">
        <f>IF(OR(cMed=0,cMed2=0,590&gt;nFilas),NA(),IF(AND(ISNUMBER(INDEX(rMed2,590)),ISNUMBER(INDEX(rMed,590))),INDEX(rMed,590),NA()))</f>
        <v>477480</v>
      </c>
    </row>
    <row r="593">
      <c r="BX593">
        <f>IF(OR(cMed=0,cMed2=0,591&gt;nFilas),NA(),IF(AND(ISNUMBER(INDEX(rMed2,591)),ISNUMBER(INDEX(rMed,591))),INDEX(rMed2,591),NA()))</f>
        <v>4</v>
      </c>
      <c r="BY593">
        <f>IF(OR(cMed=0,cMed2=0,591&gt;nFilas),NA(),IF(AND(ISNUMBER(INDEX(rMed2,591)),ISNUMBER(INDEX(rMed,591))),INDEX(rMed,591),NA()))</f>
        <v>782000</v>
      </c>
    </row>
    <row r="594">
      <c r="BX594">
        <f>IF(OR(cMed=0,cMed2=0,592&gt;nFilas),NA(),IF(AND(ISNUMBER(INDEX(rMed2,592)),ISNUMBER(INDEX(rMed,592))),INDEX(rMed2,592),NA()))</f>
        <v>2</v>
      </c>
      <c r="BY594">
        <f>IF(OR(cMed=0,cMed2=0,592&gt;nFilas),NA(),IF(AND(ISNUMBER(INDEX(rMed2,592)),ISNUMBER(INDEX(rMed,592))),INDEX(rMed,592),NA()))</f>
        <v>412800</v>
      </c>
    </row>
    <row r="595">
      <c r="BX595">
        <f>IF(OR(cMed=0,cMed2=0,593&gt;nFilas),NA(),IF(AND(ISNUMBER(INDEX(rMed2,593)),ISNUMBER(INDEX(rMed,593))),INDEX(rMed2,593),NA()))</f>
        <v>4</v>
      </c>
      <c r="BY595">
        <f>IF(OR(cMed=0,cMed2=0,593&gt;nFilas),NA(),IF(AND(ISNUMBER(INDEX(rMed2,593)),ISNUMBER(INDEX(rMed,593))),INDEX(rMed,593),NA()))</f>
        <v>431200</v>
      </c>
    </row>
    <row r="596">
      <c r="BX596">
        <f>IF(OR(cMed=0,cMed2=0,594&gt;nFilas),NA(),IF(AND(ISNUMBER(INDEX(rMed2,594)),ISNUMBER(INDEX(rMed,594))),INDEX(rMed2,594),NA()))</f>
        <v>1</v>
      </c>
      <c r="BY596">
        <f>IF(OR(cMed=0,cMed2=0,594&gt;nFilas),NA(),IF(AND(ISNUMBER(INDEX(rMed2,594)),ISNUMBER(INDEX(rMed,594))),INDEX(rMed,594),NA()))</f>
        <v>124000</v>
      </c>
    </row>
    <row r="597">
      <c r="BX597">
        <f>IF(OR(cMed=0,cMed2=0,595&gt;nFilas),NA(),IF(AND(ISNUMBER(INDEX(rMed2,595)),ISNUMBER(INDEX(rMed,595))),INDEX(rMed2,595),NA()))</f>
        <v>1</v>
      </c>
      <c r="BY597">
        <f>IF(OR(cMed=0,cMed2=0,595&gt;nFilas),NA(),IF(AND(ISNUMBER(INDEX(rMed2,595)),ISNUMBER(INDEX(rMed,595))),INDEX(rMed,595),NA()))</f>
        <v>185900</v>
      </c>
    </row>
    <row r="598">
      <c r="BX598">
        <f>IF(OR(cMed=0,cMed2=0,596&gt;nFilas),NA(),IF(AND(ISNUMBER(INDEX(rMed2,596)),ISNUMBER(INDEX(rMed,596))),INDEX(rMed2,596),NA()))</f>
        <v>4</v>
      </c>
      <c r="BY598">
        <f>IF(OR(cMed=0,cMed2=0,596&gt;nFilas),NA(),IF(AND(ISNUMBER(INDEX(rMed2,596)),ISNUMBER(INDEX(rMed,596))),INDEX(rMed,596),NA()))</f>
        <v>640400</v>
      </c>
    </row>
    <row r="599">
      <c r="BX599">
        <f>IF(OR(cMed=0,cMed2=0,597&gt;nFilas),NA(),IF(AND(ISNUMBER(INDEX(rMed2,597)),ISNUMBER(INDEX(rMed,597))),INDEX(rMed2,597),NA()))</f>
        <v>1</v>
      </c>
      <c r="BY599">
        <f>IF(OR(cMed=0,cMed2=0,597&gt;nFilas),NA(),IF(AND(ISNUMBER(INDEX(rMed2,597)),ISNUMBER(INDEX(rMed,597))),INDEX(rMed,597),NA()))</f>
        <v>97100</v>
      </c>
    </row>
    <row r="600">
      <c r="BX600">
        <f>IF(OR(cMed=0,cMed2=0,598&gt;nFilas),NA(),IF(AND(ISNUMBER(INDEX(rMed2,598)),ISNUMBER(INDEX(rMed,598))),INDEX(rMed2,598),NA()))</f>
        <v>1</v>
      </c>
      <c r="BY600">
        <f>IF(OR(cMed=0,cMed2=0,598&gt;nFilas),NA(),IF(AND(ISNUMBER(INDEX(rMed2,598)),ISNUMBER(INDEX(rMed,598))),INDEX(rMed,598),NA()))</f>
        <v>194200</v>
      </c>
    </row>
    <row r="601">
      <c r="BX601">
        <f>IF(OR(cMed=0,cMed2=0,599&gt;nFilas),NA(),IF(AND(ISNUMBER(INDEX(rMed2,599)),ISNUMBER(INDEX(rMed,599))),INDEX(rMed2,599),NA()))</f>
        <v>1</v>
      </c>
      <c r="BY601">
        <f>IF(OR(cMed=0,cMed2=0,599&gt;nFilas),NA(),IF(AND(ISNUMBER(INDEX(rMed2,599)),ISNUMBER(INDEX(rMed,599))),INDEX(rMed,599),NA()))</f>
        <v>85100</v>
      </c>
    </row>
    <row r="602">
      <c r="BX602">
        <f>IF(OR(cMed=0,cMed2=0,600&gt;nFilas),NA(),IF(AND(ISNUMBER(INDEX(rMed2,600)),ISNUMBER(INDEX(rMed,600))),INDEX(rMed2,600),NA()))</f>
        <v>4</v>
      </c>
      <c r="BY602">
        <f>IF(OR(cMed=0,cMed2=0,600&gt;nFilas),NA(),IF(AND(ISNUMBER(INDEX(rMed2,600)),ISNUMBER(INDEX(rMed,600))),INDEX(rMed,600),NA()))</f>
        <v>828400</v>
      </c>
    </row>
    <row r="603">
      <c r="BX603">
        <f>IF(OR(cMed=0,cMed2=0,601&gt;nFilas),NA(),IF(AND(ISNUMBER(INDEX(rMed2,601)),ISNUMBER(INDEX(rMed,601))),INDEX(rMed2,601),NA()))</f>
        <v>4</v>
      </c>
      <c r="BY603">
        <f>IF(OR(cMed=0,cMed2=0,601&gt;nFilas),NA(),IF(AND(ISNUMBER(INDEX(rMed2,601)),ISNUMBER(INDEX(rMed,601))),INDEX(rMed,601),NA()))</f>
        <v>462800</v>
      </c>
    </row>
    <row r="604">
      <c r="BX604">
        <f>IF(OR(cMed=0,cMed2=0,602&gt;nFilas),NA(),IF(AND(ISNUMBER(INDEX(rMed2,602)),ISNUMBER(INDEX(rMed,602))),INDEX(rMed2,602),NA()))</f>
        <v>3</v>
      </c>
      <c r="BY604">
        <f>IF(OR(cMed=0,cMed2=0,602&gt;nFilas),NA(),IF(AND(ISNUMBER(INDEX(rMed2,602)),ISNUMBER(INDEX(rMed,602))),INDEX(rMed,602),NA()))</f>
        <v>781200</v>
      </c>
    </row>
    <row r="605">
      <c r="BX605">
        <f>IF(OR(cMed=0,cMed2=0,603&gt;nFilas),NA(),IF(AND(ISNUMBER(INDEX(rMed2,603)),ISNUMBER(INDEX(rMed,603))),INDEX(rMed2,603),NA()))</f>
        <v>3</v>
      </c>
      <c r="BY605">
        <f>IF(OR(cMed=0,cMed2=0,603&gt;nFilas),NA(),IF(AND(ISNUMBER(INDEX(rMed2,603)),ISNUMBER(INDEX(rMed,603))),INDEX(rMed,603),NA()))</f>
        <v>2519100</v>
      </c>
    </row>
    <row r="606">
      <c r="BX606">
        <f>IF(OR(cMed=0,cMed2=0,604&gt;nFilas),NA(),IF(AND(ISNUMBER(INDEX(rMed2,604)),ISNUMBER(INDEX(rMed,604))),INDEX(rMed2,604),NA()))</f>
        <v>5</v>
      </c>
      <c r="BY606">
        <f>IF(OR(cMed=0,cMed2=0,604&gt;nFilas),NA(),IF(AND(ISNUMBER(INDEX(rMed2,604)),ISNUMBER(INDEX(rMed,604))),INDEX(rMed,604),NA()))</f>
        <v>616000</v>
      </c>
    </row>
    <row r="607">
      <c r="BX607">
        <f>IF(OR(cMed=0,cMed2=0,605&gt;nFilas),NA(),IF(AND(ISNUMBER(INDEX(rMed2,605)),ISNUMBER(INDEX(rMed,605))),INDEX(rMed2,605),NA()))</f>
        <v>4</v>
      </c>
      <c r="BY607">
        <f>IF(OR(cMed=0,cMed2=0,605&gt;nFilas),NA(),IF(AND(ISNUMBER(INDEX(rMed2,605)),ISNUMBER(INDEX(rMed,605))),INDEX(rMed,605),NA()))</f>
        <v>742000</v>
      </c>
    </row>
    <row r="608">
      <c r="BX608">
        <f>IF(OR(cMed=0,cMed2=0,606&gt;nFilas),NA(),IF(AND(ISNUMBER(INDEX(rMed2,606)),ISNUMBER(INDEX(rMed,606))),INDEX(rMed2,606),NA()))</f>
        <v>3</v>
      </c>
      <c r="BY608">
        <f>IF(OR(cMed=0,cMed2=0,606&gt;nFilas),NA(),IF(AND(ISNUMBER(INDEX(rMed2,606)),ISNUMBER(INDEX(rMed,606))),INDEX(rMed,606),NA()))</f>
        <v>419400</v>
      </c>
    </row>
    <row r="609">
      <c r="BX609">
        <f>IF(OR(cMed=0,cMed2=0,607&gt;nFilas),NA(),IF(AND(ISNUMBER(INDEX(rMed2,607)),ISNUMBER(INDEX(rMed,607))),INDEX(rMed2,607),NA()))</f>
        <v>3</v>
      </c>
      <c r="BY609">
        <f>IF(OR(cMed=0,cMed2=0,607&gt;nFilas),NA(),IF(AND(ISNUMBER(INDEX(rMed2,607)),ISNUMBER(INDEX(rMed,607))),INDEX(rMed,607),NA()))</f>
        <v>189600</v>
      </c>
    </row>
    <row r="610">
      <c r="BX610">
        <f>IF(OR(cMed=0,cMed2=0,608&gt;nFilas),NA(),IF(AND(ISNUMBER(INDEX(rMed2,608)),ISNUMBER(INDEX(rMed,608))),INDEX(rMed2,608),NA()))</f>
        <v>1</v>
      </c>
      <c r="BY610">
        <f>IF(OR(cMed=0,cMed2=0,608&gt;nFilas),NA(),IF(AND(ISNUMBER(INDEX(rMed2,608)),ISNUMBER(INDEX(rMed,608))),INDEX(rMed,608),NA()))</f>
        <v>175600</v>
      </c>
    </row>
    <row r="611">
      <c r="BX611">
        <f>IF(OR(cMed=0,cMed2=0,609&gt;nFilas),NA(),IF(AND(ISNUMBER(INDEX(rMed2,609)),ISNUMBER(INDEX(rMed,609))),INDEX(rMed2,609),NA()))</f>
        <v>4</v>
      </c>
      <c r="BY611">
        <f>IF(OR(cMed=0,cMed2=0,609&gt;nFilas),NA(),IF(AND(ISNUMBER(INDEX(rMed2,609)),ISNUMBER(INDEX(rMed,609))),INDEX(rMed,609),NA()))</f>
        <v>593600</v>
      </c>
    </row>
    <row r="612">
      <c r="BX612">
        <f>IF(OR(cMed=0,cMed2=0,610&gt;nFilas),NA(),IF(AND(ISNUMBER(INDEX(rMed2,610)),ISNUMBER(INDEX(rMed,610))),INDEX(rMed2,610),NA()))</f>
        <v>1</v>
      </c>
      <c r="BY612">
        <f>IF(OR(cMed=0,cMed2=0,610&gt;nFilas),NA(),IF(AND(ISNUMBER(INDEX(rMed2,610)),ISNUMBER(INDEX(rMed,610))),INDEX(rMed,610),NA()))</f>
        <v>270500</v>
      </c>
    </row>
    <row r="613">
      <c r="BX613">
        <f>IF(OR(cMed=0,cMed2=0,611&gt;nFilas),NA(),IF(AND(ISNUMBER(INDEX(rMed2,611)),ISNUMBER(INDEX(rMed,611))),INDEX(rMed2,611),NA()))</f>
        <v>5</v>
      </c>
      <c r="BY613">
        <f>IF(OR(cMed=0,cMed2=0,611&gt;nFilas),NA(),IF(AND(ISNUMBER(INDEX(rMed2,611)),ISNUMBER(INDEX(rMed,611))),INDEX(rMed,611),NA()))</f>
        <v>576725</v>
      </c>
    </row>
    <row r="614">
      <c r="BX614">
        <f>IF(OR(cMed=0,cMed2=0,612&gt;nFilas),NA(),IF(AND(ISNUMBER(INDEX(rMed2,612)),ISNUMBER(INDEX(rMed,612))),INDEX(rMed2,612),NA()))</f>
        <v>5</v>
      </c>
      <c r="BY614">
        <f>IF(OR(cMed=0,cMed2=0,612&gt;nFilas),NA(),IF(AND(ISNUMBER(INDEX(rMed2,612)),ISNUMBER(INDEX(rMed,612))),INDEX(rMed,612),NA()))</f>
        <v>5445825</v>
      </c>
    </row>
    <row r="615">
      <c r="BX615">
        <f>IF(OR(cMed=0,cMed2=0,613&gt;nFilas),NA(),IF(AND(ISNUMBER(INDEX(rMed2,613)),ISNUMBER(INDEX(rMed,613))),INDEX(rMed2,613),NA()))</f>
        <v>2</v>
      </c>
      <c r="BY615">
        <f>IF(OR(cMed=0,cMed2=0,613&gt;nFilas),NA(),IF(AND(ISNUMBER(INDEX(rMed2,613)),ISNUMBER(INDEX(rMed,613))),INDEX(rMed,613),NA()))</f>
        <v>192280</v>
      </c>
    </row>
    <row r="616">
      <c r="BX616">
        <f>IF(OR(cMed=0,cMed2=0,614&gt;nFilas),NA(),IF(AND(ISNUMBER(INDEX(rMed2,614)),ISNUMBER(INDEX(rMed,614))),INDEX(rMed2,614),NA()))</f>
        <v>2</v>
      </c>
      <c r="BY616">
        <f>IF(OR(cMed=0,cMed2=0,614&gt;nFilas),NA(),IF(AND(ISNUMBER(INDEX(rMed2,614)),ISNUMBER(INDEX(rMed,614))),INDEX(rMed,614),NA()))</f>
        <v>325220</v>
      </c>
    </row>
    <row r="617">
      <c r="BX617">
        <f>IF(OR(cMed=0,cMed2=0,615&gt;nFilas),NA(),IF(AND(ISNUMBER(INDEX(rMed2,615)),ISNUMBER(INDEX(rMed,615))),INDEX(rMed2,615),NA()))</f>
        <v>5</v>
      </c>
      <c r="BY617">
        <f>IF(OR(cMed=0,cMed2=0,615&gt;nFilas),NA(),IF(AND(ISNUMBER(INDEX(rMed2,615)),ISNUMBER(INDEX(rMed,615))),INDEX(rMed,615),NA()))</f>
        <v>344425</v>
      </c>
    </row>
    <row r="618">
      <c r="BX618">
        <f>IF(OR(cMed=0,cMed2=0,616&gt;nFilas),NA(),IF(AND(ISNUMBER(INDEX(rMed2,616)),ISNUMBER(INDEX(rMed,616))),INDEX(rMed2,616),NA()))</f>
        <v>2</v>
      </c>
      <c r="BY618">
        <f>IF(OR(cMed=0,cMed2=0,616&gt;nFilas),NA(),IF(AND(ISNUMBER(INDEX(rMed2,616)),ISNUMBER(INDEX(rMed,616))),INDEX(rMed,616),NA()))</f>
        <v>549240</v>
      </c>
    </row>
    <row r="619">
      <c r="BX619">
        <f>IF(OR(cMed=0,cMed2=0,617&gt;nFilas),NA(),IF(AND(ISNUMBER(INDEX(rMed2,617)),ISNUMBER(INDEX(rMed,617))),INDEX(rMed2,617),NA()))</f>
        <v>4</v>
      </c>
      <c r="BY619">
        <f>IF(OR(cMed=0,cMed2=0,617&gt;nFilas),NA(),IF(AND(ISNUMBER(INDEX(rMed2,617)),ISNUMBER(INDEX(rMed,617))),INDEX(rMed,617),NA()))</f>
        <v>495420</v>
      </c>
    </row>
    <row r="620">
      <c r="BX620">
        <f>IF(OR(cMed=0,cMed2=0,618&gt;nFilas),NA(),IF(AND(ISNUMBER(INDEX(rMed2,618)),ISNUMBER(INDEX(rMed,618))),INDEX(rMed2,618),NA()))</f>
        <v>5</v>
      </c>
      <c r="BY620">
        <f>IF(OR(cMed=0,cMed2=0,618&gt;nFilas),NA(),IF(AND(ISNUMBER(INDEX(rMed2,618)),ISNUMBER(INDEX(rMed,618))),INDEX(rMed,618),NA()))</f>
        <v>672175</v>
      </c>
    </row>
    <row r="621">
      <c r="BX621">
        <f>IF(OR(cMed=0,cMed2=0,619&gt;nFilas),NA(),IF(AND(ISNUMBER(INDEX(rMed2,619)),ISNUMBER(INDEX(rMed,619))),INDEX(rMed2,619),NA()))</f>
        <v>1</v>
      </c>
      <c r="BY621">
        <f>IF(OR(cMed=0,cMed2=0,619&gt;nFilas),NA(),IF(AND(ISNUMBER(INDEX(rMed2,619)),ISNUMBER(INDEX(rMed,619))),INDEX(rMed,619),NA()))</f>
        <v>230690</v>
      </c>
    </row>
    <row r="622">
      <c r="BX622">
        <f>IF(OR(cMed=0,cMed2=0,620&gt;nFilas),NA(),IF(AND(ISNUMBER(INDEX(rMed2,620)),ISNUMBER(INDEX(rMed,620))),INDEX(rMed2,620),NA()))</f>
        <v>5</v>
      </c>
      <c r="BY622">
        <f>IF(OR(cMed=0,cMed2=0,620&gt;nFilas),NA(),IF(AND(ISNUMBER(INDEX(rMed2,620)),ISNUMBER(INDEX(rMed,620))),INDEX(rMed,620),NA()))</f>
        <v>710700</v>
      </c>
    </row>
    <row r="623">
      <c r="BX623">
        <f>IF(OR(cMed=0,cMed2=0,621&gt;nFilas),NA(),IF(AND(ISNUMBER(INDEX(rMed2,621)),ISNUMBER(INDEX(rMed,621))),INDEX(rMed2,621),NA()))</f>
        <v>1</v>
      </c>
      <c r="BY623">
        <f>IF(OR(cMed=0,cMed2=0,621&gt;nFilas),NA(),IF(AND(ISNUMBER(INDEX(rMed2,621)),ISNUMBER(INDEX(rMed,621))),INDEX(rMed,621),NA()))</f>
        <v>219650</v>
      </c>
    </row>
    <row r="624">
      <c r="BX624">
        <f>IF(OR(cMed=0,cMed2=0,622&gt;nFilas),NA(),IF(AND(ISNUMBER(INDEX(rMed2,622)),ISNUMBER(INDEX(rMed,622))),INDEX(rMed2,622),NA()))</f>
        <v>2</v>
      </c>
      <c r="BY624">
        <f>IF(OR(cMed=0,cMed2=0,622&gt;nFilas),NA(),IF(AND(ISNUMBER(INDEX(rMed2,622)),ISNUMBER(INDEX(rMed,622))),INDEX(rMed,622),NA()))</f>
        <v>258520</v>
      </c>
    </row>
    <row r="625">
      <c r="BX625">
        <f>IF(OR(cMed=0,cMed2=0,623&gt;nFilas),NA(),IF(AND(ISNUMBER(INDEX(rMed2,623)),ISNUMBER(INDEX(rMed,623))),INDEX(rMed2,623),NA()))</f>
        <v>2</v>
      </c>
      <c r="BY625">
        <f>IF(OR(cMed=0,cMed2=0,623&gt;nFilas),NA(),IF(AND(ISNUMBER(INDEX(rMed2,623)),ISNUMBER(INDEX(rMed,623))),INDEX(rMed,623),NA()))</f>
        <v>157320</v>
      </c>
    </row>
    <row r="626">
      <c r="BX626">
        <f>IF(OR(cMed=0,cMed2=0,624&gt;nFilas),NA(),IF(AND(ISNUMBER(INDEX(rMed2,624)),ISNUMBER(INDEX(rMed,624))),INDEX(rMed2,624),NA()))</f>
        <v>5</v>
      </c>
      <c r="BY626">
        <f>IF(OR(cMed=0,cMed2=0,624&gt;nFilas),NA(),IF(AND(ISNUMBER(INDEX(rMed2,624)),ISNUMBER(INDEX(rMed,624))),INDEX(rMed,624),NA()))</f>
        <v>596500</v>
      </c>
    </row>
    <row r="627">
      <c r="BX627">
        <f>IF(OR(cMed=0,cMed2=0,625&gt;nFilas),NA(),IF(AND(ISNUMBER(INDEX(rMed2,625)),ISNUMBER(INDEX(rMed,625))),INDEX(rMed2,625),NA()))</f>
        <v>3</v>
      </c>
      <c r="BY627">
        <f>IF(OR(cMed=0,cMed2=0,625&gt;nFilas),NA(),IF(AND(ISNUMBER(INDEX(rMed2,625)),ISNUMBER(INDEX(rMed,625))),INDEX(rMed,625),NA()))</f>
        <v>348000</v>
      </c>
    </row>
    <row r="628">
      <c r="BX628">
        <f>IF(OR(cMed=0,cMed2=0,626&gt;nFilas),NA(),IF(AND(ISNUMBER(INDEX(rMed2,626)),ISNUMBER(INDEX(rMed,626))),INDEX(rMed2,626),NA()))</f>
        <v>1</v>
      </c>
      <c r="BY628">
        <f>IF(OR(cMed=0,cMed2=0,626&gt;nFilas),NA(),IF(AND(ISNUMBER(INDEX(rMed2,626)),ISNUMBER(INDEX(rMed,626))),INDEX(rMed,626),NA()))</f>
        <v>83300</v>
      </c>
    </row>
    <row r="629">
      <c r="BX629">
        <f>IF(OR(cMed=0,cMed2=0,627&gt;nFilas),NA(),IF(AND(ISNUMBER(INDEX(rMed2,627)),ISNUMBER(INDEX(rMed,627))),INDEX(rMed2,627),NA()))</f>
        <v>1</v>
      </c>
      <c r="BY629">
        <f>IF(OR(cMed=0,cMed2=0,627&gt;nFilas),NA(),IF(AND(ISNUMBER(INDEX(rMed2,627)),ISNUMBER(INDEX(rMed,627))),INDEX(rMed,627),NA()))</f>
        <v>135700</v>
      </c>
    </row>
    <row r="630">
      <c r="BX630">
        <f>IF(OR(cMed=0,cMed2=0,628&gt;nFilas),NA(),IF(AND(ISNUMBER(INDEX(rMed2,628)),ISNUMBER(INDEX(rMed,628))),INDEX(rMed2,628),NA()))</f>
        <v>5</v>
      </c>
      <c r="BY630">
        <f>IF(OR(cMed=0,cMed2=0,628&gt;nFilas),NA(),IF(AND(ISNUMBER(INDEX(rMed2,628)),ISNUMBER(INDEX(rMed,628))),INDEX(rMed,628),NA()))</f>
        <v>3474500</v>
      </c>
    </row>
    <row r="631">
      <c r="BX631">
        <f>IF(OR(cMed=0,cMed2=0,629&gt;nFilas),NA(),IF(AND(ISNUMBER(INDEX(rMed2,629)),ISNUMBER(INDEX(rMed,629))),INDEX(rMed2,629),NA()))</f>
        <v>2</v>
      </c>
      <c r="BY631">
        <f>IF(OR(cMed=0,cMed2=0,629&gt;nFilas),NA(),IF(AND(ISNUMBER(INDEX(rMed2,629)),ISNUMBER(INDEX(rMed,629))),INDEX(rMed,629),NA()))</f>
        <v>258200</v>
      </c>
    </row>
    <row r="632">
      <c r="BX632">
        <f>IF(OR(cMed=0,cMed2=0,630&gt;nFilas),NA(),IF(AND(ISNUMBER(INDEX(rMed2,630)),ISNUMBER(INDEX(rMed,630))),INDEX(rMed2,630),NA()))</f>
        <v>2</v>
      </c>
      <c r="BY632">
        <f>IF(OR(cMed=0,cMed2=0,630&gt;nFilas),NA(),IF(AND(ISNUMBER(INDEX(rMed2,630)),ISNUMBER(INDEX(rMed,630))),INDEX(rMed,630),NA()))</f>
        <v>205200</v>
      </c>
    </row>
    <row r="633">
      <c r="BX633">
        <f>IF(OR(cMed=0,cMed2=0,631&gt;nFilas),NA(),IF(AND(ISNUMBER(INDEX(rMed2,631)),ISNUMBER(INDEX(rMed,631))),INDEX(rMed2,631),NA()))</f>
        <v>3</v>
      </c>
      <c r="BY633">
        <f>IF(OR(cMed=0,cMed2=0,631&gt;nFilas),NA(),IF(AND(ISNUMBER(INDEX(rMed2,631)),ISNUMBER(INDEX(rMed,631))),INDEX(rMed,631),NA()))</f>
        <v>442200</v>
      </c>
    </row>
    <row r="634">
      <c r="BX634">
        <f>IF(OR(cMed=0,cMed2=0,632&gt;nFilas),NA(),IF(AND(ISNUMBER(INDEX(rMed2,632)),ISNUMBER(INDEX(rMed,632))),INDEX(rMed2,632),NA()))</f>
        <v>2</v>
      </c>
      <c r="BY634">
        <f>IF(OR(cMed=0,cMed2=0,632&gt;nFilas),NA(),IF(AND(ISNUMBER(INDEX(rMed2,632)),ISNUMBER(INDEX(rMed,632))),INDEX(rMed,632),NA()))</f>
        <v>1646600</v>
      </c>
    </row>
    <row r="635">
      <c r="BX635">
        <f>IF(OR(cMed=0,cMed2=0,633&gt;nFilas),NA(),IF(AND(ISNUMBER(INDEX(rMed2,633)),ISNUMBER(INDEX(rMed,633))),INDEX(rMed2,633),NA()))</f>
        <v>2</v>
      </c>
      <c r="BY635">
        <f>IF(OR(cMed=0,cMed2=0,633&gt;nFilas),NA(),IF(AND(ISNUMBER(INDEX(rMed2,633)),ISNUMBER(INDEX(rMed,633))),INDEX(rMed,633),NA()))</f>
        <v>169200</v>
      </c>
    </row>
    <row r="636">
      <c r="BX636">
        <f>IF(OR(cMed=0,cMed2=0,634&gt;nFilas),NA(),IF(AND(ISNUMBER(INDEX(rMed2,634)),ISNUMBER(INDEX(rMed,634))),INDEX(rMed2,634),NA()))</f>
        <v>5</v>
      </c>
      <c r="BY636">
        <f>IF(OR(cMed=0,cMed2=0,634&gt;nFilas),NA(),IF(AND(ISNUMBER(INDEX(rMed2,634)),ISNUMBER(INDEX(rMed,634))),INDEX(rMed,634),NA()))</f>
        <v>610500</v>
      </c>
    </row>
    <row r="637">
      <c r="BX637">
        <f>IF(OR(cMed=0,cMed2=0,635&gt;nFilas),NA(),IF(AND(ISNUMBER(INDEX(rMed2,635)),ISNUMBER(INDEX(rMed,635))),INDEX(rMed2,635),NA()))</f>
        <v>3</v>
      </c>
      <c r="BY637">
        <f>IF(OR(cMed=0,cMed2=0,635&gt;nFilas),NA(),IF(AND(ISNUMBER(INDEX(rMed2,635)),ISNUMBER(INDEX(rMed,635))),INDEX(rMed,635),NA()))</f>
        <v>546900</v>
      </c>
    </row>
    <row r="638">
      <c r="BX638">
        <f>IF(OR(cMed=0,cMed2=0,636&gt;nFilas),NA(),IF(AND(ISNUMBER(INDEX(rMed2,636)),ISNUMBER(INDEX(rMed,636))),INDEX(rMed2,636),NA()))</f>
        <v>2</v>
      </c>
      <c r="BY638">
        <f>IF(OR(cMed=0,cMed2=0,636&gt;nFilas),NA(),IF(AND(ISNUMBER(INDEX(rMed2,636)),ISNUMBER(INDEX(rMed,636))),INDEX(rMed,636),NA()))</f>
        <v>1476800</v>
      </c>
    </row>
    <row r="639">
      <c r="BX639">
        <f>IF(OR(cMed=0,cMed2=0,637&gt;nFilas),NA(),IF(AND(ISNUMBER(INDEX(rMed2,637)),ISNUMBER(INDEX(rMed,637))),INDEX(rMed2,637),NA()))</f>
        <v>3</v>
      </c>
      <c r="BY639">
        <f>IF(OR(cMed=0,cMed2=0,637&gt;nFilas),NA(),IF(AND(ISNUMBER(INDEX(rMed2,637)),ISNUMBER(INDEX(rMed,637))),INDEX(rMed,637),NA()))</f>
        <v>362400</v>
      </c>
    </row>
    <row r="640">
      <c r="BX640">
        <f>IF(OR(cMed=0,cMed2=0,638&gt;nFilas),NA(),IF(AND(ISNUMBER(INDEX(rMed2,638)),ISNUMBER(INDEX(rMed,638))),INDEX(rMed2,638),NA()))</f>
        <v>2</v>
      </c>
      <c r="BY640">
        <f>IF(OR(cMed=0,cMed2=0,638&gt;nFilas),NA(),IF(AND(ISNUMBER(INDEX(rMed2,638)),ISNUMBER(INDEX(rMed,638))),INDEX(rMed,638),NA()))</f>
        <v>319200</v>
      </c>
    </row>
    <row r="641">
      <c r="BX641">
        <f>IF(OR(cMed=0,cMed2=0,639&gt;nFilas),NA(),IF(AND(ISNUMBER(INDEX(rMed2,639)),ISNUMBER(INDEX(rMed,639))),INDEX(rMed2,639),NA()))</f>
        <v>5</v>
      </c>
      <c r="BY641">
        <f>IF(OR(cMed=0,cMed2=0,639&gt;nFilas),NA(),IF(AND(ISNUMBER(INDEX(rMed2,639)),ISNUMBER(INDEX(rMed,639))),INDEX(rMed,639),NA()))</f>
        <v>3420000</v>
      </c>
    </row>
    <row r="642">
      <c r="BX642">
        <f>IF(OR(cMed=0,cMed2=0,640&gt;nFilas),NA(),IF(AND(ISNUMBER(INDEX(rMed2,640)),ISNUMBER(INDEX(rMed,640))),INDEX(rMed2,640),NA()))</f>
        <v>4</v>
      </c>
      <c r="BY642">
        <f>IF(OR(cMed=0,cMed2=0,640&gt;nFilas),NA(),IF(AND(ISNUMBER(INDEX(rMed2,640)),ISNUMBER(INDEX(rMed,640))),INDEX(rMed,640),NA()))</f>
        <v>496400</v>
      </c>
    </row>
    <row r="643">
      <c r="BX643">
        <f>IF(OR(cMed=0,cMed2=0,641&gt;nFilas),NA(),IF(AND(ISNUMBER(INDEX(rMed2,641)),ISNUMBER(INDEX(rMed,641))),INDEX(rMed2,641),NA()))</f>
        <v>5</v>
      </c>
      <c r="BY643">
        <f>IF(OR(cMed=0,cMed2=0,641&gt;nFilas),NA(),IF(AND(ISNUMBER(INDEX(rMed2,641)),ISNUMBER(INDEX(rMed,641))),INDEX(rMed,641),NA()))</f>
        <v>951500</v>
      </c>
    </row>
    <row r="644">
      <c r="BX644">
        <f>IF(OR(cMed=0,cMed2=0,642&gt;nFilas),NA(),IF(AND(ISNUMBER(INDEX(rMed2,642)),ISNUMBER(INDEX(rMed,642))),INDEX(rMed2,642),NA()))</f>
        <v>2</v>
      </c>
      <c r="BY644">
        <f>IF(OR(cMed=0,cMed2=0,642&gt;nFilas),NA(),IF(AND(ISNUMBER(INDEX(rMed2,642)),ISNUMBER(INDEX(rMed,642))),INDEX(rMed,642),NA()))</f>
        <v>1379000</v>
      </c>
    </row>
    <row r="645">
      <c r="BX645">
        <f>IF(OR(cMed=0,cMed2=0,643&gt;nFilas),NA(),IF(AND(ISNUMBER(INDEX(rMed2,643)),ISNUMBER(INDEX(rMed,643))),INDEX(rMed2,643),NA()))</f>
        <v>2</v>
      </c>
      <c r="BY645">
        <f>IF(OR(cMed=0,cMed2=0,643&gt;nFilas),NA(),IF(AND(ISNUMBER(INDEX(rMed2,643)),ISNUMBER(INDEX(rMed,643))),INDEX(rMed,643),NA()))</f>
        <v>171600</v>
      </c>
    </row>
    <row r="646">
      <c r="BX646">
        <f>IF(OR(cMed=0,cMed2=0,644&gt;nFilas),NA(),IF(AND(ISNUMBER(INDEX(rMed2,644)),ISNUMBER(INDEX(rMed,644))),INDEX(rMed2,644),NA()))</f>
        <v>2</v>
      </c>
      <c r="BY646">
        <f>IF(OR(cMed=0,cMed2=0,644&gt;nFilas),NA(),IF(AND(ISNUMBER(INDEX(rMed2,644)),ISNUMBER(INDEX(rMed,644))),INDEX(rMed,644),NA()))</f>
        <v>161000</v>
      </c>
    </row>
    <row r="647">
      <c r="BX647">
        <f>IF(OR(cMed=0,cMed2=0,645&gt;nFilas),NA(),IF(AND(ISNUMBER(INDEX(rMed2,645)),ISNUMBER(INDEX(rMed,645))),INDEX(rMed2,645),NA()))</f>
        <v>3</v>
      </c>
      <c r="BY647">
        <f>IF(OR(cMed=0,cMed2=0,645&gt;nFilas),NA(),IF(AND(ISNUMBER(INDEX(rMed2,645)),ISNUMBER(INDEX(rMed,645))),INDEX(rMed,645),NA()))</f>
        <v>343275</v>
      </c>
    </row>
    <row r="648">
      <c r="BX648">
        <f>IF(OR(cMed=0,cMed2=0,646&gt;nFilas),NA(),IF(AND(ISNUMBER(INDEX(rMed2,646)),ISNUMBER(INDEX(rMed,646))),INDEX(rMed2,646),NA()))</f>
        <v>2</v>
      </c>
      <c r="BY648">
        <f>IF(OR(cMed=0,cMed2=0,646&gt;nFilas),NA(),IF(AND(ISNUMBER(INDEX(rMed2,646)),ISNUMBER(INDEX(rMed,646))),INDEX(rMed,646),NA()))</f>
        <v>2156940</v>
      </c>
    </row>
    <row r="649">
      <c r="BX649">
        <f>IF(OR(cMed=0,cMed2=0,647&gt;nFilas),NA(),IF(AND(ISNUMBER(INDEX(rMed2,647)),ISNUMBER(INDEX(rMed,647))),INDEX(rMed2,647),NA()))</f>
        <v>3</v>
      </c>
      <c r="BY649">
        <f>IF(OR(cMed=0,cMed2=0,647&gt;nFilas),NA(),IF(AND(ISNUMBER(INDEX(rMed2,647)),ISNUMBER(INDEX(rMed,647))),INDEX(rMed,647),NA()))</f>
        <v>175605</v>
      </c>
    </row>
    <row r="650">
      <c r="BX650">
        <f>IF(OR(cMed=0,cMed2=0,648&gt;nFilas),NA(),IF(AND(ISNUMBER(INDEX(rMed2,648)),ISNUMBER(INDEX(rMed,648))),INDEX(rMed2,648),NA()))</f>
        <v>5</v>
      </c>
      <c r="BY650">
        <f>IF(OR(cMed=0,cMed2=0,648&gt;nFilas),NA(),IF(AND(ISNUMBER(INDEX(rMed2,648)),ISNUMBER(INDEX(rMed,648))),INDEX(rMed,648),NA()))</f>
        <v>389275</v>
      </c>
    </row>
    <row r="651">
      <c r="BX651">
        <f>IF(OR(cMed=0,cMed2=0,649&gt;nFilas),NA(),IF(AND(ISNUMBER(INDEX(rMed2,649)),ISNUMBER(INDEX(rMed,649))),INDEX(rMed2,649),NA()))</f>
        <v>5</v>
      </c>
      <c r="BY651">
        <f>IF(OR(cMed=0,cMed2=0,649&gt;nFilas),NA(),IF(AND(ISNUMBER(INDEX(rMed2,649)),ISNUMBER(INDEX(rMed,649))),INDEX(rMed,649),NA()))</f>
        <v>1408750</v>
      </c>
    </row>
    <row r="652">
      <c r="BX652">
        <f>IF(OR(cMed=0,cMed2=0,650&gt;nFilas),NA(),IF(AND(ISNUMBER(INDEX(rMed2,650)),ISNUMBER(INDEX(rMed,650))),INDEX(rMed2,650),NA()))</f>
        <v>1</v>
      </c>
      <c r="BY652">
        <f>IF(OR(cMed=0,cMed2=0,650&gt;nFilas),NA(),IF(AND(ISNUMBER(INDEX(rMed2,650)),ISNUMBER(INDEX(rMed,650))),INDEX(rMed,650),NA()))</f>
        <v>174110</v>
      </c>
    </row>
    <row r="653">
      <c r="BX653">
        <f>IF(OR(cMed=0,cMed2=0,651&gt;nFilas),NA(),IF(AND(ISNUMBER(INDEX(rMed2,651)),ISNUMBER(INDEX(rMed,651))),INDEX(rMed2,651),NA()))</f>
        <v>5</v>
      </c>
      <c r="BY653">
        <f>IF(OR(cMed=0,cMed2=0,651&gt;nFilas),NA(),IF(AND(ISNUMBER(INDEX(rMed2,651)),ISNUMBER(INDEX(rMed,651))),INDEX(rMed,651),NA()))</f>
        <v>917700</v>
      </c>
    </row>
    <row r="654">
      <c r="BX654">
        <f>IF(OR(cMed=0,cMed2=0,652&gt;nFilas),NA(),IF(AND(ISNUMBER(INDEX(rMed2,652)),ISNUMBER(INDEX(rMed,652))),INDEX(rMed2,652),NA()))</f>
        <v>2</v>
      </c>
      <c r="BY654">
        <f>IF(OR(cMed=0,cMed2=0,652&gt;nFilas),NA(),IF(AND(ISNUMBER(INDEX(rMed2,652)),ISNUMBER(INDEX(rMed,652))),INDEX(rMed,652),NA()))</f>
        <v>294860</v>
      </c>
    </row>
    <row r="655">
      <c r="BX655">
        <f>IF(OR(cMed=0,cMed2=0,653&gt;nFilas),NA(),IF(AND(ISNUMBER(INDEX(rMed2,653)),ISNUMBER(INDEX(rMed,653))),INDEX(rMed2,653),NA()))</f>
        <v>3</v>
      </c>
      <c r="BY655">
        <f>IF(OR(cMed=0,cMed2=0,653&gt;nFilas),NA(),IF(AND(ISNUMBER(INDEX(rMed2,653)),ISNUMBER(INDEX(rMed,653))),INDEX(rMed,653),NA()))</f>
        <v>3206775</v>
      </c>
    </row>
    <row r="656">
      <c r="BX656">
        <f>IF(OR(cMed=0,cMed2=0,654&gt;nFilas),NA(),IF(AND(ISNUMBER(INDEX(rMed2,654)),ISNUMBER(INDEX(rMed,654))),INDEX(rMed2,654),NA()))</f>
        <v>5</v>
      </c>
      <c r="BY656">
        <f>IF(OR(cMed=0,cMed2=0,654&gt;nFilas),NA(),IF(AND(ISNUMBER(INDEX(rMed2,654)),ISNUMBER(INDEX(rMed,654))),INDEX(rMed,654),NA()))</f>
        <v>986700</v>
      </c>
    </row>
    <row r="657">
      <c r="BX657">
        <f>IF(OR(cMed=0,cMed2=0,655&gt;nFilas),NA(),IF(AND(ISNUMBER(INDEX(rMed2,655)),ISNUMBER(INDEX(rMed,655))),INDEX(rMed2,655),NA()))</f>
        <v>4</v>
      </c>
      <c r="BY657">
        <f>IF(OR(cMed=0,cMed2=0,655&gt;nFilas),NA(),IF(AND(ISNUMBER(INDEX(rMed2,655)),ISNUMBER(INDEX(rMed,655))),INDEX(rMed,655),NA()))</f>
        <v>1109980</v>
      </c>
    </row>
    <row r="658">
      <c r="BX658">
        <f>IF(OR(cMed=0,cMed2=0,656&gt;nFilas),NA(),IF(AND(ISNUMBER(INDEX(rMed2,656)),ISNUMBER(INDEX(rMed,656))),INDEX(rMed2,656),NA()))</f>
        <v>2</v>
      </c>
      <c r="BY658">
        <f>IF(OR(cMed=0,cMed2=0,656&gt;nFilas),NA(),IF(AND(ISNUMBER(INDEX(rMed2,656)),ISNUMBER(INDEX(rMed,656))),INDEX(rMed,656),NA()))</f>
        <v>1894740</v>
      </c>
    </row>
    <row r="659">
      <c r="BX659">
        <f>IF(OR(cMed=0,cMed2=0,657&gt;nFilas),NA(),IF(AND(ISNUMBER(INDEX(rMed2,657)),ISNUMBER(INDEX(rMed,657))),INDEX(rMed2,657),NA()))</f>
        <v>5</v>
      </c>
      <c r="BY659">
        <f>IF(OR(cMed=0,cMed2=0,657&gt;nFilas),NA(),IF(AND(ISNUMBER(INDEX(rMed2,657)),ISNUMBER(INDEX(rMed,657))),INDEX(rMed,657),NA()))</f>
        <v>580175</v>
      </c>
    </row>
    <row r="660">
      <c r="BX660">
        <f>IF(OR(cMed=0,cMed2=0,658&gt;nFilas),NA(),IF(AND(ISNUMBER(INDEX(rMed2,658)),ISNUMBER(INDEX(rMed,658))),INDEX(rMed2,658),NA()))</f>
        <v>2</v>
      </c>
      <c r="BY660">
        <f>IF(OR(cMed=0,cMed2=0,658&gt;nFilas),NA(),IF(AND(ISNUMBER(INDEX(rMed2,658)),ISNUMBER(INDEX(rMed,658))),INDEX(rMed,658),NA()))</f>
        <v>164800</v>
      </c>
    </row>
    <row r="661">
      <c r="BX661">
        <f>IF(OR(cMed=0,cMed2=0,659&gt;nFilas),NA(),IF(AND(ISNUMBER(INDEX(rMed2,659)),ISNUMBER(INDEX(rMed,659))),INDEX(rMed2,659),NA()))</f>
        <v>2</v>
      </c>
      <c r="BY661">
        <f>IF(OR(cMed=0,cMed2=0,659&gt;nFilas),NA(),IF(AND(ISNUMBER(INDEX(rMed2,659)),ISNUMBER(INDEX(rMed,659))),INDEX(rMed,659),NA()))</f>
        <v>406000</v>
      </c>
    </row>
    <row r="662">
      <c r="BX662">
        <f>IF(OR(cMed=0,cMed2=0,660&gt;nFilas),NA(),IF(AND(ISNUMBER(INDEX(rMed2,660)),ISNUMBER(INDEX(rMed,660))),INDEX(rMed2,660),NA()))</f>
        <v>4</v>
      </c>
      <c r="BY662">
        <f>IF(OR(cMed=0,cMed2=0,660&gt;nFilas),NA(),IF(AND(ISNUMBER(INDEX(rMed2,660)),ISNUMBER(INDEX(rMed,660))),INDEX(rMed,660),NA()))</f>
        <v>648400</v>
      </c>
    </row>
    <row r="663">
      <c r="BX663">
        <f>IF(OR(cMed=0,cMed2=0,661&gt;nFilas),NA(),IF(AND(ISNUMBER(INDEX(rMed2,661)),ISNUMBER(INDEX(rMed,661))),INDEX(rMed2,661),NA()))</f>
        <v>2</v>
      </c>
      <c r="BY663">
        <f>IF(OR(cMed=0,cMed2=0,661&gt;nFilas),NA(),IF(AND(ISNUMBER(INDEX(rMed2,661)),ISNUMBER(INDEX(rMed,661))),INDEX(rMed,661),NA()))</f>
        <v>395600</v>
      </c>
    </row>
    <row r="664">
      <c r="BX664">
        <f>IF(OR(cMed=0,cMed2=0,662&gt;nFilas),NA(),IF(AND(ISNUMBER(INDEX(rMed2,662)),ISNUMBER(INDEX(rMed,662))),INDEX(rMed2,662),NA()))</f>
        <v>4</v>
      </c>
      <c r="BY664">
        <f>IF(OR(cMed=0,cMed2=0,662&gt;nFilas),NA(),IF(AND(ISNUMBER(INDEX(rMed2,662)),ISNUMBER(INDEX(rMed,662))),INDEX(rMed,662),NA()))</f>
        <v>920000</v>
      </c>
    </row>
    <row r="665">
      <c r="BX665">
        <f>IF(OR(cMed=0,cMed2=0,663&gt;nFilas),NA(),IF(AND(ISNUMBER(INDEX(rMed2,663)),ISNUMBER(INDEX(rMed,663))),INDEX(rMed2,663),NA()))</f>
        <v>4</v>
      </c>
      <c r="BY665">
        <f>IF(OR(cMed=0,cMed2=0,663&gt;nFilas),NA(),IF(AND(ISNUMBER(INDEX(rMed2,663)),ISNUMBER(INDEX(rMed,663))),INDEX(rMed,663),NA()))</f>
        <v>307200</v>
      </c>
    </row>
    <row r="666">
      <c r="BX666">
        <f>IF(OR(cMed=0,cMed2=0,664&gt;nFilas),NA(),IF(AND(ISNUMBER(INDEX(rMed2,664)),ISNUMBER(INDEX(rMed,664))),INDEX(rMed2,664),NA()))</f>
        <v>3</v>
      </c>
      <c r="BY666">
        <f>IF(OR(cMed=0,cMed2=0,664&gt;nFilas),NA(),IF(AND(ISNUMBER(INDEX(rMed2,664)),ISNUMBER(INDEX(rMed,664))),INDEX(rMed,664),NA()))</f>
        <v>3314700</v>
      </c>
    </row>
    <row r="667">
      <c r="BX667">
        <f>IF(OR(cMed=0,cMed2=0,665&gt;nFilas),NA(),IF(AND(ISNUMBER(INDEX(rMed2,665)),ISNUMBER(INDEX(rMed,665))),INDEX(rMed2,665),NA()))</f>
        <v>2</v>
      </c>
      <c r="BY667">
        <f>IF(OR(cMed=0,cMed2=0,665&gt;nFilas),NA(),IF(AND(ISNUMBER(INDEX(rMed2,665)),ISNUMBER(INDEX(rMed,665))),INDEX(rMed,665),NA()))</f>
        <v>426800</v>
      </c>
    </row>
    <row r="668">
      <c r="BX668">
        <f>IF(OR(cMed=0,cMed2=0,666&gt;nFilas),NA(),IF(AND(ISNUMBER(INDEX(rMed2,666)),ISNUMBER(INDEX(rMed,666))),INDEX(rMed2,666),NA()))</f>
        <v>1</v>
      </c>
      <c r="BY668">
        <f>IF(OR(cMed=0,cMed2=0,666&gt;nFilas),NA(),IF(AND(ISNUMBER(INDEX(rMed2,666)),ISNUMBER(INDEX(rMed,666))),INDEX(rMed,666),NA()))</f>
        <v>189800</v>
      </c>
    </row>
    <row r="669">
      <c r="BX669">
        <f>IF(OR(cMed=0,cMed2=0,667&gt;nFilas),NA(),IF(AND(ISNUMBER(INDEX(rMed2,667)),ISNUMBER(INDEX(rMed,667))),INDEX(rMed2,667),NA()))</f>
        <v>4</v>
      </c>
      <c r="BY669">
        <f>IF(OR(cMed=0,cMed2=0,667&gt;nFilas),NA(),IF(AND(ISNUMBER(INDEX(rMed2,667)),ISNUMBER(INDEX(rMed,667))),INDEX(rMed,667),NA()))</f>
        <v>3977600</v>
      </c>
    </row>
    <row r="670">
      <c r="BX670">
        <f>IF(OR(cMed=0,cMed2=0,668&gt;nFilas),NA(),IF(AND(ISNUMBER(INDEX(rMed2,668)),ISNUMBER(INDEX(rMed,668))),INDEX(rMed2,668),NA()))</f>
        <v>3</v>
      </c>
      <c r="BY670">
        <f>IF(OR(cMed=0,cMed2=0,668&gt;nFilas),NA(),IF(AND(ISNUMBER(INDEX(rMed2,668)),ISNUMBER(INDEX(rMed,668))),INDEX(rMed,668),NA()))</f>
        <v>3298200</v>
      </c>
    </row>
    <row r="671">
      <c r="BX671">
        <f>IF(OR(cMed=0,cMed2=0,669&gt;nFilas),NA(),IF(AND(ISNUMBER(INDEX(rMed2,669)),ISNUMBER(INDEX(rMed,669))),INDEX(rMed2,669),NA()))</f>
        <v>3</v>
      </c>
      <c r="BY671">
        <f>IF(OR(cMed=0,cMed2=0,669&gt;nFilas),NA(),IF(AND(ISNUMBER(INDEX(rMed2,669)),ISNUMBER(INDEX(rMed,669))),INDEX(rMed,669),NA()))</f>
        <v>278700</v>
      </c>
    </row>
    <row r="672">
      <c r="BX672">
        <f>IF(OR(cMed=0,cMed2=0,670&gt;nFilas),NA(),IF(AND(ISNUMBER(INDEX(rMed2,670)),ISNUMBER(INDEX(rMed,670))),INDEX(rMed2,670),NA()))</f>
        <v>5</v>
      </c>
      <c r="BY672">
        <f>IF(OR(cMed=0,cMed2=0,670&gt;nFilas),NA(),IF(AND(ISNUMBER(INDEX(rMed2,670)),ISNUMBER(INDEX(rMed,670))),INDEX(rMed,670),NA()))</f>
        <v>993000</v>
      </c>
    </row>
    <row r="673">
      <c r="BX673">
        <f>IF(OR(cMed=0,cMed2=0,671&gt;nFilas),NA(),IF(AND(ISNUMBER(INDEX(rMed2,671)),ISNUMBER(INDEX(rMed,671))),INDEX(rMed2,671),NA()))</f>
        <v>1</v>
      </c>
      <c r="BY673">
        <f>IF(OR(cMed=0,cMed2=0,671&gt;nFilas),NA(),IF(AND(ISNUMBER(INDEX(rMed2,671)),ISNUMBER(INDEX(rMed,671))),INDEX(rMed,671),NA()))</f>
        <v>786200</v>
      </c>
    </row>
    <row r="674">
      <c r="BX674">
        <f>IF(OR(cMed=0,cMed2=0,672&gt;nFilas),NA(),IF(AND(ISNUMBER(INDEX(rMed2,672)),ISNUMBER(INDEX(rMed,672))),INDEX(rMed2,672),NA()))</f>
        <v>1</v>
      </c>
      <c r="BY674">
        <f>IF(OR(cMed=0,cMed2=0,672&gt;nFilas),NA(),IF(AND(ISNUMBER(INDEX(rMed2,672)),ISNUMBER(INDEX(rMed,672))),INDEX(rMed,672),NA()))</f>
        <v>97300</v>
      </c>
    </row>
    <row r="675">
      <c r="BX675">
        <f>IF(OR(cMed=0,cMed2=0,673&gt;nFilas),NA(),IF(AND(ISNUMBER(INDEX(rMed2,673)),ISNUMBER(INDEX(rMed,673))),INDEX(rMed2,673),NA()))</f>
        <v>4</v>
      </c>
      <c r="BY675">
        <f>IF(OR(cMed=0,cMed2=0,673&gt;nFilas),NA(),IF(AND(ISNUMBER(INDEX(rMed2,673)),ISNUMBER(INDEX(rMed,673))),INDEX(rMed,673),NA()))</f>
        <v>596000</v>
      </c>
    </row>
    <row r="676">
      <c r="BX676">
        <f>IF(OR(cMed=0,cMed2=0,674&gt;nFilas),NA(),IF(AND(ISNUMBER(INDEX(rMed2,674)),ISNUMBER(INDEX(rMed,674))),INDEX(rMed2,674),NA()))</f>
        <v>5</v>
      </c>
      <c r="BY676">
        <f>IF(OR(cMed=0,cMed2=0,674&gt;nFilas),NA(),IF(AND(ISNUMBER(INDEX(rMed2,674)),ISNUMBER(INDEX(rMed,674))),INDEX(rMed,674),NA()))</f>
        <v>3336000</v>
      </c>
    </row>
    <row r="677">
      <c r="BX677">
        <f>IF(OR(cMed=0,cMed2=0,675&gt;nFilas),NA(),IF(AND(ISNUMBER(INDEX(rMed2,675)),ISNUMBER(INDEX(rMed,675))),INDEX(rMed2,675),NA()))</f>
        <v>4</v>
      </c>
      <c r="BY677">
        <f>IF(OR(cMed=0,cMed2=0,675&gt;nFilas),NA(),IF(AND(ISNUMBER(INDEX(rMed2,675)),ISNUMBER(INDEX(rMed,675))),INDEX(rMed,675),NA()))</f>
        <v>650400</v>
      </c>
    </row>
    <row r="678">
      <c r="BX678">
        <f>IF(OR(cMed=0,cMed2=0,676&gt;nFilas),NA(),IF(AND(ISNUMBER(INDEX(rMed2,676)),ISNUMBER(INDEX(rMed,676))),INDEX(rMed2,676),NA()))</f>
        <v>5</v>
      </c>
      <c r="BY678">
        <f>IF(OR(cMed=0,cMed2=0,676&gt;nFilas),NA(),IF(AND(ISNUMBER(INDEX(rMed2,676)),ISNUMBER(INDEX(rMed,676))),INDEX(rMed,676),NA()))</f>
        <v>1006825</v>
      </c>
    </row>
    <row r="679">
      <c r="BX679">
        <f>IF(OR(cMed=0,cMed2=0,677&gt;nFilas),NA(),IF(AND(ISNUMBER(INDEX(rMed2,677)),ISNUMBER(INDEX(rMed,677))),INDEX(rMed2,677),NA()))</f>
        <v>1</v>
      </c>
      <c r="BY679">
        <f>IF(OR(cMed=0,cMed2=0,677&gt;nFilas),NA(),IF(AND(ISNUMBER(INDEX(rMed2,677)),ISNUMBER(INDEX(rMed,677))),INDEX(rMed,677),NA()))</f>
        <v>185035</v>
      </c>
    </row>
    <row r="680">
      <c r="BX680">
        <f>IF(OR(cMed=0,cMed2=0,678&gt;nFilas),NA(),IF(AND(ISNUMBER(INDEX(rMed2,678)),ISNUMBER(INDEX(rMed,678))),INDEX(rMed2,678),NA()))</f>
        <v>5</v>
      </c>
      <c r="BY680">
        <f>IF(OR(cMed=0,cMed2=0,678&gt;nFilas),NA(),IF(AND(ISNUMBER(INDEX(rMed2,678)),ISNUMBER(INDEX(rMed,678))),INDEX(rMed,678),NA()))</f>
        <v>430675</v>
      </c>
    </row>
    <row r="681">
      <c r="BX681">
        <f>IF(OR(cMed=0,cMed2=0,679&gt;nFilas),NA(),IF(AND(ISNUMBER(INDEX(rMed2,679)),ISNUMBER(INDEX(rMed,679))),INDEX(rMed2,679),NA()))</f>
        <v>5</v>
      </c>
      <c r="BY681">
        <f>IF(OR(cMed=0,cMed2=0,679&gt;nFilas),NA(),IF(AND(ISNUMBER(INDEX(rMed2,679)),ISNUMBER(INDEX(rMed,679))),INDEX(rMed,679),NA()))</f>
        <v>5862125</v>
      </c>
    </row>
    <row r="682">
      <c r="BX682">
        <f>IF(OR(cMed=0,cMed2=0,680&gt;nFilas),NA(),IF(AND(ISNUMBER(INDEX(rMed2,680)),ISNUMBER(INDEX(rMed,680))),INDEX(rMed2,680),NA()))</f>
        <v>3</v>
      </c>
      <c r="BY682">
        <f>IF(OR(cMed=0,cMed2=0,680&gt;nFilas),NA(),IF(AND(ISNUMBER(INDEX(rMed2,680)),ISNUMBER(INDEX(rMed,680))),INDEX(rMed,680),NA()))</f>
        <v>792810</v>
      </c>
    </row>
    <row r="683">
      <c r="BX683">
        <f>IF(OR(cMed=0,cMed2=0,681&gt;nFilas),NA(),IF(AND(ISNUMBER(INDEX(rMed2,681)),ISNUMBER(INDEX(rMed,681))),INDEX(rMed2,681),NA()))</f>
        <v>1</v>
      </c>
      <c r="BY683">
        <f>IF(OR(cMed=0,cMed2=0,681&gt;nFilas),NA(),IF(AND(ISNUMBER(INDEX(rMed2,681)),ISNUMBER(INDEX(rMed,681))),INDEX(rMed,681),NA()))</f>
        <v>167095</v>
      </c>
    </row>
    <row r="684">
      <c r="BX684">
        <f>IF(OR(cMed=0,cMed2=0,682&gt;nFilas),NA(),IF(AND(ISNUMBER(INDEX(rMed2,682)),ISNUMBER(INDEX(rMed,682))),INDEX(rMed2,682),NA()))</f>
        <v>3</v>
      </c>
      <c r="BY684">
        <f>IF(OR(cMed=0,cMed2=0,682&gt;nFilas),NA(),IF(AND(ISNUMBER(INDEX(rMed2,682)),ISNUMBER(INDEX(rMed,682))),INDEX(rMed,682),NA()))</f>
        <v>388815</v>
      </c>
    </row>
    <row r="685">
      <c r="BX685">
        <f>IF(OR(cMed=0,cMed2=0,683&gt;nFilas),NA(),IF(AND(ISNUMBER(INDEX(rMed2,683)),ISNUMBER(INDEX(rMed,683))),INDEX(rMed2,683),NA()))</f>
        <v>2</v>
      </c>
      <c r="BY685">
        <f>IF(OR(cMed=0,cMed2=0,683&gt;nFilas),NA(),IF(AND(ISNUMBER(INDEX(rMed2,683)),ISNUMBER(INDEX(rMed,683))),INDEX(rMed,683),NA()))</f>
        <v>297620</v>
      </c>
    </row>
    <row r="686">
      <c r="BX686">
        <f>IF(OR(cMed=0,cMed2=0,684&gt;nFilas),NA(),IF(AND(ISNUMBER(INDEX(rMed2,684)),ISNUMBER(INDEX(rMed,684))),INDEX(rMed2,684),NA()))</f>
        <v>2</v>
      </c>
      <c r="BY686">
        <f>IF(OR(cMed=0,cMed2=0,684&gt;nFilas),NA(),IF(AND(ISNUMBER(INDEX(rMed2,684)),ISNUMBER(INDEX(rMed,684))),INDEX(rMed,684),NA()))</f>
        <v>317400</v>
      </c>
    </row>
    <row r="687">
      <c r="BX687">
        <f>IF(OR(cMed=0,cMed2=0,685&gt;nFilas),NA(),IF(AND(ISNUMBER(INDEX(rMed2,685)),ISNUMBER(INDEX(rMed,685))),INDEX(rMed2,685),NA()))</f>
        <v>1</v>
      </c>
      <c r="BY687">
        <f>IF(OR(cMed=0,cMed2=0,685&gt;nFilas),NA(),IF(AND(ISNUMBER(INDEX(rMed2,685)),ISNUMBER(INDEX(rMed,685))),INDEX(rMed,685),NA()))</f>
        <v>133285</v>
      </c>
    </row>
    <row r="688">
      <c r="BX688">
        <f>IF(OR(cMed=0,cMed2=0,686&gt;nFilas),NA(),IF(AND(ISNUMBER(INDEX(rMed2,686)),ISNUMBER(INDEX(rMed,686))),INDEX(rMed2,686),NA()))</f>
        <v>4</v>
      </c>
      <c r="BY688">
        <f>IF(OR(cMed=0,cMed2=0,686&gt;nFilas),NA(),IF(AND(ISNUMBER(INDEX(rMed2,686)),ISNUMBER(INDEX(rMed,686))),INDEX(rMed,686),NA()))</f>
        <v>900220</v>
      </c>
    </row>
    <row r="689">
      <c r="BX689">
        <f>IF(OR(cMed=0,cMed2=0,687&gt;nFilas),NA(),IF(AND(ISNUMBER(INDEX(rMed2,687)),ISNUMBER(INDEX(rMed,687))),INDEX(rMed2,687),NA()))</f>
        <v>4</v>
      </c>
      <c r="BY689">
        <f>IF(OR(cMed=0,cMed2=0,687&gt;nFilas),NA(),IF(AND(ISNUMBER(INDEX(rMed2,687)),ISNUMBER(INDEX(rMed,687))),INDEX(rMed,687),NA()))</f>
        <v>711160</v>
      </c>
    </row>
    <row r="690">
      <c r="BX690">
        <f>IF(OR(cMed=0,cMed2=0,688&gt;nFilas),NA(),IF(AND(ISNUMBER(INDEX(rMed2,688)),ISNUMBER(INDEX(rMed,688))),INDEX(rMed2,688),NA()))</f>
        <v>1</v>
      </c>
      <c r="BY690">
        <f>IF(OR(cMed=0,cMed2=0,688&gt;nFilas),NA(),IF(AND(ISNUMBER(INDEX(rMed2,688)),ISNUMBER(INDEX(rMed,688))),INDEX(rMed,688),NA()))</f>
        <v>1000600</v>
      </c>
    </row>
    <row r="691">
      <c r="BX691">
        <f>IF(OR(cMed=0,cMed2=0,689&gt;nFilas),NA(),IF(AND(ISNUMBER(INDEX(rMed2,689)),ISNUMBER(INDEX(rMed,689))),INDEX(rMed2,689),NA()))</f>
        <v>5</v>
      </c>
      <c r="BY691">
        <f>IF(OR(cMed=0,cMed2=0,689&gt;nFilas),NA(),IF(AND(ISNUMBER(INDEX(rMed2,689)),ISNUMBER(INDEX(rMed,689))),INDEX(rMed,689),NA()))</f>
        <v>712500</v>
      </c>
    </row>
    <row r="692">
      <c r="BX692">
        <f>IF(OR(cMed=0,cMed2=0,690&gt;nFilas),NA(),IF(AND(ISNUMBER(INDEX(rMed2,690)),ISNUMBER(INDEX(rMed,690))),INDEX(rMed2,690),NA()))</f>
        <v>1</v>
      </c>
      <c r="BY692">
        <f>IF(OR(cMed=0,cMed2=0,690&gt;nFilas),NA(),IF(AND(ISNUMBER(INDEX(rMed2,690)),ISNUMBER(INDEX(rMed,690))),INDEX(rMed,690),NA()))</f>
        <v>134900</v>
      </c>
    </row>
    <row r="693">
      <c r="BX693">
        <f>IF(OR(cMed=0,cMed2=0,691&gt;nFilas),NA(),IF(AND(ISNUMBER(INDEX(rMed2,691)),ISNUMBER(INDEX(rMed,691))),INDEX(rMed2,691),NA()))</f>
        <v>1</v>
      </c>
      <c r="BY693">
        <f>IF(OR(cMed=0,cMed2=0,691&gt;nFilas),NA(),IF(AND(ISNUMBER(INDEX(rMed2,691)),ISNUMBER(INDEX(rMed,691))),INDEX(rMed,691),NA()))</f>
        <v>88600</v>
      </c>
    </row>
    <row r="694">
      <c r="BX694">
        <f>IF(OR(cMed=0,cMed2=0,692&gt;nFilas),NA(),IF(AND(ISNUMBER(INDEX(rMed2,692)),ISNUMBER(INDEX(rMed,692))),INDEX(rMed2,692),NA()))</f>
        <v>5</v>
      </c>
      <c r="BY694">
        <f>IF(OR(cMed=0,cMed2=0,692&gt;nFilas),NA(),IF(AND(ISNUMBER(INDEX(rMed2,692)),ISNUMBER(INDEX(rMed,692))),INDEX(rMed,692),NA()))</f>
        <v>723000</v>
      </c>
    </row>
    <row r="695">
      <c r="BX695">
        <f>IF(OR(cMed=0,cMed2=0,693&gt;nFilas),NA(),IF(AND(ISNUMBER(INDEX(rMed2,693)),ISNUMBER(INDEX(rMed,693))),INDEX(rMed2,693),NA()))</f>
        <v>2</v>
      </c>
      <c r="BY695">
        <f>IF(OR(cMed=0,cMed2=0,693&gt;nFilas),NA(),IF(AND(ISNUMBER(INDEX(rMed2,693)),ISNUMBER(INDEX(rMed,693))),INDEX(rMed,693),NA()))</f>
        <v>1464000</v>
      </c>
    </row>
    <row r="696">
      <c r="BX696">
        <f>IF(OR(cMed=0,cMed2=0,694&gt;nFilas),NA(),IF(AND(ISNUMBER(INDEX(rMed2,694)),ISNUMBER(INDEX(rMed,694))),INDEX(rMed2,694),NA()))</f>
        <v>2</v>
      </c>
      <c r="BY696">
        <f>IF(OR(cMed=0,cMed2=0,694&gt;nFilas),NA(),IF(AND(ISNUMBER(INDEX(rMed2,694)),ISNUMBER(INDEX(rMed,694))),INDEX(rMed,694),NA()))</f>
        <v>375200</v>
      </c>
    </row>
    <row r="697">
      <c r="BX697">
        <f>IF(OR(cMed=0,cMed2=0,695&gt;nFilas),NA(),IF(AND(ISNUMBER(INDEX(rMed2,695)),ISNUMBER(INDEX(rMed,695))),INDEX(rMed2,695),NA()))</f>
        <v>2</v>
      </c>
      <c r="BY697">
        <f>IF(OR(cMed=0,cMed2=0,695&gt;nFilas),NA(),IF(AND(ISNUMBER(INDEX(rMed2,695)),ISNUMBER(INDEX(rMed,695))),INDEX(rMed,695),NA()))</f>
        <v>1547000</v>
      </c>
    </row>
    <row r="698">
      <c r="BX698">
        <f>IF(OR(cMed=0,cMed2=0,696&gt;nFilas),NA(),IF(AND(ISNUMBER(INDEX(rMed2,696)),ISNUMBER(INDEX(rMed,696))),INDEX(rMed2,696),NA()))</f>
        <v>3</v>
      </c>
      <c r="BY698">
        <f>IF(OR(cMed=0,cMed2=0,696&gt;nFilas),NA(),IF(AND(ISNUMBER(INDEX(rMed2,696)),ISNUMBER(INDEX(rMed,696))),INDEX(rMed,696),NA()))</f>
        <v>248700</v>
      </c>
    </row>
    <row r="699">
      <c r="BX699">
        <f>IF(OR(cMed=0,cMed2=0,697&gt;nFilas),NA(),IF(AND(ISNUMBER(INDEX(rMed2,697)),ISNUMBER(INDEX(rMed,697))),INDEX(rMed2,697),NA()))</f>
        <v>1</v>
      </c>
      <c r="BY699">
        <f>IF(OR(cMed=0,cMed2=0,697&gt;nFilas),NA(),IF(AND(ISNUMBER(INDEX(rMed2,697)),ISNUMBER(INDEX(rMed,697))),INDEX(rMed,697),NA()))</f>
        <v>49700</v>
      </c>
    </row>
    <row r="700">
      <c r="BX700">
        <f>IF(OR(cMed=0,cMed2=0,698&gt;nFilas),NA(),IF(AND(ISNUMBER(INDEX(rMed2,698)),ISNUMBER(INDEX(rMed,698))),INDEX(rMed2,698),NA()))</f>
        <v>3</v>
      </c>
      <c r="BY700">
        <f>IF(OR(cMed=0,cMed2=0,698&gt;nFilas),NA(),IF(AND(ISNUMBER(INDEX(rMed2,698)),ISNUMBER(INDEX(rMed,698))),INDEX(rMed,698),NA()))</f>
        <v>360000</v>
      </c>
    </row>
    <row r="701">
      <c r="BX701">
        <f>IF(OR(cMed=0,cMed2=0,699&gt;nFilas),NA(),IF(AND(ISNUMBER(INDEX(rMed2,699)),ISNUMBER(INDEX(rMed,699))),INDEX(rMed2,699),NA()))</f>
        <v>3</v>
      </c>
      <c r="BY701">
        <f>IF(OR(cMed=0,cMed2=0,699&gt;nFilas),NA(),IF(AND(ISNUMBER(INDEX(rMed2,699)),ISNUMBER(INDEX(rMed,699))),INDEX(rMed,699),NA()))</f>
        <v>307500</v>
      </c>
    </row>
    <row r="702">
      <c r="BX702">
        <f>IF(OR(cMed=0,cMed2=0,700&gt;nFilas),NA(),IF(AND(ISNUMBER(INDEX(rMed2,700)),ISNUMBER(INDEX(rMed,700))),INDEX(rMed2,700),NA()))</f>
        <v>2</v>
      </c>
      <c r="BY702">
        <f>IF(OR(cMed=0,cMed2=0,700&gt;nFilas),NA(),IF(AND(ISNUMBER(INDEX(rMed2,700)),ISNUMBER(INDEX(rMed,700))),INDEX(rMed,700),NA()))</f>
        <v>2026600</v>
      </c>
    </row>
    <row r="703">
      <c r="BX703">
        <f>IF(OR(cMed=0,cMed2=0,701&gt;nFilas),NA(),IF(AND(ISNUMBER(INDEX(rMed2,701)),ISNUMBER(INDEX(rMed,701))),INDEX(rMed2,701),NA()))</f>
        <v>4</v>
      </c>
      <c r="BY703">
        <f>IF(OR(cMed=0,cMed2=0,701&gt;nFilas),NA(),IF(AND(ISNUMBER(INDEX(rMed2,701)),ISNUMBER(INDEX(rMed,701))),INDEX(rMed,701),NA()))</f>
        <v>448400</v>
      </c>
    </row>
    <row r="704">
      <c r="BX704">
        <f>IF(OR(cMed=0,cMed2=0,702&gt;nFilas),NA(),IF(AND(ISNUMBER(INDEX(rMed2,702)),ISNUMBER(INDEX(rMed,702))),INDEX(rMed2,702),NA()))</f>
        <v>4</v>
      </c>
      <c r="BY704">
        <f>IF(OR(cMed=0,cMed2=0,702&gt;nFilas),NA(),IF(AND(ISNUMBER(INDEX(rMed2,702)),ISNUMBER(INDEX(rMed,702))),INDEX(rMed,702),NA()))</f>
        <v>721200</v>
      </c>
    </row>
    <row r="705">
      <c r="BX705">
        <f>IF(OR(cMed=0,cMed2=0,703&gt;nFilas),NA(),IF(AND(ISNUMBER(INDEX(rMed2,703)),ISNUMBER(INDEX(rMed,703))),INDEX(rMed2,703),NA()))</f>
        <v>5</v>
      </c>
      <c r="BY705">
        <f>IF(OR(cMed=0,cMed2=0,703&gt;nFilas),NA(),IF(AND(ISNUMBER(INDEX(rMed2,703)),ISNUMBER(INDEX(rMed,703))),INDEX(rMed,703),NA()))</f>
        <v>5467500</v>
      </c>
    </row>
    <row r="706">
      <c r="BX706">
        <f>IF(OR(cMed=0,cMed2=0,704&gt;nFilas),NA(),IF(AND(ISNUMBER(INDEX(rMed2,704)),ISNUMBER(INDEX(rMed,704))),INDEX(rMed2,704),NA()))</f>
        <v>2</v>
      </c>
      <c r="BY706">
        <f>IF(OR(cMed=0,cMed2=0,704&gt;nFilas),NA(),IF(AND(ISNUMBER(INDEX(rMed2,704)),ISNUMBER(INDEX(rMed,704))),INDEX(rMed,704),NA()))</f>
        <v>489600</v>
      </c>
    </row>
    <row r="707">
      <c r="BX707">
        <f>IF(OR(cMed=0,cMed2=0,705&gt;nFilas),NA(),IF(AND(ISNUMBER(INDEX(rMed2,705)),ISNUMBER(INDEX(rMed,705))),INDEX(rMed2,705),NA()))</f>
        <v>5</v>
      </c>
      <c r="BY707">
        <f>IF(OR(cMed=0,cMed2=0,705&gt;nFilas),NA(),IF(AND(ISNUMBER(INDEX(rMed2,705)),ISNUMBER(INDEX(rMed,705))),INDEX(rMed,705),NA()))</f>
        <v>288000</v>
      </c>
    </row>
    <row r="708">
      <c r="BX708">
        <f>IF(OR(cMed=0,cMed2=0,706&gt;nFilas),NA(),IF(AND(ISNUMBER(INDEX(rMed2,706)),ISNUMBER(INDEX(rMed,706))),INDEX(rMed2,706),NA()))</f>
        <v>1</v>
      </c>
      <c r="BY708">
        <f>IF(OR(cMed=0,cMed2=0,706&gt;nFilas),NA(),IF(AND(ISNUMBER(INDEX(rMed2,706)),ISNUMBER(INDEX(rMed,706))),INDEX(rMed,706),NA()))</f>
        <v>74635</v>
      </c>
    </row>
    <row r="709">
      <c r="BX709">
        <f>IF(OR(cMed=0,cMed2=0,707&gt;nFilas),NA(),IF(AND(ISNUMBER(INDEX(rMed2,707)),ISNUMBER(INDEX(rMed,707))),INDEX(rMed2,707),NA()))</f>
        <v>5</v>
      </c>
      <c r="BY709">
        <f>IF(OR(cMed=0,cMed2=0,707&gt;nFilas),NA(),IF(AND(ISNUMBER(INDEX(rMed2,707)),ISNUMBER(INDEX(rMed,707))),INDEX(rMed,707),NA()))</f>
        <v>694600</v>
      </c>
    </row>
    <row r="710">
      <c r="BX710">
        <f>IF(OR(cMed=0,cMed2=0,708&gt;nFilas),NA(),IF(AND(ISNUMBER(INDEX(rMed2,708)),ISNUMBER(INDEX(rMed,708))),INDEX(rMed2,708),NA()))</f>
        <v>5</v>
      </c>
      <c r="BY710">
        <f>IF(OR(cMed=0,cMed2=0,708&gt;nFilas),NA(),IF(AND(ISNUMBER(INDEX(rMed2,708)),ISNUMBER(INDEX(rMed,708))),INDEX(rMed,708),NA()))</f>
        <v>922300</v>
      </c>
    </row>
    <row r="711">
      <c r="BX711">
        <f>IF(OR(cMed=0,cMed2=0,709&gt;nFilas),NA(),IF(AND(ISNUMBER(INDEX(rMed2,709)),ISNUMBER(INDEX(rMed,709))),INDEX(rMed2,709),NA()))</f>
        <v>1</v>
      </c>
      <c r="BY711">
        <f>IF(OR(cMed=0,cMed2=0,709&gt;nFilas),NA(),IF(AND(ISNUMBER(INDEX(rMed2,709)),ISNUMBER(INDEX(rMed,709))),INDEX(rMed,709),NA()))</f>
        <v>87170</v>
      </c>
    </row>
    <row r="712">
      <c r="BX712">
        <f>IF(OR(cMed=0,cMed2=0,710&gt;nFilas),NA(),IF(AND(ISNUMBER(INDEX(rMed2,710)),ISNUMBER(INDEX(rMed,710))),INDEX(rMed2,710),NA()))</f>
        <v>3</v>
      </c>
      <c r="BY712">
        <f>IF(OR(cMed=0,cMed2=0,710&gt;nFilas),NA(),IF(AND(ISNUMBER(INDEX(rMed2,710)),ISNUMBER(INDEX(rMed,710))),INDEX(rMed,710),NA()))</f>
        <v>3771195</v>
      </c>
    </row>
    <row r="713">
      <c r="BX713">
        <f>IF(OR(cMed=0,cMed2=0,711&gt;nFilas),NA(),IF(AND(ISNUMBER(INDEX(rMed2,711)),ISNUMBER(INDEX(rMed,711))),INDEX(rMed2,711),NA()))</f>
        <v>5</v>
      </c>
      <c r="BY713">
        <f>IF(OR(cMed=0,cMed2=0,711&gt;nFilas),NA(),IF(AND(ISNUMBER(INDEX(rMed2,711)),ISNUMBER(INDEX(rMed,711))),INDEX(rMed,711),NA()))</f>
        <v>750950</v>
      </c>
    </row>
    <row r="714">
      <c r="BX714">
        <f>IF(OR(cMed=0,cMed2=0,712&gt;nFilas),NA(),IF(AND(ISNUMBER(INDEX(rMed2,712)),ISNUMBER(INDEX(rMed,712))),INDEX(rMed2,712),NA()))</f>
        <v>3</v>
      </c>
      <c r="BY714">
        <f>IF(OR(cMed=0,cMed2=0,712&gt;nFilas),NA(),IF(AND(ISNUMBER(INDEX(rMed2,712)),ISNUMBER(INDEX(rMed,712))),INDEX(rMed,712),NA()))</f>
        <v>295320</v>
      </c>
    </row>
    <row r="715">
      <c r="BX715">
        <f>IF(OR(cMed=0,cMed2=0,713&gt;nFilas),NA(),IF(AND(ISNUMBER(INDEX(rMed2,713)),ISNUMBER(INDEX(rMed,713))),INDEX(rMed2,713),NA()))</f>
        <v>2</v>
      </c>
      <c r="BY715">
        <f>IF(OR(cMed=0,cMed2=0,713&gt;nFilas),NA(),IF(AND(ISNUMBER(INDEX(rMed2,713)),ISNUMBER(INDEX(rMed,713))),INDEX(rMed,713),NA()))</f>
        <v>214590</v>
      </c>
    </row>
    <row r="716">
      <c r="BX716">
        <f>IF(OR(cMed=0,cMed2=0,714&gt;nFilas),NA(),IF(AND(ISNUMBER(INDEX(rMed2,714)),ISNUMBER(INDEX(rMed,714))),INDEX(rMed2,714),NA()))</f>
        <v>5</v>
      </c>
      <c r="BY716">
        <f>IF(OR(cMed=0,cMed2=0,714&gt;nFilas),NA(),IF(AND(ISNUMBER(INDEX(rMed2,714)),ISNUMBER(INDEX(rMed,714))),INDEX(rMed,714),NA()))</f>
        <v>1150575</v>
      </c>
    </row>
    <row r="717">
      <c r="BX717">
        <f>IF(OR(cMed=0,cMed2=0,715&gt;nFilas),NA(),IF(AND(ISNUMBER(INDEX(rMed2,715)),ISNUMBER(INDEX(rMed,715))),INDEX(rMed2,715),NA()))</f>
        <v>5</v>
      </c>
      <c r="BY717">
        <f>IF(OR(cMed=0,cMed2=0,715&gt;nFilas),NA(),IF(AND(ISNUMBER(INDEX(rMed2,715)),ISNUMBER(INDEX(rMed,715))),INDEX(rMed,715),NA()))</f>
        <v>373175</v>
      </c>
    </row>
    <row r="718">
      <c r="BX718">
        <f>IF(OR(cMed=0,cMed2=0,716&gt;nFilas),NA(),IF(AND(ISNUMBER(INDEX(rMed2,716)),ISNUMBER(INDEX(rMed,716))),INDEX(rMed2,716),NA()))</f>
        <v>4</v>
      </c>
      <c r="BY718">
        <f>IF(OR(cMed=0,cMed2=0,716&gt;nFilas),NA(),IF(AND(ISNUMBER(INDEX(rMed2,716)),ISNUMBER(INDEX(rMed,716))),INDEX(rMed,716),NA()))</f>
        <v>331200</v>
      </c>
    </row>
    <row r="719">
      <c r="BX719">
        <f>IF(OR(cMed=0,cMed2=0,717&gt;nFilas),NA(),IF(AND(ISNUMBER(INDEX(rMed2,717)),ISNUMBER(INDEX(rMed,717))),INDEX(rMed2,717),NA()))</f>
        <v>4</v>
      </c>
      <c r="BY719">
        <f>IF(OR(cMed=0,cMed2=0,717&gt;nFilas),NA(),IF(AND(ISNUMBER(INDEX(rMed2,717)),ISNUMBER(INDEX(rMed,717))),INDEX(rMed,717),NA()))</f>
        <v>414400</v>
      </c>
    </row>
    <row r="720">
      <c r="BX720">
        <f>IF(OR(cMed=0,cMed2=0,718&gt;nFilas),NA(),IF(AND(ISNUMBER(INDEX(rMed2,718)),ISNUMBER(INDEX(rMed,718))),INDEX(rMed2,718),NA()))</f>
        <v>3</v>
      </c>
      <c r="BY720">
        <f>IF(OR(cMed=0,cMed2=0,718&gt;nFilas),NA(),IF(AND(ISNUMBER(INDEX(rMed2,718)),ISNUMBER(INDEX(rMed,718))),INDEX(rMed,718),NA()))</f>
        <v>2172300</v>
      </c>
    </row>
    <row r="721">
      <c r="BX721">
        <f>IF(OR(cMed=0,cMed2=0,719&gt;nFilas),NA(),IF(AND(ISNUMBER(INDEX(rMed2,719)),ISNUMBER(INDEX(rMed,719))),INDEX(rMed2,719),NA()))</f>
        <v>1</v>
      </c>
      <c r="BY721">
        <f>IF(OR(cMed=0,cMed2=0,719&gt;nFilas),NA(),IF(AND(ISNUMBER(INDEX(rMed2,719)),ISNUMBER(INDEX(rMed,719))),INDEX(rMed,719),NA()))</f>
        <v>110100</v>
      </c>
    </row>
    <row r="722">
      <c r="BX722">
        <f>IF(OR(cMed=0,cMed2=0,720&gt;nFilas),NA(),IF(AND(ISNUMBER(INDEX(rMed2,720)),ISNUMBER(INDEX(rMed,720))),INDEX(rMed2,720),NA()))</f>
        <v>4</v>
      </c>
      <c r="BY722">
        <f>IF(OR(cMed=0,cMed2=0,720&gt;nFilas),NA(),IF(AND(ISNUMBER(INDEX(rMed2,720)),ISNUMBER(INDEX(rMed,720))),INDEX(rMed,720),NA()))</f>
        <v>218000</v>
      </c>
    </row>
    <row r="723">
      <c r="BX723">
        <f>IF(OR(cMed=0,cMed2=0,721&gt;nFilas),NA(),IF(AND(ISNUMBER(INDEX(rMed2,721)),ISNUMBER(INDEX(rMed,721))),INDEX(rMed2,721),NA()))</f>
        <v>5</v>
      </c>
      <c r="BY723">
        <f>IF(OR(cMed=0,cMed2=0,721&gt;nFilas),NA(),IF(AND(ISNUMBER(INDEX(rMed2,721)),ISNUMBER(INDEX(rMed,721))),INDEX(rMed,721),NA()))</f>
        <v>631000</v>
      </c>
    </row>
    <row r="724">
      <c r="BX724">
        <f>IF(OR(cMed=0,cMed2=0,722&gt;nFilas),NA(),IF(AND(ISNUMBER(INDEX(rMed2,722)),ISNUMBER(INDEX(rMed,722))),INDEX(rMed2,722),NA()))</f>
        <v>1</v>
      </c>
      <c r="BY724">
        <f>IF(OR(cMed=0,cMed2=0,722&gt;nFilas),NA(),IF(AND(ISNUMBER(INDEX(rMed2,722)),ISNUMBER(INDEX(rMed,722))),INDEX(rMed,722),NA()))</f>
        <v>144600</v>
      </c>
    </row>
    <row r="725">
      <c r="BX725">
        <f>IF(OR(cMed=0,cMed2=0,723&gt;nFilas),NA(),IF(AND(ISNUMBER(INDEX(rMed2,723)),ISNUMBER(INDEX(rMed,723))),INDEX(rMed2,723),NA()))</f>
        <v>1</v>
      </c>
      <c r="BY725">
        <f>IF(OR(cMed=0,cMed2=0,723&gt;nFilas),NA(),IF(AND(ISNUMBER(INDEX(rMed2,723)),ISNUMBER(INDEX(rMed,723))),INDEX(rMed,723),NA()))</f>
        <v>113500</v>
      </c>
    </row>
    <row r="726">
      <c r="BX726">
        <f>IF(OR(cMed=0,cMed2=0,724&gt;nFilas),NA(),IF(AND(ISNUMBER(INDEX(rMed2,724)),ISNUMBER(INDEX(rMed,724))),INDEX(rMed2,724),NA()))</f>
        <v>2</v>
      </c>
      <c r="BY726">
        <f>IF(OR(cMed=0,cMed2=0,724&gt;nFilas),NA(),IF(AND(ISNUMBER(INDEX(rMed2,724)),ISNUMBER(INDEX(rMed,724))),INDEX(rMed,724),NA()))</f>
        <v>1458600</v>
      </c>
    </row>
    <row r="727">
      <c r="BX727">
        <f>IF(OR(cMed=0,cMed2=0,725&gt;nFilas),NA(),IF(AND(ISNUMBER(INDEX(rMed2,725)),ISNUMBER(INDEX(rMed,725))),INDEX(rMed2,725),NA()))</f>
        <v>5</v>
      </c>
      <c r="BY727">
        <f>IF(OR(cMed=0,cMed2=0,725&gt;nFilas),NA(),IF(AND(ISNUMBER(INDEX(rMed2,725)),ISNUMBER(INDEX(rMed,725))),INDEX(rMed,725),NA()))</f>
        <v>1142500</v>
      </c>
    </row>
    <row r="728">
      <c r="BX728">
        <f>IF(OR(cMed=0,cMed2=0,726&gt;nFilas),NA(),IF(AND(ISNUMBER(INDEX(rMed2,726)),ISNUMBER(INDEX(rMed,726))),INDEX(rMed2,726),NA()))</f>
        <v>2</v>
      </c>
      <c r="BY728">
        <f>IF(OR(cMed=0,cMed2=0,726&gt;nFilas),NA(),IF(AND(ISNUMBER(INDEX(rMed2,726)),ISNUMBER(INDEX(rMed,726))),INDEX(rMed,726),NA()))</f>
        <v>1215800</v>
      </c>
    </row>
    <row r="729">
      <c r="BX729">
        <f>IF(OR(cMed=0,cMed2=0,727&gt;nFilas),NA(),IF(AND(ISNUMBER(INDEX(rMed2,727)),ISNUMBER(INDEX(rMed,727))),INDEX(rMed2,727),NA()))</f>
        <v>2</v>
      </c>
      <c r="BY729">
        <f>IF(OR(cMed=0,cMed2=0,727&gt;nFilas),NA(),IF(AND(ISNUMBER(INDEX(rMed2,727)),ISNUMBER(INDEX(rMed,727))),INDEX(rMed,727),NA()))</f>
        <v>138600</v>
      </c>
    </row>
    <row r="730">
      <c r="BX730">
        <f>IF(OR(cMed=0,cMed2=0,728&gt;nFilas),NA(),IF(AND(ISNUMBER(INDEX(rMed2,728)),ISNUMBER(INDEX(rMed,728))),INDEX(rMed2,728),NA()))</f>
        <v>5</v>
      </c>
      <c r="BY730">
        <f>IF(OR(cMed=0,cMed2=0,728&gt;nFilas),NA(),IF(AND(ISNUMBER(INDEX(rMed2,728)),ISNUMBER(INDEX(rMed,728))),INDEX(rMed,728),NA()))</f>
        <v>5507350</v>
      </c>
    </row>
    <row r="731">
      <c r="BX731">
        <f>IF(OR(cMed=0,cMed2=0,729&gt;nFilas),NA(),IF(AND(ISNUMBER(INDEX(rMed2,729)),ISNUMBER(INDEX(rMed,729))),INDEX(rMed2,729),NA()))</f>
        <v>4</v>
      </c>
      <c r="BY731">
        <f>IF(OR(cMed=0,cMed2=0,729&gt;nFilas),NA(),IF(AND(ISNUMBER(INDEX(rMed2,729)),ISNUMBER(INDEX(rMed,729))),INDEX(rMed,729),NA()))</f>
        <v>809140</v>
      </c>
    </row>
    <row r="732">
      <c r="BX732">
        <f>IF(OR(cMed=0,cMed2=0,730&gt;nFilas),NA(),IF(AND(ISNUMBER(INDEX(rMed2,730)),ISNUMBER(INDEX(rMed,730))),INDEX(rMed2,730),NA()))</f>
        <v>4</v>
      </c>
      <c r="BY732">
        <f>IF(OR(cMed=0,cMed2=0,730&gt;nFilas),NA(),IF(AND(ISNUMBER(INDEX(rMed2,730)),ISNUMBER(INDEX(rMed,730))),INDEX(rMed,730),NA()))</f>
        <v>1081460</v>
      </c>
    </row>
    <row r="733">
      <c r="BX733">
        <f>IF(OR(cMed=0,cMed2=0,731&gt;nFilas),NA(),IF(AND(ISNUMBER(INDEX(rMed2,731)),ISNUMBER(INDEX(rMed,731))),INDEX(rMed2,731),NA()))</f>
        <v>2</v>
      </c>
      <c r="BY733">
        <f>IF(OR(cMed=0,cMed2=0,731&gt;nFilas),NA(),IF(AND(ISNUMBER(INDEX(rMed2,731)),ISNUMBER(INDEX(rMed,731))),INDEX(rMed,731),NA()))</f>
        <v>321310</v>
      </c>
    </row>
    <row r="734">
      <c r="BX734">
        <f>IF(OR(cMed=0,cMed2=0,732&gt;nFilas),NA(),IF(AND(ISNUMBER(INDEX(rMed2,732)),ISNUMBER(INDEX(rMed,732))),INDEX(rMed2,732),NA()))</f>
        <v>1</v>
      </c>
      <c r="BY734">
        <f>IF(OR(cMed=0,cMed2=0,732&gt;nFilas),NA(),IF(AND(ISNUMBER(INDEX(rMed2,732)),ISNUMBER(INDEX(rMed,732))),INDEX(rMed,732),NA()))</f>
        <v>230230</v>
      </c>
    </row>
    <row r="735">
      <c r="BX735">
        <f>IF(OR(cMed=0,cMed2=0,733&gt;nFilas),NA(),IF(AND(ISNUMBER(INDEX(rMed2,733)),ISNUMBER(INDEX(rMed,733))),INDEX(rMed2,733),NA()))</f>
        <v>2</v>
      </c>
      <c r="BY735">
        <f>IF(OR(cMed=0,cMed2=0,733&gt;nFilas),NA(),IF(AND(ISNUMBER(INDEX(rMed2,733)),ISNUMBER(INDEX(rMed,733))),INDEX(rMed,733),NA()))</f>
        <v>197340</v>
      </c>
    </row>
    <row r="736">
      <c r="BX736">
        <f>IF(OR(cMed=0,cMed2=0,734&gt;nFilas),NA(),IF(AND(ISNUMBER(INDEX(rMed2,734)),ISNUMBER(INDEX(rMed,734))),INDEX(rMed2,734),NA()))</f>
        <v>5</v>
      </c>
      <c r="BY736">
        <f>IF(OR(cMed=0,cMed2=0,734&gt;nFilas),NA(),IF(AND(ISNUMBER(INDEX(rMed2,734)),ISNUMBER(INDEX(rMed,734))),INDEX(rMed,734),NA()))</f>
        <v>1292025</v>
      </c>
    </row>
    <row r="737">
      <c r="BX737">
        <f>IF(OR(cMed=0,cMed2=0,735&gt;nFilas),NA(),IF(AND(ISNUMBER(INDEX(rMed2,735)),ISNUMBER(INDEX(rMed,735))),INDEX(rMed2,735),NA()))</f>
        <v>4</v>
      </c>
      <c r="BY737">
        <f>IF(OR(cMed=0,cMed2=0,735&gt;nFilas),NA(),IF(AND(ISNUMBER(INDEX(rMed2,735)),ISNUMBER(INDEX(rMed,735))),INDEX(rMed,735),NA()))</f>
        <v>743820</v>
      </c>
    </row>
    <row r="738">
      <c r="BX738">
        <f>IF(OR(cMed=0,cMed2=0,736&gt;nFilas),NA(),IF(AND(ISNUMBER(INDEX(rMed2,736)),ISNUMBER(INDEX(rMed,736))),INDEX(rMed2,736),NA()))</f>
        <v>3</v>
      </c>
      <c r="BY738">
        <f>IF(OR(cMed=0,cMed2=0,736&gt;nFilas),NA(),IF(AND(ISNUMBER(INDEX(rMed2,736)),ISNUMBER(INDEX(rMed,736))),INDEX(rMed,736),NA()))</f>
        <v>415035</v>
      </c>
    </row>
    <row r="739">
      <c r="BX739">
        <f>IF(OR(cMed=0,cMed2=0,737&gt;nFilas),NA(),IF(AND(ISNUMBER(INDEX(rMed2,737)),ISNUMBER(INDEX(rMed,737))),INDEX(rMed2,737),NA()))</f>
        <v>1</v>
      </c>
      <c r="BY739">
        <f>IF(OR(cMed=0,cMed2=0,737&gt;nFilas),NA(),IF(AND(ISNUMBER(INDEX(rMed2,737)),ISNUMBER(INDEX(rMed,737))),INDEX(rMed,737),NA()))</f>
        <v>160195</v>
      </c>
    </row>
    <row r="740">
      <c r="BX740">
        <f>IF(OR(cMed=0,cMed2=0,738&gt;nFilas),NA(),IF(AND(ISNUMBER(INDEX(rMed2,738)),ISNUMBER(INDEX(rMed,738))),INDEX(rMed2,738),NA()))</f>
        <v>5</v>
      </c>
      <c r="BY740">
        <f>IF(OR(cMed=0,cMed2=0,738&gt;nFilas),NA(),IF(AND(ISNUMBER(INDEX(rMed2,738)),ISNUMBER(INDEX(rMed,738))),INDEX(rMed,738),NA()))</f>
        <v>532450</v>
      </c>
    </row>
    <row r="741">
      <c r="BX741">
        <f>IF(OR(cMed=0,cMed2=0,739&gt;nFilas),NA(),IF(AND(ISNUMBER(INDEX(rMed2,739)),ISNUMBER(INDEX(rMed,739))),INDEX(rMed2,739),NA()))</f>
        <v>4</v>
      </c>
      <c r="BY741">
        <f>IF(OR(cMed=0,cMed2=0,739&gt;nFilas),NA(),IF(AND(ISNUMBER(INDEX(rMed2,739)),ISNUMBER(INDEX(rMed,739))),INDEX(rMed,739),NA()))</f>
        <v>777860</v>
      </c>
    </row>
    <row r="742">
      <c r="BX742">
        <f>IF(OR(cMed=0,cMed2=0,740&gt;nFilas),NA(),IF(AND(ISNUMBER(INDEX(rMed2,740)),ISNUMBER(INDEX(rMed,740))),INDEX(rMed2,740),NA()))</f>
        <v>5</v>
      </c>
      <c r="BY742">
        <f>IF(OR(cMed=0,cMed2=0,740&gt;nFilas),NA(),IF(AND(ISNUMBER(INDEX(rMed2,740)),ISNUMBER(INDEX(rMed,740))),INDEX(rMed,740),NA()))</f>
        <v>3444825</v>
      </c>
    </row>
    <row r="743">
      <c r="BX743">
        <f>IF(OR(cMed=0,cMed2=0,741&gt;nFilas),NA(),IF(AND(ISNUMBER(INDEX(rMed2,741)),ISNUMBER(INDEX(rMed,741))),INDEX(rMed2,741),NA()))</f>
        <v>4</v>
      </c>
      <c r="BY743">
        <f>IF(OR(cMed=0,cMed2=0,741&gt;nFilas),NA(),IF(AND(ISNUMBER(INDEX(rMed2,741)),ISNUMBER(INDEX(rMed,741))),INDEX(rMed,741),NA()))</f>
        <v>271860</v>
      </c>
    </row>
    <row r="744">
      <c r="BX744">
        <f>IF(OR(cMed=0,cMed2=0,742&gt;nFilas),NA(),IF(AND(ISNUMBER(INDEX(rMed2,742)),ISNUMBER(INDEX(rMed,742))),INDEX(rMed2,742),NA()))</f>
        <v>2</v>
      </c>
      <c r="BY744">
        <f>IF(OR(cMed=0,cMed2=0,742&gt;nFilas),NA(),IF(AND(ISNUMBER(INDEX(rMed2,742)),ISNUMBER(INDEX(rMed,742))),INDEX(rMed,742),NA()))</f>
        <v>239200</v>
      </c>
    </row>
    <row r="745">
      <c r="BX745">
        <f>IF(OR(cMed=0,cMed2=0,743&gt;nFilas),NA(),IF(AND(ISNUMBER(INDEX(rMed2,743)),ISNUMBER(INDEX(rMed,743))),INDEX(rMed2,743),NA()))</f>
        <v>1</v>
      </c>
      <c r="BY745">
        <f>IF(OR(cMed=0,cMed2=0,743&gt;nFilas),NA(),IF(AND(ISNUMBER(INDEX(rMed2,743)),ISNUMBER(INDEX(rMed,743))),INDEX(rMed,743),NA()))</f>
        <v>109825</v>
      </c>
    </row>
    <row r="746">
      <c r="BX746">
        <f>IF(OR(cMed=0,cMed2=0,744&gt;nFilas),NA(),IF(AND(ISNUMBER(INDEX(rMed2,744)),ISNUMBER(INDEX(rMed,744))),INDEX(rMed2,744),NA()))</f>
        <v>4</v>
      </c>
      <c r="BY746">
        <f>IF(OR(cMed=0,cMed2=0,744&gt;nFilas),NA(),IF(AND(ISNUMBER(INDEX(rMed2,744)),ISNUMBER(INDEX(rMed,744))),INDEX(rMed,744),NA()))</f>
        <v>681720</v>
      </c>
    </row>
    <row r="747">
      <c r="BX747">
        <f>IF(OR(cMed=0,cMed2=0,745&gt;nFilas),NA(),IF(AND(ISNUMBER(INDEX(rMed2,745)),ISNUMBER(INDEX(rMed,745))),INDEX(rMed2,745),NA()))</f>
        <v>4</v>
      </c>
      <c r="BY747">
        <f>IF(OR(cMed=0,cMed2=0,745&gt;nFilas),NA(),IF(AND(ISNUMBER(INDEX(rMed2,745)),ISNUMBER(INDEX(rMed,745))),INDEX(rMed,745),NA()))</f>
        <v>4518580</v>
      </c>
    </row>
    <row r="748">
      <c r="BX748">
        <f>IF(OR(cMed=0,cMed2=0,746&gt;nFilas),NA(),IF(AND(ISNUMBER(INDEX(rMed2,746)),ISNUMBER(INDEX(rMed,746))),INDEX(rMed2,746),NA()))</f>
        <v>1</v>
      </c>
      <c r="BY748">
        <f>IF(OR(cMed=0,cMed2=0,746&gt;nFilas),NA(),IF(AND(ISNUMBER(INDEX(rMed2,746)),ISNUMBER(INDEX(rMed,746))),INDEX(rMed,746),NA()))</f>
        <v>142945</v>
      </c>
    </row>
    <row r="749">
      <c r="BX749">
        <f>IF(OR(cMed=0,cMed2=0,747&gt;nFilas),NA(),IF(AND(ISNUMBER(INDEX(rMed2,747)),ISNUMBER(INDEX(rMed,747))),INDEX(rMed2,747),NA()))</f>
        <v>5</v>
      </c>
      <c r="BY749">
        <f>IF(OR(cMed=0,cMed2=0,747&gt;nFilas),NA(),IF(AND(ISNUMBER(INDEX(rMed2,747)),ISNUMBER(INDEX(rMed,747))),INDEX(rMed,747),NA()))</f>
        <v>451500</v>
      </c>
    </row>
    <row r="750">
      <c r="BX750">
        <f>IF(OR(cMed=0,cMed2=0,748&gt;nFilas),NA(),IF(AND(ISNUMBER(INDEX(rMed2,748)),ISNUMBER(INDEX(rMed,748))),INDEX(rMed2,748),NA()))</f>
        <v>5</v>
      </c>
      <c r="BY750">
        <f>IF(OR(cMed=0,cMed2=0,748&gt;nFilas),NA(),IF(AND(ISNUMBER(INDEX(rMed2,748)),ISNUMBER(INDEX(rMed,748))),INDEX(rMed,748),NA()))</f>
        <v>434000</v>
      </c>
    </row>
    <row r="751">
      <c r="BX751">
        <f>IF(OR(cMed=0,cMed2=0,749&gt;nFilas),NA(),IF(AND(ISNUMBER(INDEX(rMed2,749)),ISNUMBER(INDEX(rMed,749))),INDEX(rMed2,749),NA()))</f>
        <v>1</v>
      </c>
      <c r="BY751">
        <f>IF(OR(cMed=0,cMed2=0,749&gt;nFilas),NA(),IF(AND(ISNUMBER(INDEX(rMed2,749)),ISNUMBER(INDEX(rMed,749))),INDEX(rMed,749),NA()))</f>
        <v>70700</v>
      </c>
    </row>
    <row r="752">
      <c r="BX752">
        <f>IF(OR(cMed=0,cMed2=0,750&gt;nFilas),NA(),IF(AND(ISNUMBER(INDEX(rMed2,750)),ISNUMBER(INDEX(rMed,750))),INDEX(rMed2,750),NA()))</f>
        <v>4</v>
      </c>
      <c r="BY752">
        <f>IF(OR(cMed=0,cMed2=0,750&gt;nFilas),NA(),IF(AND(ISNUMBER(INDEX(rMed2,750)),ISNUMBER(INDEX(rMed,750))),INDEX(rMed,750),NA()))</f>
        <v>1028400</v>
      </c>
    </row>
    <row r="753">
      <c r="BX753">
        <f>IF(OR(cMed=0,cMed2=0,751&gt;nFilas),NA(),IF(AND(ISNUMBER(INDEX(rMed2,751)),ISNUMBER(INDEX(rMed,751))),INDEX(rMed2,751),NA()))</f>
        <v>2</v>
      </c>
      <c r="BY753">
        <f>IF(OR(cMed=0,cMed2=0,751&gt;nFilas),NA(),IF(AND(ISNUMBER(INDEX(rMed2,751)),ISNUMBER(INDEX(rMed,751))),INDEX(rMed,751),NA()))</f>
        <v>533400</v>
      </c>
    </row>
    <row r="754">
      <c r="BX754">
        <f>IF(OR(cMed=0,cMed2=0,752&gt;nFilas),NA(),IF(AND(ISNUMBER(INDEX(rMed2,752)),ISNUMBER(INDEX(rMed,752))),INDEX(rMed2,752),NA()))</f>
        <v>3</v>
      </c>
      <c r="BY754">
        <f>IF(OR(cMed=0,cMed2=0,752&gt;nFilas),NA(),IF(AND(ISNUMBER(INDEX(rMed2,752)),ISNUMBER(INDEX(rMed,752))),INDEX(rMed,752),NA()))</f>
        <v>378600</v>
      </c>
    </row>
    <row r="755">
      <c r="BX755">
        <f>IF(OR(cMed=0,cMed2=0,753&gt;nFilas),NA(),IF(AND(ISNUMBER(INDEX(rMed2,753)),ISNUMBER(INDEX(rMed,753))),INDEX(rMed2,753),NA()))</f>
        <v>2</v>
      </c>
      <c r="BY755">
        <f>IF(OR(cMed=0,cMed2=0,753&gt;nFilas),NA(),IF(AND(ISNUMBER(INDEX(rMed2,753)),ISNUMBER(INDEX(rMed,753))),INDEX(rMed,753),NA()))</f>
        <v>289600</v>
      </c>
    </row>
    <row r="756">
      <c r="BX756">
        <f>IF(OR(cMed=0,cMed2=0,754&gt;nFilas),NA(),IF(AND(ISNUMBER(INDEX(rMed2,754)),ISNUMBER(INDEX(rMed,754))),INDEX(rMed2,754),NA()))</f>
        <v>3</v>
      </c>
      <c r="BY756">
        <f>IF(OR(cMed=0,cMed2=0,754&gt;nFilas),NA(),IF(AND(ISNUMBER(INDEX(rMed2,754)),ISNUMBER(INDEX(rMed,754))),INDEX(rMed,754),NA()))</f>
        <v>268500</v>
      </c>
    </row>
    <row r="757">
      <c r="BX757">
        <f>IF(OR(cMed=0,cMed2=0,755&gt;nFilas),NA(),IF(AND(ISNUMBER(INDEX(rMed2,755)),ISNUMBER(INDEX(rMed,755))),INDEX(rMed2,755),NA()))</f>
        <v>4</v>
      </c>
      <c r="BY757">
        <f>IF(OR(cMed=0,cMed2=0,755&gt;nFilas),NA(),IF(AND(ISNUMBER(INDEX(rMed2,755)),ISNUMBER(INDEX(rMed,755))),INDEX(rMed,755),NA()))</f>
        <v>634400</v>
      </c>
    </row>
    <row r="758">
      <c r="BX758">
        <f>IF(OR(cMed=0,cMed2=0,756&gt;nFilas),NA(),IF(AND(ISNUMBER(INDEX(rMed2,756)),ISNUMBER(INDEX(rMed,756))),INDEX(rMed2,756),NA()))</f>
        <v>5</v>
      </c>
      <c r="BY758">
        <f>IF(OR(cMed=0,cMed2=0,756&gt;nFilas),NA(),IF(AND(ISNUMBER(INDEX(rMed2,756)),ISNUMBER(INDEX(rMed,756))),INDEX(rMed,756),NA()))</f>
        <v>4363500</v>
      </c>
    </row>
    <row r="759">
      <c r="BX759">
        <f>IF(OR(cMed=0,cMed2=0,757&gt;nFilas),NA(),IF(AND(ISNUMBER(INDEX(rMed2,757)),ISNUMBER(INDEX(rMed,757))),INDEX(rMed2,757),NA()))</f>
        <v>1</v>
      </c>
      <c r="BY759">
        <f>IF(OR(cMed=0,cMed2=0,757&gt;nFilas),NA(),IF(AND(ISNUMBER(INDEX(rMed2,757)),ISNUMBER(INDEX(rMed,757))),INDEX(rMed,757),NA()))</f>
        <v>240300</v>
      </c>
    </row>
    <row r="760">
      <c r="BX760">
        <f>IF(OR(cMed=0,cMed2=0,758&gt;nFilas),NA(),IF(AND(ISNUMBER(INDEX(rMed2,758)),ISNUMBER(INDEX(rMed,758))),INDEX(rMed2,758),NA()))</f>
        <v>1</v>
      </c>
      <c r="BY760">
        <f>IF(OR(cMed=0,cMed2=0,758&gt;nFilas),NA(),IF(AND(ISNUMBER(INDEX(rMed2,758)),ISNUMBER(INDEX(rMed,758))),INDEX(rMed,758),NA()))</f>
        <v>833900</v>
      </c>
    </row>
    <row r="761">
      <c r="BX761">
        <f>IF(OR(cMed=0,cMed2=0,759&gt;nFilas),NA(),IF(AND(ISNUMBER(INDEX(rMed2,759)),ISNUMBER(INDEX(rMed,759))),INDEX(rMed2,759),NA()))</f>
        <v>1</v>
      </c>
      <c r="BY761">
        <f>IF(OR(cMed=0,cMed2=0,759&gt;nFilas),NA(),IF(AND(ISNUMBER(INDEX(rMed2,759)),ISNUMBER(INDEX(rMed,759))),INDEX(rMed,759),NA()))</f>
        <v>142400</v>
      </c>
    </row>
    <row r="762">
      <c r="BX762">
        <f>IF(OR(cMed=0,cMed2=0,760&gt;nFilas),NA(),IF(AND(ISNUMBER(INDEX(rMed2,760)),ISNUMBER(INDEX(rMed,760))),INDEX(rMed2,760),NA()))</f>
        <v>1</v>
      </c>
      <c r="BY762">
        <f>IF(OR(cMed=0,cMed2=0,760&gt;nFilas),NA(),IF(AND(ISNUMBER(INDEX(rMed2,760)),ISNUMBER(INDEX(rMed,760))),INDEX(rMed,760),NA()))</f>
        <v>64700</v>
      </c>
    </row>
    <row r="763">
      <c r="BX763">
        <f>IF(OR(cMed=0,cMed2=0,761&gt;nFilas),NA(),IF(AND(ISNUMBER(INDEX(rMed2,761)),ISNUMBER(INDEX(rMed,761))),INDEX(rMed2,761),NA()))</f>
        <v>1</v>
      </c>
      <c r="BY763">
        <f>IF(OR(cMed=0,cMed2=0,761&gt;nFilas),NA(),IF(AND(ISNUMBER(INDEX(rMed2,761)),ISNUMBER(INDEX(rMed,761))),INDEX(rMed,761),NA()))</f>
        <v>263000</v>
      </c>
    </row>
    <row r="764">
      <c r="BX764">
        <f>IF(OR(cMed=0,cMed2=0,762&gt;nFilas),NA(),IF(AND(ISNUMBER(INDEX(rMed2,762)),ISNUMBER(INDEX(rMed,762))),INDEX(rMed2,762),NA()))</f>
        <v>4</v>
      </c>
      <c r="BY764">
        <f>IF(OR(cMed=0,cMed2=0,762&gt;nFilas),NA(),IF(AND(ISNUMBER(INDEX(rMed2,762)),ISNUMBER(INDEX(rMed,762))),INDEX(rMed,762),NA()))</f>
        <v>327600</v>
      </c>
    </row>
    <row r="765">
      <c r="BX765">
        <f>IF(OR(cMed=0,cMed2=0,763&gt;nFilas),NA(),IF(AND(ISNUMBER(INDEX(rMed2,763)),ISNUMBER(INDEX(rMed,763))),INDEX(rMed2,763),NA()))</f>
        <v>2</v>
      </c>
      <c r="BY765">
        <f>IF(OR(cMed=0,cMed2=0,763&gt;nFilas),NA(),IF(AND(ISNUMBER(INDEX(rMed2,763)),ISNUMBER(INDEX(rMed,763))),INDEX(rMed,763),NA()))</f>
        <v>315800</v>
      </c>
    </row>
    <row r="766">
      <c r="BX766">
        <f>IF(OR(cMed=0,cMed2=0,764&gt;nFilas),NA(),IF(AND(ISNUMBER(INDEX(rMed2,764)),ISNUMBER(INDEX(rMed,764))),INDEX(rMed2,764),NA()))</f>
        <v>2</v>
      </c>
      <c r="BY766">
        <f>IF(OR(cMed=0,cMed2=0,764&gt;nFilas),NA(),IF(AND(ISNUMBER(INDEX(rMed2,764)),ISNUMBER(INDEX(rMed,764))),INDEX(rMed,764),NA()))</f>
        <v>1480800</v>
      </c>
    </row>
    <row r="767">
      <c r="BX767">
        <f>IF(OR(cMed=0,cMed2=0,765&gt;nFilas),NA(),IF(AND(ISNUMBER(INDEX(rMed2,765)),ISNUMBER(INDEX(rMed,765))),INDEX(rMed2,765),NA()))</f>
        <v>1</v>
      </c>
      <c r="BY767">
        <f>IF(OR(cMed=0,cMed2=0,765&gt;nFilas),NA(),IF(AND(ISNUMBER(INDEX(rMed2,765)),ISNUMBER(INDEX(rMed,765))),INDEX(rMed,765),NA()))</f>
        <v>234700</v>
      </c>
    </row>
    <row r="768">
      <c r="BX768">
        <f>IF(OR(cMed=0,cMed2=0,766&gt;nFilas),NA(),IF(AND(ISNUMBER(INDEX(rMed2,766)),ISNUMBER(INDEX(rMed,766))),INDEX(rMed2,766),NA()))</f>
        <v>4</v>
      </c>
      <c r="BY768">
        <f>IF(OR(cMed=0,cMed2=0,766&gt;nFilas),NA(),IF(AND(ISNUMBER(INDEX(rMed2,766)),ISNUMBER(INDEX(rMed,766))),INDEX(rMed,766),NA()))</f>
        <v>824400</v>
      </c>
    </row>
    <row r="769">
      <c r="BX769">
        <f>IF(OR(cMed=0,cMed2=0,767&gt;nFilas),NA(),IF(AND(ISNUMBER(INDEX(rMed2,767)),ISNUMBER(INDEX(rMed,767))),INDEX(rMed2,767),NA()))</f>
        <v>2</v>
      </c>
      <c r="BY769">
        <f>IF(OR(cMed=0,cMed2=0,767&gt;nFilas),NA(),IF(AND(ISNUMBER(INDEX(rMed2,767)),ISNUMBER(INDEX(rMed,767))),INDEX(rMed,767),NA()))</f>
        <v>205400</v>
      </c>
    </row>
    <row r="770">
      <c r="BX770">
        <f>IF(OR(cMed=0,cMed2=0,768&gt;nFilas),NA(),IF(AND(ISNUMBER(INDEX(rMed2,768)),ISNUMBER(INDEX(rMed,768))),INDEX(rMed2,768),NA()))</f>
        <v>5</v>
      </c>
      <c r="BY770">
        <f>IF(OR(cMed=0,cMed2=0,768&gt;nFilas),NA(),IF(AND(ISNUMBER(INDEX(rMed2,768)),ISNUMBER(INDEX(rMed,768))),INDEX(rMed,768),NA()))</f>
        <v>4220000</v>
      </c>
    </row>
    <row r="771">
      <c r="BX771">
        <f>IF(OR(cMed=0,cMed2=0,769&gt;nFilas),NA(),IF(AND(ISNUMBER(INDEX(rMed2,769)),ISNUMBER(INDEX(rMed,769))),INDEX(rMed2,769),NA()))</f>
        <v>4</v>
      </c>
      <c r="BY771">
        <f>IF(OR(cMed=0,cMed2=0,769&gt;nFilas),NA(),IF(AND(ISNUMBER(INDEX(rMed2,769)),ISNUMBER(INDEX(rMed,769))),INDEX(rMed,769),NA()))</f>
        <v>280800</v>
      </c>
    </row>
    <row r="772">
      <c r="BX772">
        <f>IF(OR(cMed=0,cMed2=0,770&gt;nFilas),NA(),IF(AND(ISNUMBER(INDEX(rMed2,770)),ISNUMBER(INDEX(rMed,770))),INDEX(rMed2,770),NA()))</f>
        <v>5</v>
      </c>
      <c r="BY772">
        <f>IF(OR(cMed=0,cMed2=0,770&gt;nFilas),NA(),IF(AND(ISNUMBER(INDEX(rMed2,770)),ISNUMBER(INDEX(rMed,770))),INDEX(rMed,770),NA()))</f>
        <v>513000</v>
      </c>
    </row>
    <row r="773">
      <c r="BX773">
        <f>IF(OR(cMed=0,cMed2=0,771&gt;nFilas),NA(),IF(AND(ISNUMBER(INDEX(rMed2,771)),ISNUMBER(INDEX(rMed,771))),INDEX(rMed2,771),NA()))</f>
        <v>2</v>
      </c>
      <c r="BY773">
        <f>IF(OR(cMed=0,cMed2=0,771&gt;nFilas),NA(),IF(AND(ISNUMBER(INDEX(rMed2,771)),ISNUMBER(INDEX(rMed,771))),INDEX(rMed,771),NA()))</f>
        <v>450340</v>
      </c>
    </row>
    <row r="774">
      <c r="BX774">
        <f>IF(OR(cMed=0,cMed2=0,772&gt;nFilas),NA(),IF(AND(ISNUMBER(INDEX(rMed2,772)),ISNUMBER(INDEX(rMed,772))),INDEX(rMed2,772),NA()))</f>
        <v>2</v>
      </c>
      <c r="BY774">
        <f>IF(OR(cMed=0,cMed2=0,772&gt;nFilas),NA(),IF(AND(ISNUMBER(INDEX(rMed2,772)),ISNUMBER(INDEX(rMed,772))),INDEX(rMed,772),NA()))</f>
        <v>424120</v>
      </c>
    </row>
    <row r="775">
      <c r="BX775">
        <f>IF(OR(cMed=0,cMed2=0,773&gt;nFilas),NA(),IF(AND(ISNUMBER(INDEX(rMed2,773)),ISNUMBER(INDEX(rMed,773))),INDEX(rMed2,773),NA()))</f>
        <v>4</v>
      </c>
      <c r="BY775">
        <f>IF(OR(cMed=0,cMed2=0,773&gt;nFilas),NA(),IF(AND(ISNUMBER(INDEX(rMed2,773)),ISNUMBER(INDEX(rMed,773))),INDEX(rMed,773),NA()))</f>
        <v>689540</v>
      </c>
    </row>
    <row r="776">
      <c r="BX776">
        <f>IF(OR(cMed=0,cMed2=0,774&gt;nFilas),NA(),IF(AND(ISNUMBER(INDEX(rMed2,774)),ISNUMBER(INDEX(rMed,774))),INDEX(rMed2,774),NA()))</f>
        <v>4</v>
      </c>
      <c r="BY776">
        <f>IF(OR(cMed=0,cMed2=0,774&gt;nFilas),NA(),IF(AND(ISNUMBER(INDEX(rMed2,774)),ISNUMBER(INDEX(rMed,774))),INDEX(rMed,774),NA()))</f>
        <v>235980</v>
      </c>
    </row>
    <row r="777">
      <c r="BX777">
        <f>IF(OR(cMed=0,cMed2=0,775&gt;nFilas),NA(),IF(AND(ISNUMBER(INDEX(rMed2,775)),ISNUMBER(INDEX(rMed,775))),INDEX(rMed2,775),NA()))</f>
        <v>2</v>
      </c>
      <c r="BY777">
        <f>IF(OR(cMed=0,cMed2=0,775&gt;nFilas),NA(),IF(AND(ISNUMBER(INDEX(rMed2,775)),ISNUMBER(INDEX(rMed,775))),INDEX(rMed,775),NA()))</f>
        <v>247480</v>
      </c>
    </row>
    <row r="778">
      <c r="BX778">
        <f>IF(OR(cMed=0,cMed2=0,776&gt;nFilas),NA(),IF(AND(ISNUMBER(INDEX(rMed2,776)),ISNUMBER(INDEX(rMed,776))),INDEX(rMed2,776),NA()))</f>
        <v>1</v>
      </c>
      <c r="BY778">
        <f>IF(OR(cMed=0,cMed2=0,776&gt;nFilas),NA(),IF(AND(ISNUMBER(INDEX(rMed2,776)),ISNUMBER(INDEX(rMed,776))),INDEX(rMed,776),NA()))</f>
        <v>143175</v>
      </c>
    </row>
    <row r="779">
      <c r="BX779">
        <f>IF(OR(cMed=0,cMed2=0,777&gt;nFilas),NA(),IF(AND(ISNUMBER(INDEX(rMed2,777)),ISNUMBER(INDEX(rMed,777))),INDEX(rMed2,777),NA()))</f>
        <v>3</v>
      </c>
      <c r="BY779">
        <f>IF(OR(cMed=0,cMed2=0,777&gt;nFilas),NA(),IF(AND(ISNUMBER(INDEX(rMed2,777)),ISNUMBER(INDEX(rMed,777))),INDEX(rMed,777),NA()))</f>
        <v>2469510</v>
      </c>
    </row>
    <row r="780">
      <c r="BX780">
        <f>IF(OR(cMed=0,cMed2=0,778&gt;nFilas),NA(),IF(AND(ISNUMBER(INDEX(rMed2,778)),ISNUMBER(INDEX(rMed,778))),INDEX(rMed2,778),NA()))</f>
        <v>3</v>
      </c>
      <c r="BY780">
        <f>IF(OR(cMed=0,cMed2=0,778&gt;nFilas),NA(),IF(AND(ISNUMBER(INDEX(rMed2,778)),ISNUMBER(INDEX(rMed,778))),INDEX(rMed,778),NA()))</f>
        <v>271515</v>
      </c>
    </row>
    <row r="781">
      <c r="BX781">
        <f>IF(OR(cMed=0,cMed2=0,779&gt;nFilas),NA(),IF(AND(ISNUMBER(INDEX(rMed2,779)),ISNUMBER(INDEX(rMed,779))),INDEX(rMed2,779),NA()))</f>
        <v>3</v>
      </c>
      <c r="BY781">
        <f>IF(OR(cMed=0,cMed2=0,779&gt;nFilas),NA(),IF(AND(ISNUMBER(INDEX(rMed2,779)),ISNUMBER(INDEX(rMed,779))),INDEX(rMed,779),NA()))</f>
        <v>2302800</v>
      </c>
    </row>
    <row r="782">
      <c r="BX782">
        <f>IF(OR(cMed=0,cMed2=0,780&gt;nFilas),NA(),IF(AND(ISNUMBER(INDEX(rMed2,780)),ISNUMBER(INDEX(rMed,780))),INDEX(rMed2,780),NA()))</f>
        <v>5</v>
      </c>
      <c r="BY782">
        <f>IF(OR(cMed=0,cMed2=0,780&gt;nFilas),NA(),IF(AND(ISNUMBER(INDEX(rMed2,780)),ISNUMBER(INDEX(rMed,780))),INDEX(rMed,780),NA()))</f>
        <v>4669500</v>
      </c>
    </row>
    <row r="783">
      <c r="BX783">
        <f>IF(OR(cMed=0,cMed2=0,781&gt;nFilas),NA(),IF(AND(ISNUMBER(INDEX(rMed2,781)),ISNUMBER(INDEX(rMed,781))),INDEX(rMed2,781),NA()))</f>
        <v>1</v>
      </c>
      <c r="BY783">
        <f>IF(OR(cMed=0,cMed2=0,781&gt;nFilas),NA(),IF(AND(ISNUMBER(INDEX(rMed2,781)),ISNUMBER(INDEX(rMed,781))),INDEX(rMed,781),NA()))</f>
        <v>631700</v>
      </c>
    </row>
    <row r="784">
      <c r="BX784">
        <f>IF(OR(cMed=0,cMed2=0,782&gt;nFilas),NA(),IF(AND(ISNUMBER(INDEX(rMed2,782)),ISNUMBER(INDEX(rMed,782))),INDEX(rMed2,782),NA()))</f>
        <v>3</v>
      </c>
      <c r="BY784">
        <f>IF(OR(cMed=0,cMed2=0,782&gt;nFilas),NA(),IF(AND(ISNUMBER(INDEX(rMed2,782)),ISNUMBER(INDEX(rMed,782))),INDEX(rMed,782),NA()))</f>
        <v>316800</v>
      </c>
    </row>
    <row r="785">
      <c r="BX785">
        <f>IF(OR(cMed=0,cMed2=0,783&gt;nFilas),NA(),IF(AND(ISNUMBER(INDEX(rMed2,783)),ISNUMBER(INDEX(rMed,783))),INDEX(rMed2,783),NA()))</f>
        <v>3</v>
      </c>
      <c r="BY785">
        <f>IF(OR(cMed=0,cMed2=0,783&gt;nFilas),NA(),IF(AND(ISNUMBER(INDEX(rMed2,783)),ISNUMBER(INDEX(rMed,783))),INDEX(rMed,783),NA()))</f>
        <v>522600</v>
      </c>
    </row>
    <row r="786">
      <c r="BX786">
        <f>IF(OR(cMed=0,cMed2=0,784&gt;nFilas),NA(),IF(AND(ISNUMBER(INDEX(rMed2,784)),ISNUMBER(INDEX(rMed,784))),INDEX(rMed2,784),NA()))</f>
        <v>2</v>
      </c>
      <c r="BY786">
        <f>IF(OR(cMed=0,cMed2=0,784&gt;nFilas),NA(),IF(AND(ISNUMBER(INDEX(rMed2,784)),ISNUMBER(INDEX(rMed,784))),INDEX(rMed,784),NA()))</f>
        <v>264800</v>
      </c>
    </row>
    <row r="787">
      <c r="BX787">
        <f>IF(OR(cMed=0,cMed2=0,785&gt;nFilas),NA(),IF(AND(ISNUMBER(INDEX(rMed2,785)),ISNUMBER(INDEX(rMed,785))),INDEX(rMed2,785),NA()))</f>
        <v>4</v>
      </c>
      <c r="BY787">
        <f>IF(OR(cMed=0,cMed2=0,785&gt;nFilas),NA(),IF(AND(ISNUMBER(INDEX(rMed2,785)),ISNUMBER(INDEX(rMed,785))),INDEX(rMed,785),NA()))</f>
        <v>865200</v>
      </c>
    </row>
    <row r="788">
      <c r="BX788">
        <f>IF(OR(cMed=0,cMed2=0,786&gt;nFilas),NA(),IF(AND(ISNUMBER(INDEX(rMed2,786)),ISNUMBER(INDEX(rMed,786))),INDEX(rMed2,786),NA()))</f>
        <v>4</v>
      </c>
      <c r="BY788">
        <f>IF(OR(cMed=0,cMed2=0,786&gt;nFilas),NA(),IF(AND(ISNUMBER(INDEX(rMed2,786)),ISNUMBER(INDEX(rMed,786))),INDEX(rMed,786),NA()))</f>
        <v>994000</v>
      </c>
    </row>
    <row r="789">
      <c r="BX789">
        <f>IF(OR(cMed=0,cMed2=0,787&gt;nFilas),NA(),IF(AND(ISNUMBER(INDEX(rMed2,787)),ISNUMBER(INDEX(rMed,787))),INDEX(rMed2,787),NA()))</f>
        <v>2</v>
      </c>
      <c r="BY789">
        <f>IF(OR(cMed=0,cMed2=0,787&gt;nFilas),NA(),IF(AND(ISNUMBER(INDEX(rMed2,787)),ISNUMBER(INDEX(rMed,787))),INDEX(rMed,787),NA()))</f>
        <v>298800</v>
      </c>
    </row>
    <row r="790">
      <c r="BX790">
        <f>IF(OR(cMed=0,cMed2=0,788&gt;nFilas),NA(),IF(AND(ISNUMBER(INDEX(rMed2,788)),ISNUMBER(INDEX(rMed,788))),INDEX(rMed2,788),NA()))</f>
        <v>5</v>
      </c>
      <c r="BY790">
        <f>IF(OR(cMed=0,cMed2=0,788&gt;nFilas),NA(),IF(AND(ISNUMBER(INDEX(rMed2,788)),ISNUMBER(INDEX(rMed,788))),INDEX(rMed,788),NA()))</f>
        <v>615000</v>
      </c>
    </row>
    <row r="791">
      <c r="BX791">
        <f>IF(OR(cMed=0,cMed2=0,789&gt;nFilas),NA(),IF(AND(ISNUMBER(INDEX(rMed2,789)),ISNUMBER(INDEX(rMed,789))),INDEX(rMed2,789),NA()))</f>
        <v>3</v>
      </c>
      <c r="BY791">
        <f>IF(OR(cMed=0,cMed2=0,789&gt;nFilas),NA(),IF(AND(ISNUMBER(INDEX(rMed2,789)),ISNUMBER(INDEX(rMed,789))),INDEX(rMed,789),NA()))</f>
        <v>2002500</v>
      </c>
    </row>
    <row r="792">
      <c r="BX792">
        <f>IF(OR(cMed=0,cMed2=0,790&gt;nFilas),NA(),IF(AND(ISNUMBER(INDEX(rMed2,790)),ISNUMBER(INDEX(rMed,790))),INDEX(rMed2,790),NA()))</f>
        <v>4</v>
      </c>
      <c r="BY792">
        <f>IF(OR(cMed=0,cMed2=0,790&gt;nFilas),NA(),IF(AND(ISNUMBER(INDEX(rMed2,790)),ISNUMBER(INDEX(rMed,790))),INDEX(rMed,790),NA()))</f>
        <v>239600</v>
      </c>
    </row>
    <row r="793">
      <c r="BX793">
        <f>IF(OR(cMed=0,cMed2=0,791&gt;nFilas),NA(),IF(AND(ISNUMBER(INDEX(rMed2,791)),ISNUMBER(INDEX(rMed,791))),INDEX(rMed2,791),NA()))</f>
        <v>4</v>
      </c>
      <c r="BY793">
        <f>IF(OR(cMed=0,cMed2=0,791&gt;nFilas),NA(),IF(AND(ISNUMBER(INDEX(rMed2,791)),ISNUMBER(INDEX(rMed,791))),INDEX(rMed,791),NA()))</f>
        <v>698800</v>
      </c>
    </row>
    <row r="794">
      <c r="BX794">
        <f>IF(OR(cMed=0,cMed2=0,792&gt;nFilas),NA(),IF(AND(ISNUMBER(INDEX(rMed2,792)),ISNUMBER(INDEX(rMed,792))),INDEX(rMed2,792),NA()))</f>
        <v>3</v>
      </c>
      <c r="BY794">
        <f>IF(OR(cMed=0,cMed2=0,792&gt;nFilas),NA(),IF(AND(ISNUMBER(INDEX(rMed2,792)),ISNUMBER(INDEX(rMed,792))),INDEX(rMed,792),NA()))</f>
        <v>371100</v>
      </c>
    </row>
    <row r="795">
      <c r="BX795">
        <f>IF(OR(cMed=0,cMed2=0,793&gt;nFilas),NA(),IF(AND(ISNUMBER(INDEX(rMed2,793)),ISNUMBER(INDEX(rMed,793))),INDEX(rMed2,793),NA()))</f>
        <v>2</v>
      </c>
      <c r="BY795">
        <f>IF(OR(cMed=0,cMed2=0,793&gt;nFilas),NA(),IF(AND(ISNUMBER(INDEX(rMed2,793)),ISNUMBER(INDEX(rMed,793))),INDEX(rMed,793),NA()))</f>
        <v>1702920</v>
      </c>
    </row>
    <row r="796">
      <c r="BX796">
        <f>IF(OR(cMed=0,cMed2=0,794&gt;nFilas),NA(),IF(AND(ISNUMBER(INDEX(rMed2,794)),ISNUMBER(INDEX(rMed,794))),INDEX(rMed2,794),NA()))</f>
        <v>4</v>
      </c>
      <c r="BY796">
        <f>IF(OR(cMed=0,cMed2=0,794&gt;nFilas),NA(),IF(AND(ISNUMBER(INDEX(rMed2,794)),ISNUMBER(INDEX(rMed,794))),INDEX(rMed,794),NA()))</f>
        <v>4927520</v>
      </c>
    </row>
    <row r="797">
      <c r="BX797">
        <f>IF(OR(cMed=0,cMed2=0,795&gt;nFilas),NA(),IF(AND(ISNUMBER(INDEX(rMed2,795)),ISNUMBER(INDEX(rMed,795))),INDEX(rMed2,795),NA()))</f>
        <v>3</v>
      </c>
      <c r="BY797">
        <f>IF(OR(cMed=0,cMed2=0,795&gt;nFilas),NA(),IF(AND(ISNUMBER(INDEX(rMed2,795)),ISNUMBER(INDEX(rMed,795))),INDEX(rMed,795),NA()))</f>
        <v>307740</v>
      </c>
    </row>
    <row r="798">
      <c r="BX798">
        <f>IF(OR(cMed=0,cMed2=0,796&gt;nFilas),NA(),IF(AND(ISNUMBER(INDEX(rMed2,796)),ISNUMBER(INDEX(rMed,796))),INDEX(rMed2,796),NA()))</f>
        <v>2</v>
      </c>
      <c r="BY798">
        <f>IF(OR(cMed=0,cMed2=0,796&gt;nFilas),NA(),IF(AND(ISNUMBER(INDEX(rMed2,796)),ISNUMBER(INDEX(rMed,796))),INDEX(rMed,796),NA()))</f>
        <v>369380</v>
      </c>
    </row>
    <row r="799">
      <c r="BX799">
        <f>IF(OR(cMed=0,cMed2=0,797&gt;nFilas),NA(),IF(AND(ISNUMBER(INDEX(rMed2,797)),ISNUMBER(INDEX(rMed,797))),INDEX(rMed2,797),NA()))</f>
        <v>3</v>
      </c>
      <c r="BY799">
        <f>IF(OR(cMed=0,cMed2=0,797&gt;nFilas),NA(),IF(AND(ISNUMBER(INDEX(rMed2,797)),ISNUMBER(INDEX(rMed,797))),INDEX(rMed,797),NA()))</f>
        <v>280830</v>
      </c>
    </row>
    <row r="800">
      <c r="BX800">
        <f>IF(OR(cMed=0,cMed2=0,798&gt;nFilas),NA(),IF(AND(ISNUMBER(INDEX(rMed2,798)),ISNUMBER(INDEX(rMed,798))),INDEX(rMed2,798),NA()))</f>
        <v>2</v>
      </c>
      <c r="BY800">
        <f>IF(OR(cMed=0,cMed2=0,798&gt;nFilas),NA(),IF(AND(ISNUMBER(INDEX(rMed2,798)),ISNUMBER(INDEX(rMed,798))),INDEX(rMed,798),NA()))</f>
        <v>531070</v>
      </c>
    </row>
    <row r="801">
      <c r="BX801">
        <f>IF(OR(cMed=0,cMed2=0,799&gt;nFilas),NA(),IF(AND(ISNUMBER(INDEX(rMed2,799)),ISNUMBER(INDEX(rMed,799))),INDEX(rMed2,799),NA()))</f>
        <v>5</v>
      </c>
      <c r="BY801">
        <f>IF(OR(cMed=0,cMed2=0,799&gt;nFilas),NA(),IF(AND(ISNUMBER(INDEX(rMed2,799)),ISNUMBER(INDEX(rMed,799))),INDEX(rMed,799),NA()))</f>
        <v>906775</v>
      </c>
    </row>
    <row r="802">
      <c r="BX802">
        <f>IF(OR(cMed=0,cMed2=0,800&gt;nFilas),NA(),IF(AND(ISNUMBER(INDEX(rMed2,800)),ISNUMBER(INDEX(rMed,800))),INDEX(rMed2,800),NA()))</f>
        <v>2</v>
      </c>
      <c r="BY802">
        <f>IF(OR(cMed=0,cMed2=0,800&gt;nFilas),NA(),IF(AND(ISNUMBER(INDEX(rMed2,800)),ISNUMBER(INDEX(rMed,800))),INDEX(rMed,800),NA()))</f>
        <v>2013190</v>
      </c>
    </row>
    <row r="803">
      <c r="BX803">
        <f>IF(OR(cMed=0,cMed2=0,801&gt;nFilas),NA(),IF(AND(ISNUMBER(INDEX(rMed2,801)),ISNUMBER(INDEX(rMed,801))),INDEX(rMed2,801),NA()))</f>
        <v>1</v>
      </c>
      <c r="BY803">
        <f>IF(OR(cMed=0,cMed2=0,801&gt;nFilas),NA(),IF(AND(ISNUMBER(INDEX(rMed2,801)),ISNUMBER(INDEX(rMed,801))),INDEX(rMed,801),NA()))</f>
        <v>76300</v>
      </c>
    </row>
    <row r="804">
      <c r="BX804">
        <f>IF(OR(cMed=0,cMed2=0,802&gt;nFilas),NA(),IF(AND(ISNUMBER(INDEX(rMed2,802)),ISNUMBER(INDEX(rMed,802))),INDEX(rMed2,802),NA()))</f>
        <v>4</v>
      </c>
      <c r="BY804">
        <f>IF(OR(cMed=0,cMed2=0,802&gt;nFilas),NA(),IF(AND(ISNUMBER(INDEX(rMed2,802)),ISNUMBER(INDEX(rMed,802))),INDEX(rMed,802),NA()))</f>
        <v>447200</v>
      </c>
    </row>
    <row r="805">
      <c r="BX805">
        <f>IF(OR(cMed=0,cMed2=0,803&gt;nFilas),NA(),IF(AND(ISNUMBER(INDEX(rMed2,803)),ISNUMBER(INDEX(rMed,803))),INDEX(rMed2,803),NA()))</f>
        <v>2</v>
      </c>
      <c r="BY805">
        <f>IF(OR(cMed=0,cMed2=0,803&gt;nFilas),NA(),IF(AND(ISNUMBER(INDEX(rMed2,803)),ISNUMBER(INDEX(rMed,803))),INDEX(rMed,803),NA()))</f>
        <v>192600</v>
      </c>
    </row>
    <row r="806">
      <c r="BX806">
        <f>IF(OR(cMed=0,cMed2=0,804&gt;nFilas),NA(),IF(AND(ISNUMBER(INDEX(rMed2,804)),ISNUMBER(INDEX(rMed,804))),INDEX(rMed2,804),NA()))</f>
        <v>2</v>
      </c>
      <c r="BY806">
        <f>IF(OR(cMed=0,cMed2=0,804&gt;nFilas),NA(),IF(AND(ISNUMBER(INDEX(rMed2,804)),ISNUMBER(INDEX(rMed,804))),INDEX(rMed,804),NA()))</f>
        <v>514000</v>
      </c>
    </row>
    <row r="807">
      <c r="BX807">
        <f>IF(OR(cMed=0,cMed2=0,805&gt;nFilas),NA(),IF(AND(ISNUMBER(INDEX(rMed2,805)),ISNUMBER(INDEX(rMed,805))),INDEX(rMed2,805),NA()))</f>
        <v>2</v>
      </c>
      <c r="BY807">
        <f>IF(OR(cMed=0,cMed2=0,805&gt;nFilas),NA(),IF(AND(ISNUMBER(INDEX(rMed2,805)),ISNUMBER(INDEX(rMed,805))),INDEX(rMed,805),NA()))</f>
        <v>224000</v>
      </c>
    </row>
    <row r="808">
      <c r="BX808">
        <f>IF(OR(cMed=0,cMed2=0,806&gt;nFilas),NA(),IF(AND(ISNUMBER(INDEX(rMed2,806)),ISNUMBER(INDEX(rMed,806))),INDEX(rMed2,806),NA()))</f>
        <v>1</v>
      </c>
      <c r="BY808">
        <f>IF(OR(cMed=0,cMed2=0,806&gt;nFilas),NA(),IF(AND(ISNUMBER(INDEX(rMed2,806)),ISNUMBER(INDEX(rMed,806))),INDEX(rMed,806),NA()))</f>
        <v>271400</v>
      </c>
    </row>
    <row r="809">
      <c r="BX809">
        <f>IF(OR(cMed=0,cMed2=0,807&gt;nFilas),NA(),IF(AND(ISNUMBER(INDEX(rMed2,807)),ISNUMBER(INDEX(rMed,807))),INDEX(rMed2,807),NA()))</f>
        <v>2</v>
      </c>
      <c r="BY809">
        <f>IF(OR(cMed=0,cMed2=0,807&gt;nFilas),NA(),IF(AND(ISNUMBER(INDEX(rMed2,807)),ISNUMBER(INDEX(rMed,807))),INDEX(rMed,807),NA()))</f>
        <v>352200</v>
      </c>
    </row>
    <row r="810">
      <c r="BX810">
        <f>IF(OR(cMed=0,cMed2=0,808&gt;nFilas),NA(),IF(AND(ISNUMBER(INDEX(rMed2,808)),ISNUMBER(INDEX(rMed,808))),INDEX(rMed2,808),NA()))</f>
        <v>4</v>
      </c>
      <c r="BY810">
        <f>IF(OR(cMed=0,cMed2=0,808&gt;nFilas),NA(),IF(AND(ISNUMBER(INDEX(rMed2,808)),ISNUMBER(INDEX(rMed,808))),INDEX(rMed,808),NA()))</f>
        <v>516800</v>
      </c>
    </row>
    <row r="811">
      <c r="BX811">
        <f>IF(OR(cMed=0,cMed2=0,809&gt;nFilas),NA(),IF(AND(ISNUMBER(INDEX(rMed2,809)),ISNUMBER(INDEX(rMed,809))),INDEX(rMed2,809),NA()))</f>
        <v>5</v>
      </c>
      <c r="BY811">
        <f>IF(OR(cMed=0,cMed2=0,809&gt;nFilas),NA(),IF(AND(ISNUMBER(INDEX(rMed2,809)),ISNUMBER(INDEX(rMed,809))),INDEX(rMed,809),NA()))</f>
        <v>252000</v>
      </c>
    </row>
    <row r="812">
      <c r="BX812">
        <f>IF(OR(cMed=0,cMed2=0,810&gt;nFilas),NA(),IF(AND(ISNUMBER(INDEX(rMed2,810)),ISNUMBER(INDEX(rMed,810))),INDEX(rMed2,810),NA()))</f>
        <v>4</v>
      </c>
      <c r="BY812">
        <f>IF(OR(cMed=0,cMed2=0,810&gt;nFilas),NA(),IF(AND(ISNUMBER(INDEX(rMed2,810)),ISNUMBER(INDEX(rMed,810))),INDEX(rMed,810),NA()))</f>
        <v>347200</v>
      </c>
    </row>
    <row r="813">
      <c r="BX813">
        <f>IF(OR(cMed=0,cMed2=0,811&gt;nFilas),NA(),IF(AND(ISNUMBER(INDEX(rMed2,811)),ISNUMBER(INDEX(rMed,811))),INDEX(rMed2,811),NA()))</f>
        <v>3</v>
      </c>
      <c r="BY813">
        <f>IF(OR(cMed=0,cMed2=0,811&gt;nFilas),NA(),IF(AND(ISNUMBER(INDEX(rMed2,811)),ISNUMBER(INDEX(rMed,811))),INDEX(rMed,811),NA()))</f>
        <v>370800</v>
      </c>
    </row>
    <row r="814">
      <c r="BX814">
        <f>IF(OR(cMed=0,cMed2=0,812&gt;nFilas),NA(),IF(AND(ISNUMBER(INDEX(rMed2,812)),ISNUMBER(INDEX(rMed,812))),INDEX(rMed2,812),NA()))</f>
        <v>1</v>
      </c>
      <c r="BY814">
        <f>IF(OR(cMed=0,cMed2=0,812&gt;nFilas),NA(),IF(AND(ISNUMBER(INDEX(rMed2,812)),ISNUMBER(INDEX(rMed,812))),INDEX(rMed,812),NA()))</f>
        <v>891900</v>
      </c>
    </row>
    <row r="815">
      <c r="BX815">
        <f>IF(OR(cMed=0,cMed2=0,813&gt;nFilas),NA(),IF(AND(ISNUMBER(INDEX(rMed2,813)),ISNUMBER(INDEX(rMed,813))),INDEX(rMed2,813),NA()))</f>
        <v>2</v>
      </c>
      <c r="BY815">
        <f>IF(OR(cMed=0,cMed2=0,813&gt;nFilas),NA(),IF(AND(ISNUMBER(INDEX(rMed2,813)),ISNUMBER(INDEX(rMed,813))),INDEX(rMed,813),NA()))</f>
        <v>207600</v>
      </c>
    </row>
    <row r="816">
      <c r="BX816">
        <f>IF(OR(cMed=0,cMed2=0,814&gt;nFilas),NA(),IF(AND(ISNUMBER(INDEX(rMed2,814)),ISNUMBER(INDEX(rMed,814))),INDEX(rMed2,814),NA()))</f>
        <v>4</v>
      </c>
      <c r="BY816">
        <f>IF(OR(cMed=0,cMed2=0,814&gt;nFilas),NA(),IF(AND(ISNUMBER(INDEX(rMed2,814)),ISNUMBER(INDEX(rMed,814))),INDEX(rMed,814),NA()))</f>
        <v>389620</v>
      </c>
    </row>
    <row r="817">
      <c r="BX817">
        <f>IF(OR(cMed=0,cMed2=0,815&gt;nFilas),NA(),IF(AND(ISNUMBER(INDEX(rMed2,815)),ISNUMBER(INDEX(rMed,815))),INDEX(rMed2,815),NA()))</f>
        <v>1</v>
      </c>
      <c r="BY817">
        <f>IF(OR(cMed=0,cMed2=0,815&gt;nFilas),NA(),IF(AND(ISNUMBER(INDEX(rMed2,815)),ISNUMBER(INDEX(rMed,815))),INDEX(rMed,815),NA()))</f>
        <v>233450</v>
      </c>
    </row>
    <row r="818">
      <c r="BX818">
        <f>IF(OR(cMed=0,cMed2=0,816&gt;nFilas),NA(),IF(AND(ISNUMBER(INDEX(rMed2,816)),ISNUMBER(INDEX(rMed,816))),INDEX(rMed2,816),NA()))</f>
        <v>3</v>
      </c>
      <c r="BY818">
        <f>IF(OR(cMed=0,cMed2=0,816&gt;nFilas),NA(),IF(AND(ISNUMBER(INDEX(rMed2,816)),ISNUMBER(INDEX(rMed,816))),INDEX(rMed,816),NA()))</f>
        <v>677580</v>
      </c>
    </row>
    <row r="819">
      <c r="BX819">
        <f>IF(OR(cMed=0,cMed2=0,817&gt;nFilas),NA(),IF(AND(ISNUMBER(INDEX(rMed2,817)),ISNUMBER(INDEX(rMed,817))),INDEX(rMed2,817),NA()))</f>
        <v>5</v>
      </c>
      <c r="BY819">
        <f>IF(OR(cMed=0,cMed2=0,817&gt;nFilas),NA(),IF(AND(ISNUMBER(INDEX(rMed2,817)),ISNUMBER(INDEX(rMed,817))),INDEX(rMed,817),NA()))</f>
        <v>892975</v>
      </c>
    </row>
    <row r="820">
      <c r="BX820">
        <f>IF(OR(cMed=0,cMed2=0,818&gt;nFilas),NA(),IF(AND(ISNUMBER(INDEX(rMed2,818)),ISNUMBER(INDEX(rMed,818))),INDEX(rMed2,818),NA()))</f>
        <v>4</v>
      </c>
      <c r="BY820">
        <f>IF(OR(cMed=0,cMed2=0,818&gt;nFilas),NA(),IF(AND(ISNUMBER(INDEX(rMed2,818)),ISNUMBER(INDEX(rMed,818))),INDEX(rMed,818),NA()))</f>
        <v>493580</v>
      </c>
    </row>
    <row r="821">
      <c r="BX821">
        <f>IF(OR(cMed=0,cMed2=0,819&gt;nFilas),NA(),IF(AND(ISNUMBER(INDEX(rMed2,819)),ISNUMBER(INDEX(rMed,819))),INDEX(rMed2,819),NA()))</f>
        <v>2</v>
      </c>
      <c r="BY821">
        <f>IF(OR(cMed=0,cMed2=0,819&gt;nFilas),NA(),IF(AND(ISNUMBER(INDEX(rMed2,819)),ISNUMBER(INDEX(rMed,819))),INDEX(rMed,819),NA()))</f>
        <v>121210</v>
      </c>
    </row>
    <row r="822">
      <c r="BX822">
        <f>IF(OR(cMed=0,cMed2=0,820&gt;nFilas),NA(),IF(AND(ISNUMBER(INDEX(rMed2,820)),ISNUMBER(INDEX(rMed,820))),INDEX(rMed2,820),NA()))</f>
        <v>4</v>
      </c>
      <c r="BY822">
        <f>IF(OR(cMed=0,cMed2=0,820&gt;nFilas),NA(),IF(AND(ISNUMBER(INDEX(rMed2,820)),ISNUMBER(INDEX(rMed,820))),INDEX(rMed,820),NA()))</f>
        <v>250700</v>
      </c>
    </row>
    <row r="823">
      <c r="BX823">
        <f>IF(OR(cMed=0,cMed2=0,821&gt;nFilas),NA(),IF(AND(ISNUMBER(INDEX(rMed2,821)),ISNUMBER(INDEX(rMed,821))),INDEX(rMed2,821),NA()))</f>
        <v>4</v>
      </c>
      <c r="BY823">
        <f>IF(OR(cMed=0,cMed2=0,821&gt;nFilas),NA(),IF(AND(ISNUMBER(INDEX(rMed2,821)),ISNUMBER(INDEX(rMed,821))),INDEX(rMed,821),NA()))</f>
        <v>269100</v>
      </c>
    </row>
    <row r="824">
      <c r="BX824">
        <f>IF(OR(cMed=0,cMed2=0,822&gt;nFilas),NA(),IF(AND(ISNUMBER(INDEX(rMed2,822)),ISNUMBER(INDEX(rMed,822))),INDEX(rMed2,822),NA()))</f>
        <v>2</v>
      </c>
      <c r="BY824">
        <f>IF(OR(cMed=0,cMed2=0,822&gt;nFilas),NA(),IF(AND(ISNUMBER(INDEX(rMed2,822)),ISNUMBER(INDEX(rMed,822))),INDEX(rMed,822),NA()))</f>
        <v>2248940</v>
      </c>
    </row>
    <row r="825">
      <c r="BX825">
        <f>IF(OR(cMed=0,cMed2=0,823&gt;nFilas),NA(),IF(AND(ISNUMBER(INDEX(rMed2,823)),ISNUMBER(INDEX(rMed,823))),INDEX(rMed2,823),NA()))</f>
        <v>2</v>
      </c>
      <c r="BY825">
        <f>IF(OR(cMed=0,cMed2=0,823&gt;nFilas),NA(),IF(AND(ISNUMBER(INDEX(rMed2,823)),ISNUMBER(INDEX(rMed,823))),INDEX(rMed,823),NA()))</f>
        <v>200560</v>
      </c>
    </row>
    <row r="826">
      <c r="BX826">
        <f>IF(OR(cMed=0,cMed2=0,824&gt;nFilas),NA(),IF(AND(ISNUMBER(INDEX(rMed2,824)),ISNUMBER(INDEX(rMed,824))),INDEX(rMed2,824),NA()))</f>
        <v>4</v>
      </c>
      <c r="BY826">
        <f>IF(OR(cMed=0,cMed2=0,824&gt;nFilas),NA(),IF(AND(ISNUMBER(INDEX(rMed2,824)),ISNUMBER(INDEX(rMed,824))),INDEX(rMed,824),NA()))</f>
        <v>3730140</v>
      </c>
    </row>
    <row r="827">
      <c r="BX827">
        <f>IF(OR(cMed=0,cMed2=0,825&gt;nFilas),NA(),IF(AND(ISNUMBER(INDEX(rMed2,825)),ISNUMBER(INDEX(rMed,825))),INDEX(rMed2,825),NA()))</f>
        <v>5</v>
      </c>
      <c r="BY827">
        <f>IF(OR(cMed=0,cMed2=0,825&gt;nFilas),NA(),IF(AND(ISNUMBER(INDEX(rMed2,825)),ISNUMBER(INDEX(rMed,825))),INDEX(rMed,825),NA()))</f>
        <v>3950250</v>
      </c>
    </row>
    <row r="828">
      <c r="BX828">
        <f>IF(OR(cMed=0,cMed2=0,826&gt;nFilas),NA(),IF(AND(ISNUMBER(INDEX(rMed2,826)),ISNUMBER(INDEX(rMed,826))),INDEX(rMed2,826),NA()))</f>
        <v>2</v>
      </c>
      <c r="BY828">
        <f>IF(OR(cMed=0,cMed2=0,826&gt;nFilas),NA(),IF(AND(ISNUMBER(INDEX(rMed2,826)),ISNUMBER(INDEX(rMed,826))),INDEX(rMed,826),NA()))</f>
        <v>391230</v>
      </c>
    </row>
    <row r="829">
      <c r="BX829">
        <f>IF(OR(cMed=0,cMed2=0,827&gt;nFilas),NA(),IF(AND(ISNUMBER(INDEX(rMed2,827)),ISNUMBER(INDEX(rMed,827))),INDEX(rMed2,827),NA()))</f>
        <v>3</v>
      </c>
      <c r="BY829">
        <f>IF(OR(cMed=0,cMed2=0,827&gt;nFilas),NA(),IF(AND(ISNUMBER(INDEX(rMed2,827)),ISNUMBER(INDEX(rMed,827))),INDEX(rMed,827),NA()))</f>
        <v>2274300</v>
      </c>
    </row>
    <row r="830">
      <c r="BX830">
        <f>IF(OR(cMed=0,cMed2=0,828&gt;nFilas),NA(),IF(AND(ISNUMBER(INDEX(rMed2,828)),ISNUMBER(INDEX(rMed,828))),INDEX(rMed2,828),NA()))</f>
        <v>2</v>
      </c>
      <c r="BY830">
        <f>IF(OR(cMed=0,cMed2=0,828&gt;nFilas),NA(),IF(AND(ISNUMBER(INDEX(rMed2,828)),ISNUMBER(INDEX(rMed,828))),INDEX(rMed,828),NA()))</f>
        <v>337200</v>
      </c>
    </row>
    <row r="831">
      <c r="BX831">
        <f>IF(OR(cMed=0,cMed2=0,829&gt;nFilas),NA(),IF(AND(ISNUMBER(INDEX(rMed2,829)),ISNUMBER(INDEX(rMed,829))),INDEX(rMed2,829),NA()))</f>
        <v>5</v>
      </c>
      <c r="BY831">
        <f>IF(OR(cMed=0,cMed2=0,829&gt;nFilas),NA(),IF(AND(ISNUMBER(INDEX(rMed2,829)),ISNUMBER(INDEX(rMed,829))),INDEX(rMed,829),NA()))</f>
        <v>448500</v>
      </c>
    </row>
    <row r="832">
      <c r="BX832">
        <f>IF(OR(cMed=0,cMed2=0,830&gt;nFilas),NA(),IF(AND(ISNUMBER(INDEX(rMed2,830)),ISNUMBER(INDEX(rMed,830))),INDEX(rMed2,830),NA()))</f>
        <v>5</v>
      </c>
      <c r="BY832">
        <f>IF(OR(cMed=0,cMed2=0,830&gt;nFilas),NA(),IF(AND(ISNUMBER(INDEX(rMed2,830)),ISNUMBER(INDEX(rMed,830))),INDEX(rMed,830),NA()))</f>
        <v>716000</v>
      </c>
    </row>
    <row r="833">
      <c r="BX833">
        <f>IF(OR(cMed=0,cMed2=0,831&gt;nFilas),NA(),IF(AND(ISNUMBER(INDEX(rMed2,831)),ISNUMBER(INDEX(rMed,831))),INDEX(rMed2,831),NA()))</f>
        <v>3</v>
      </c>
      <c r="BY833">
        <f>IF(OR(cMed=0,cMed2=0,831&gt;nFilas),NA(),IF(AND(ISNUMBER(INDEX(rMed2,831)),ISNUMBER(INDEX(rMed,831))),INDEX(rMed,831),NA()))</f>
        <v>2035800</v>
      </c>
    </row>
    <row r="834">
      <c r="BX834">
        <f>IF(OR(cMed=0,cMed2=0,832&gt;nFilas),NA(),IF(AND(ISNUMBER(INDEX(rMed2,832)),ISNUMBER(INDEX(rMed,832))),INDEX(rMed2,832),NA()))</f>
        <v>5</v>
      </c>
      <c r="BY834">
        <f>IF(OR(cMed=0,cMed2=0,832&gt;nFilas),NA(),IF(AND(ISNUMBER(INDEX(rMed2,832)),ISNUMBER(INDEX(rMed,832))),INDEX(rMed,832),NA()))</f>
        <v>530000</v>
      </c>
    </row>
    <row r="835">
      <c r="BX835">
        <f>IF(OR(cMed=0,cMed2=0,833&gt;nFilas),NA(),IF(AND(ISNUMBER(INDEX(rMed2,833)),ISNUMBER(INDEX(rMed,833))),INDEX(rMed2,833),NA()))</f>
        <v>4</v>
      </c>
      <c r="BY835">
        <f>IF(OR(cMed=0,cMed2=0,833&gt;nFilas),NA(),IF(AND(ISNUMBER(INDEX(rMed2,833)),ISNUMBER(INDEX(rMed,833))),INDEX(rMed,833),NA()))</f>
        <v>562400</v>
      </c>
    </row>
    <row r="836">
      <c r="BX836">
        <f>IF(OR(cMed=0,cMed2=0,834&gt;nFilas),NA(),IF(AND(ISNUMBER(INDEX(rMed2,834)),ISNUMBER(INDEX(rMed,834))),INDEX(rMed2,834),NA()))</f>
        <v>1</v>
      </c>
      <c r="BY836">
        <f>IF(OR(cMed=0,cMed2=0,834&gt;nFilas),NA(),IF(AND(ISNUMBER(INDEX(rMed2,834)),ISNUMBER(INDEX(rMed,834))),INDEX(rMed,834),NA()))</f>
        <v>862100</v>
      </c>
    </row>
    <row r="837">
      <c r="BX837">
        <f>IF(OR(cMed=0,cMed2=0,835&gt;nFilas),NA(),IF(AND(ISNUMBER(INDEX(rMed2,835)),ISNUMBER(INDEX(rMed,835))),INDEX(rMed2,835),NA()))</f>
        <v>5</v>
      </c>
      <c r="BY837">
        <f>IF(OR(cMed=0,cMed2=0,835&gt;nFilas),NA(),IF(AND(ISNUMBER(INDEX(rMed2,835)),ISNUMBER(INDEX(rMed,835))),INDEX(rMed,835),NA()))</f>
        <v>1042500</v>
      </c>
    </row>
    <row r="838">
      <c r="BX838">
        <f>IF(OR(cMed=0,cMed2=0,836&gt;nFilas),NA(),IF(AND(ISNUMBER(INDEX(rMed2,836)),ISNUMBER(INDEX(rMed,836))),INDEX(rMed2,836),NA()))</f>
        <v>3</v>
      </c>
      <c r="BY838">
        <f>IF(OR(cMed=0,cMed2=0,836&gt;nFilas),NA(),IF(AND(ISNUMBER(INDEX(rMed2,836)),ISNUMBER(INDEX(rMed,836))),INDEX(rMed,836),NA()))</f>
        <v>531000</v>
      </c>
    </row>
    <row r="839">
      <c r="BX839">
        <f>IF(OR(cMed=0,cMed2=0,837&gt;nFilas),NA(),IF(AND(ISNUMBER(INDEX(rMed2,837)),ISNUMBER(INDEX(rMed,837))),INDEX(rMed2,837),NA()))</f>
        <v>1</v>
      </c>
      <c r="BY839">
        <f>IF(OR(cMed=0,cMed2=0,837&gt;nFilas),NA(),IF(AND(ISNUMBER(INDEX(rMed2,837)),ISNUMBER(INDEX(rMed,837))),INDEX(rMed,837),NA()))</f>
        <v>74700</v>
      </c>
    </row>
    <row r="840">
      <c r="BX840">
        <f>IF(OR(cMed=0,cMed2=0,838&gt;nFilas),NA(),IF(AND(ISNUMBER(INDEX(rMed2,838)),ISNUMBER(INDEX(rMed,838))),INDEX(rMed2,838),NA()))</f>
        <v>2</v>
      </c>
      <c r="BY840">
        <f>IF(OR(cMed=0,cMed2=0,838&gt;nFilas),NA(),IF(AND(ISNUMBER(INDEX(rMed2,838)),ISNUMBER(INDEX(rMed,838))),INDEX(rMed,838),NA()))</f>
        <v>345800</v>
      </c>
    </row>
    <row r="841">
      <c r="BX841">
        <f>IF(OR(cMed=0,cMed2=0,839&gt;nFilas),NA(),IF(AND(ISNUMBER(INDEX(rMed2,839)),ISNUMBER(INDEX(rMed,839))),INDEX(rMed2,839),NA()))</f>
        <v>5</v>
      </c>
      <c r="BY841">
        <f>IF(OR(cMed=0,cMed2=0,839&gt;nFilas),NA(),IF(AND(ISNUMBER(INDEX(rMed2,839)),ISNUMBER(INDEX(rMed,839))),INDEX(rMed,839),NA()))</f>
        <v>463000</v>
      </c>
    </row>
    <row r="842">
      <c r="BX842">
        <f>IF(OR(cMed=0,cMed2=0,840&gt;nFilas),NA(),IF(AND(ISNUMBER(INDEX(rMed2,840)),ISNUMBER(INDEX(rMed,840))),INDEX(rMed2,840),NA()))</f>
        <v>2</v>
      </c>
      <c r="BY842">
        <f>IF(OR(cMed=0,cMed2=0,840&gt;nFilas),NA(),IF(AND(ISNUMBER(INDEX(rMed2,840)),ISNUMBER(INDEX(rMed,840))),INDEX(rMed,840),NA()))</f>
        <v>497600</v>
      </c>
    </row>
    <row r="843">
      <c r="BX843">
        <f>IF(OR(cMed=0,cMed2=0,841&gt;nFilas),NA(),IF(AND(ISNUMBER(INDEX(rMed2,841)),ISNUMBER(INDEX(rMed,841))),INDEX(rMed2,841),NA()))</f>
        <v>3</v>
      </c>
      <c r="BY843">
        <f>IF(OR(cMed=0,cMed2=0,841&gt;nFilas),NA(),IF(AND(ISNUMBER(INDEX(rMed2,841)),ISNUMBER(INDEX(rMed,841))),INDEX(rMed,841),NA()))</f>
        <v>473400</v>
      </c>
    </row>
    <row r="844">
      <c r="BX844">
        <f>IF(OR(cMed=0,cMed2=0,842&gt;nFilas),NA(),IF(AND(ISNUMBER(INDEX(rMed2,842)),ISNUMBER(INDEX(rMed,842))),INDEX(rMed2,842),NA()))</f>
        <v>3</v>
      </c>
      <c r="BY844">
        <f>IF(OR(cMed=0,cMed2=0,842&gt;nFilas),NA(),IF(AND(ISNUMBER(INDEX(rMed2,842)),ISNUMBER(INDEX(rMed,842))),INDEX(rMed,842),NA()))</f>
        <v>233100</v>
      </c>
    </row>
    <row r="845">
      <c r="BX845">
        <f>IF(OR(cMed=0,cMed2=0,843&gt;nFilas),NA(),IF(AND(ISNUMBER(INDEX(rMed2,843)),ISNUMBER(INDEX(rMed,843))),INDEX(rMed2,843),NA()))</f>
        <v>5</v>
      </c>
      <c r="BY845">
        <f>IF(OR(cMed=0,cMed2=0,843&gt;nFilas),NA(),IF(AND(ISNUMBER(INDEX(rMed2,843)),ISNUMBER(INDEX(rMed,843))),INDEX(rMed,843),NA()))</f>
        <v>395500</v>
      </c>
    </row>
    <row r="846">
      <c r="BX846">
        <f>IF(OR(cMed=0,cMed2=0,844&gt;nFilas),NA(),IF(AND(ISNUMBER(INDEX(rMed2,844)),ISNUMBER(INDEX(rMed,844))),INDEX(rMed2,844),NA()))</f>
        <v>1</v>
      </c>
      <c r="BY846">
        <f>IF(OR(cMed=0,cMed2=0,844&gt;nFilas),NA(),IF(AND(ISNUMBER(INDEX(rMed2,844)),ISNUMBER(INDEX(rMed,844))),INDEX(rMed,844),NA()))</f>
        <v>797800</v>
      </c>
    </row>
    <row r="847">
      <c r="BX847">
        <f>IF(OR(cMed=0,cMed2=0,845&gt;nFilas),NA(),IF(AND(ISNUMBER(INDEX(rMed2,845)),ISNUMBER(INDEX(rMed,845))),INDEX(rMed2,845),NA()))</f>
        <v>3</v>
      </c>
      <c r="BY847">
        <f>IF(OR(cMed=0,cMed2=0,845&gt;nFilas),NA(),IF(AND(ISNUMBER(INDEX(rMed2,845)),ISNUMBER(INDEX(rMed,845))),INDEX(rMed,845),NA()))</f>
        <v>160800</v>
      </c>
    </row>
    <row r="848">
      <c r="BX848">
        <f>IF(OR(cMed=0,cMed2=0,846&gt;nFilas),NA(),IF(AND(ISNUMBER(INDEX(rMed2,846)),ISNUMBER(INDEX(rMed,846))),INDEX(rMed2,846),NA()))</f>
        <v>2</v>
      </c>
      <c r="BY848">
        <f>IF(OR(cMed=0,cMed2=0,846&gt;nFilas),NA(),IF(AND(ISNUMBER(INDEX(rMed2,846)),ISNUMBER(INDEX(rMed,846))),INDEX(rMed,846),NA()))</f>
        <v>359400</v>
      </c>
    </row>
    <row r="849">
      <c r="BX849">
        <f>IF(OR(cMed=0,cMed2=0,847&gt;nFilas),NA(),IF(AND(ISNUMBER(INDEX(rMed2,847)),ISNUMBER(INDEX(rMed,847))),INDEX(rMed2,847),NA()))</f>
        <v>3</v>
      </c>
      <c r="BY849">
        <f>IF(OR(cMed=0,cMed2=0,847&gt;nFilas),NA(),IF(AND(ISNUMBER(INDEX(rMed2,847)),ISNUMBER(INDEX(rMed,847))),INDEX(rMed,847),NA()))</f>
        <v>2953200</v>
      </c>
    </row>
    <row r="850">
      <c r="BX850">
        <f>IF(OR(cMed=0,cMed2=0,848&gt;nFilas),NA(),IF(AND(ISNUMBER(INDEX(rMed2,848)),ISNUMBER(INDEX(rMed,848))),INDEX(rMed2,848),NA()))</f>
        <v>5</v>
      </c>
      <c r="BY850">
        <f>IF(OR(cMed=0,cMed2=0,848&gt;nFilas),NA(),IF(AND(ISNUMBER(INDEX(rMed2,848)),ISNUMBER(INDEX(rMed,848))),INDEX(rMed,848),NA()))</f>
        <v>1185650</v>
      </c>
    </row>
    <row r="851">
      <c r="BX851">
        <f>IF(OR(cMed=0,cMed2=0,849&gt;nFilas),NA(),IF(AND(ISNUMBER(INDEX(rMed2,849)),ISNUMBER(INDEX(rMed,849))),INDEX(rMed2,849),NA()))</f>
        <v>2</v>
      </c>
      <c r="BY851">
        <f>IF(OR(cMed=0,cMed2=0,849&gt;nFilas),NA(),IF(AND(ISNUMBER(INDEX(rMed2,849)),ISNUMBER(INDEX(rMed,849))),INDEX(rMed,849),NA()))</f>
        <v>122820</v>
      </c>
    </row>
    <row r="852">
      <c r="BX852">
        <f>IF(OR(cMed=0,cMed2=0,850&gt;nFilas),NA(),IF(AND(ISNUMBER(INDEX(rMed2,850)),ISNUMBER(INDEX(rMed,850))),INDEX(rMed2,850),NA()))</f>
        <v>1</v>
      </c>
      <c r="BY852">
        <f>IF(OR(cMed=0,cMed2=0,850&gt;nFilas),NA(),IF(AND(ISNUMBER(INDEX(rMed2,850)),ISNUMBER(INDEX(rMed,850))),INDEX(rMed,850),NA()))</f>
        <v>148235</v>
      </c>
    </row>
    <row r="853">
      <c r="BX853">
        <f>IF(OR(cMed=0,cMed2=0,851&gt;nFilas),NA(),IF(AND(ISNUMBER(INDEX(rMed2,851)),ISNUMBER(INDEX(rMed,851))),INDEX(rMed2,851),NA()))</f>
        <v>3</v>
      </c>
      <c r="BY853">
        <f>IF(OR(cMed=0,cMed2=0,851&gt;nFilas),NA(),IF(AND(ISNUMBER(INDEX(rMed2,851)),ISNUMBER(INDEX(rMed,851))),INDEX(rMed,851),NA()))</f>
        <v>434700</v>
      </c>
    </row>
    <row r="854">
      <c r="BX854">
        <f>IF(OR(cMed=0,cMed2=0,852&gt;nFilas),NA(),IF(AND(ISNUMBER(INDEX(rMed2,852)),ISNUMBER(INDEX(rMed,852))),INDEX(rMed2,852),NA()))</f>
        <v>3</v>
      </c>
      <c r="BY854">
        <f>IF(OR(cMed=0,cMed2=0,852&gt;nFilas),NA(),IF(AND(ISNUMBER(INDEX(rMed2,852)),ISNUMBER(INDEX(rMed,852))),INDEX(rMed,852),NA()))</f>
        <v>336030</v>
      </c>
    </row>
    <row r="855">
      <c r="BX855">
        <f>IF(OR(cMed=0,cMed2=0,853&gt;nFilas),NA(),IF(AND(ISNUMBER(INDEX(rMed2,853)),ISNUMBER(INDEX(rMed,853))),INDEX(rMed2,853),NA()))</f>
        <v>3</v>
      </c>
      <c r="BY855">
        <f>IF(OR(cMed=0,cMed2=0,853&gt;nFilas),NA(),IF(AND(ISNUMBER(INDEX(rMed2,853)),ISNUMBER(INDEX(rMed,853))),INDEX(rMed,853),NA()))</f>
        <v>339135</v>
      </c>
    </row>
    <row r="856">
      <c r="BX856">
        <f>IF(OR(cMed=0,cMed2=0,854&gt;nFilas),NA(),IF(AND(ISNUMBER(INDEX(rMed2,854)),ISNUMBER(INDEX(rMed,854))),INDEX(rMed2,854),NA()))</f>
        <v>2</v>
      </c>
      <c r="BY856">
        <f>IF(OR(cMed=0,cMed2=0,854&gt;nFilas),NA(),IF(AND(ISNUMBER(INDEX(rMed2,854)),ISNUMBER(INDEX(rMed,854))),INDEX(rMed,854),NA()))</f>
        <v>156170</v>
      </c>
    </row>
    <row r="857">
      <c r="BX857">
        <f>IF(OR(cMed=0,cMed2=0,855&gt;nFilas),NA(),IF(AND(ISNUMBER(INDEX(rMed2,855)),ISNUMBER(INDEX(rMed,855))),INDEX(rMed2,855),NA()))</f>
        <v>5</v>
      </c>
      <c r="BY857">
        <f>IF(OR(cMed=0,cMed2=0,855&gt;nFilas),NA(),IF(AND(ISNUMBER(INDEX(rMed2,855)),ISNUMBER(INDEX(rMed,855))),INDEX(rMed,855),NA()))</f>
        <v>584200</v>
      </c>
    </row>
    <row r="858">
      <c r="BX858">
        <f>IF(OR(cMed=0,cMed2=0,856&gt;nFilas),NA(),IF(AND(ISNUMBER(INDEX(rMed2,856)),ISNUMBER(INDEX(rMed,856))),INDEX(rMed2,856),NA()))</f>
        <v>4</v>
      </c>
      <c r="BY858">
        <f>IF(OR(cMed=0,cMed2=0,856&gt;nFilas),NA(),IF(AND(ISNUMBER(INDEX(rMed2,856)),ISNUMBER(INDEX(rMed,856))),INDEX(rMed,856),NA()))</f>
        <v>3820760</v>
      </c>
    </row>
    <row r="859">
      <c r="BX859">
        <f>IF(OR(cMed=0,cMed2=0,857&gt;nFilas),NA(),IF(AND(ISNUMBER(INDEX(rMed2,857)),ISNUMBER(INDEX(rMed,857))),INDEX(rMed2,857),NA()))</f>
        <v>2</v>
      </c>
      <c r="BY859">
        <f>IF(OR(cMed=0,cMed2=0,857&gt;nFilas),NA(),IF(AND(ISNUMBER(INDEX(rMed2,857)),ISNUMBER(INDEX(rMed,857))),INDEX(rMed,857),NA()))</f>
        <v>1841380</v>
      </c>
    </row>
    <row r="860">
      <c r="BX860">
        <f>IF(OR(cMed=0,cMed2=0,858&gt;nFilas),NA(),IF(AND(ISNUMBER(INDEX(rMed2,858)),ISNUMBER(INDEX(rMed,858))),INDEX(rMed2,858),NA()))</f>
        <v>2</v>
      </c>
      <c r="BY860">
        <f>IF(OR(cMed=0,cMed2=0,858&gt;nFilas),NA(),IF(AND(ISNUMBER(INDEX(rMed2,858)),ISNUMBER(INDEX(rMed,858))),INDEX(rMed,858),NA()))</f>
        <v>1598960</v>
      </c>
    </row>
    <row r="861">
      <c r="BX861">
        <f>IF(OR(cMed=0,cMed2=0,859&gt;nFilas),NA(),IF(AND(ISNUMBER(INDEX(rMed2,859)),ISNUMBER(INDEX(rMed,859))),INDEX(rMed2,859),NA()))</f>
        <v>5</v>
      </c>
      <c r="BY861">
        <f>IF(OR(cMed=0,cMed2=0,859&gt;nFilas),NA(),IF(AND(ISNUMBER(INDEX(rMed2,859)),ISNUMBER(INDEX(rMed,859))),INDEX(rMed,859),NA()))</f>
        <v>1007400</v>
      </c>
    </row>
    <row r="862">
      <c r="BX862">
        <f>IF(OR(cMed=0,cMed2=0,860&gt;nFilas),NA(),IF(AND(ISNUMBER(INDEX(rMed2,860)),ISNUMBER(INDEX(rMed,860))),INDEX(rMed2,860),NA()))</f>
        <v>3</v>
      </c>
      <c r="BY862">
        <f>IF(OR(cMed=0,cMed2=0,860&gt;nFilas),NA(),IF(AND(ISNUMBER(INDEX(rMed2,860)),ISNUMBER(INDEX(rMed,860))),INDEX(rMed,860),NA()))</f>
        <v>452640</v>
      </c>
    </row>
    <row r="863">
      <c r="BX863">
        <f>IF(OR(cMed=0,cMed2=0,861&gt;nFilas),NA(),IF(AND(ISNUMBER(INDEX(rMed2,861)),ISNUMBER(INDEX(rMed,861))),INDEX(rMed2,861),NA()))</f>
        <v>2</v>
      </c>
      <c r="BY863">
        <f>IF(OR(cMed=0,cMed2=0,861&gt;nFilas),NA(),IF(AND(ISNUMBER(INDEX(rMed2,861)),ISNUMBER(INDEX(rMed,861))),INDEX(rMed,861),NA()))</f>
        <v>450800</v>
      </c>
    </row>
    <row r="864">
      <c r="BX864">
        <f>IF(OR(cMed=0,cMed2=0,862&gt;nFilas),NA(),IF(AND(ISNUMBER(INDEX(rMed2,862)),ISNUMBER(INDEX(rMed,862))),INDEX(rMed2,862),NA()))</f>
        <v>2</v>
      </c>
      <c r="BY864">
        <f>IF(OR(cMed=0,cMed2=0,862&gt;nFilas),NA(),IF(AND(ISNUMBER(INDEX(rMed2,862)),ISNUMBER(INDEX(rMed,862))),INDEX(rMed,862),NA()))</f>
        <v>308660</v>
      </c>
    </row>
    <row r="865">
      <c r="BX865">
        <f>IF(OR(cMed=0,cMed2=0,863&gt;nFilas),NA(),IF(AND(ISNUMBER(INDEX(rMed2,863)),ISNUMBER(INDEX(rMed,863))),INDEX(rMed2,863),NA()))</f>
        <v>3</v>
      </c>
      <c r="BY865">
        <f>IF(OR(cMed=0,cMed2=0,863&gt;nFilas),NA(),IF(AND(ISNUMBER(INDEX(rMed2,863)),ISNUMBER(INDEX(rMed,863))),INDEX(rMed,863),NA()))</f>
        <v>458505</v>
      </c>
    </row>
    <row r="866">
      <c r="BX866">
        <f>IF(OR(cMed=0,cMed2=0,864&gt;nFilas),NA(),IF(AND(ISNUMBER(INDEX(rMed2,864)),ISNUMBER(INDEX(rMed,864))),INDEX(rMed2,864),NA()))</f>
        <v>4</v>
      </c>
      <c r="BY866">
        <f>IF(OR(cMed=0,cMed2=0,864&gt;nFilas),NA(),IF(AND(ISNUMBER(INDEX(rMed2,864)),ISNUMBER(INDEX(rMed,864))),INDEX(rMed,864),NA()))</f>
        <v>562580</v>
      </c>
    </row>
    <row r="867">
      <c r="BX867">
        <f>IF(OR(cMed=0,cMed2=0,865&gt;nFilas),NA(),IF(AND(ISNUMBER(INDEX(rMed2,865)),ISNUMBER(INDEX(rMed,865))),INDEX(rMed2,865),NA()))</f>
        <v>2</v>
      </c>
      <c r="BY867">
        <f>IF(OR(cMed=0,cMed2=0,865&gt;nFilas),NA(),IF(AND(ISNUMBER(INDEX(rMed2,865)),ISNUMBER(INDEX(rMed,865))),INDEX(rMed,865),NA()))</f>
        <v>251160</v>
      </c>
    </row>
    <row r="868">
      <c r="BX868">
        <f>IF(OR(cMed=0,cMed2=0,866&gt;nFilas),NA(),IF(AND(ISNUMBER(INDEX(rMed2,866)),ISNUMBER(INDEX(rMed,866))),INDEX(rMed2,866),NA()))</f>
        <v>5</v>
      </c>
      <c r="BY868">
        <f>IF(OR(cMed=0,cMed2=0,866&gt;nFilas),NA(),IF(AND(ISNUMBER(INDEX(rMed2,866)),ISNUMBER(INDEX(rMed,866))),INDEX(rMed,866),NA()))</f>
        <v>966000</v>
      </c>
    </row>
    <row r="869">
      <c r="BX869">
        <f>IF(OR(cMed=0,cMed2=0,867&gt;nFilas),NA(),IF(AND(ISNUMBER(INDEX(rMed2,867)),ISNUMBER(INDEX(rMed,867))),INDEX(rMed2,867),NA()))</f>
        <v>2</v>
      </c>
      <c r="BY869">
        <f>IF(OR(cMed=0,cMed2=0,867&gt;nFilas),NA(),IF(AND(ISNUMBER(INDEX(rMed2,867)),ISNUMBER(INDEX(rMed,867))),INDEX(rMed,867),NA()))</f>
        <v>356500</v>
      </c>
    </row>
    <row r="870">
      <c r="BX870">
        <f>IF(OR(cMed=0,cMed2=0,868&gt;nFilas),NA(),IF(AND(ISNUMBER(INDEX(rMed2,868)),ISNUMBER(INDEX(rMed,868))),INDEX(rMed2,868),NA()))</f>
        <v>2</v>
      </c>
      <c r="BY870">
        <f>IF(OR(cMed=0,cMed2=0,868&gt;nFilas),NA(),IF(AND(ISNUMBER(INDEX(rMed2,868)),ISNUMBER(INDEX(rMed,868))),INDEX(rMed,868),NA()))</f>
        <v>1338800</v>
      </c>
    </row>
    <row r="871">
      <c r="BX871">
        <f>IF(OR(cMed=0,cMed2=0,869&gt;nFilas),NA(),IF(AND(ISNUMBER(INDEX(rMed2,869)),ISNUMBER(INDEX(rMed,869))),INDEX(rMed2,869),NA()))</f>
        <v>1</v>
      </c>
      <c r="BY871">
        <f>IF(OR(cMed=0,cMed2=0,869&gt;nFilas),NA(),IF(AND(ISNUMBER(INDEX(rMed2,869)),ISNUMBER(INDEX(rMed,869))),INDEX(rMed,869),NA()))</f>
        <v>664500</v>
      </c>
    </row>
    <row r="872">
      <c r="BX872">
        <f>IF(OR(cMed=0,cMed2=0,870&gt;nFilas),NA(),IF(AND(ISNUMBER(INDEX(rMed2,870)),ISNUMBER(INDEX(rMed,870))),INDEX(rMed2,870),NA()))</f>
        <v>4</v>
      </c>
      <c r="BY872">
        <f>IF(OR(cMed=0,cMed2=0,870&gt;nFilas),NA(),IF(AND(ISNUMBER(INDEX(rMed2,870)),ISNUMBER(INDEX(rMed,870))),INDEX(rMed,870),NA()))</f>
        <v>414400</v>
      </c>
    </row>
    <row r="873">
      <c r="BX873">
        <f>IF(OR(cMed=0,cMed2=0,871&gt;nFilas),NA(),IF(AND(ISNUMBER(INDEX(rMed2,871)),ISNUMBER(INDEX(rMed,871))),INDEX(rMed2,871),NA()))</f>
        <v>5</v>
      </c>
      <c r="BY873">
        <f>IF(OR(cMed=0,cMed2=0,871&gt;nFilas),NA(),IF(AND(ISNUMBER(INDEX(rMed2,871)),ISNUMBER(INDEX(rMed,871))),INDEX(rMed,871),NA()))</f>
        <v>475500</v>
      </c>
    </row>
    <row r="874">
      <c r="BX874">
        <f>IF(OR(cMed=0,cMed2=0,872&gt;nFilas),NA(),IF(AND(ISNUMBER(INDEX(rMed2,872)),ISNUMBER(INDEX(rMed,872))),INDEX(rMed2,872),NA()))</f>
        <v>1</v>
      </c>
      <c r="BY874">
        <f>IF(OR(cMed=0,cMed2=0,872&gt;nFilas),NA(),IF(AND(ISNUMBER(INDEX(rMed2,872)),ISNUMBER(INDEX(rMed,872))),INDEX(rMed,872),NA()))</f>
        <v>912700</v>
      </c>
    </row>
    <row r="875">
      <c r="BX875">
        <f>IF(OR(cMed=0,cMed2=0,873&gt;nFilas),NA(),IF(AND(ISNUMBER(INDEX(rMed2,873)),ISNUMBER(INDEX(rMed,873))),INDEX(rMed2,873),NA()))</f>
        <v>4</v>
      </c>
      <c r="BY875">
        <f>IF(OR(cMed=0,cMed2=0,873&gt;nFilas),NA(),IF(AND(ISNUMBER(INDEX(rMed2,873)),ISNUMBER(INDEX(rMed,873))),INDEX(rMed,873),NA()))</f>
        <v>451200</v>
      </c>
    </row>
    <row r="876">
      <c r="BX876">
        <f>IF(OR(cMed=0,cMed2=0,874&gt;nFilas),NA(),IF(AND(ISNUMBER(INDEX(rMed2,874)),ISNUMBER(INDEX(rMed,874))),INDEX(rMed2,874),NA()))</f>
        <v>1</v>
      </c>
      <c r="BY876">
        <f>IF(OR(cMed=0,cMed2=0,874&gt;nFilas),NA(),IF(AND(ISNUMBER(INDEX(rMed2,874)),ISNUMBER(INDEX(rMed,874))),INDEX(rMed,874),NA()))</f>
        <v>76300</v>
      </c>
    </row>
    <row r="877">
      <c r="BX877">
        <f>IF(OR(cMed=0,cMed2=0,875&gt;nFilas),NA(),IF(AND(ISNUMBER(INDEX(rMed2,875)),ISNUMBER(INDEX(rMed,875))),INDEX(rMed2,875),NA()))</f>
        <v>2</v>
      </c>
      <c r="BY877">
        <f>IF(OR(cMed=0,cMed2=0,875&gt;nFilas),NA(),IF(AND(ISNUMBER(INDEX(rMed2,875)),ISNUMBER(INDEX(rMed,875))),INDEX(rMed,875),NA()))</f>
        <v>250000</v>
      </c>
    </row>
    <row r="878">
      <c r="BX878">
        <f>IF(OR(cMed=0,cMed2=0,876&gt;nFilas),NA(),IF(AND(ISNUMBER(INDEX(rMed2,876)),ISNUMBER(INDEX(rMed,876))),INDEX(rMed2,876),NA()))</f>
        <v>1</v>
      </c>
      <c r="BY878">
        <f>IF(OR(cMed=0,cMed2=0,876&gt;nFilas),NA(),IF(AND(ISNUMBER(INDEX(rMed2,876)),ISNUMBER(INDEX(rMed,876))),INDEX(rMed,876),NA()))</f>
        <v>130000</v>
      </c>
    </row>
    <row r="879">
      <c r="BX879">
        <f>IF(OR(cMed=0,cMed2=0,877&gt;nFilas),NA(),IF(AND(ISNUMBER(INDEX(rMed2,877)),ISNUMBER(INDEX(rMed,877))),INDEX(rMed2,877),NA()))</f>
        <v>1</v>
      </c>
      <c r="BY879">
        <f>IF(OR(cMed=0,cMed2=0,877&gt;nFilas),NA(),IF(AND(ISNUMBER(INDEX(rMed2,877)),ISNUMBER(INDEX(rMed,877))),INDEX(rMed,877),NA()))</f>
        <v>194000</v>
      </c>
    </row>
    <row r="880">
      <c r="BX880">
        <f>IF(OR(cMed=0,cMed2=0,878&gt;nFilas),NA(),IF(AND(ISNUMBER(INDEX(rMed2,878)),ISNUMBER(INDEX(rMed,878))),INDEX(rMed2,878),NA()))</f>
        <v>5</v>
      </c>
      <c r="BY880">
        <f>IF(OR(cMed=0,cMed2=0,878&gt;nFilas),NA(),IF(AND(ISNUMBER(INDEX(rMed2,878)),ISNUMBER(INDEX(rMed,878))),INDEX(rMed,878),NA()))</f>
        <v>1152000</v>
      </c>
    </row>
    <row r="881">
      <c r="BX881">
        <f>IF(OR(cMed=0,cMed2=0,879&gt;nFilas),NA(),IF(AND(ISNUMBER(INDEX(rMed2,879)),ISNUMBER(INDEX(rMed,879))),INDEX(rMed2,879),NA()))</f>
        <v>5</v>
      </c>
      <c r="BY881">
        <f>IF(OR(cMed=0,cMed2=0,879&gt;nFilas),NA(),IF(AND(ISNUMBER(INDEX(rMed2,879)),ISNUMBER(INDEX(rMed,879))),INDEX(rMed,879),NA()))</f>
        <v>251500</v>
      </c>
    </row>
    <row r="882">
      <c r="BX882">
        <f>IF(OR(cMed=0,cMed2=0,880&gt;nFilas),NA(),IF(AND(ISNUMBER(INDEX(rMed2,880)),ISNUMBER(INDEX(rMed,880))),INDEX(rMed2,880),NA()))</f>
        <v>3</v>
      </c>
      <c r="BY882">
        <f>IF(OR(cMed=0,cMed2=0,880&gt;nFilas),NA(),IF(AND(ISNUMBER(INDEX(rMed2,880)),ISNUMBER(INDEX(rMed,880))),INDEX(rMed,880),NA()))</f>
        <v>2830800</v>
      </c>
    </row>
    <row r="883">
      <c r="BX883">
        <f>IF(OR(cMed=0,cMed2=0,881&gt;nFilas),NA(),IF(AND(ISNUMBER(INDEX(rMed2,881)),ISNUMBER(INDEX(rMed,881))),INDEX(rMed2,881),NA()))</f>
        <v>5</v>
      </c>
      <c r="BY883">
        <f>IF(OR(cMed=0,cMed2=0,881&gt;nFilas),NA(),IF(AND(ISNUMBER(INDEX(rMed2,881)),ISNUMBER(INDEX(rMed,881))),INDEX(rMed,881),NA()))</f>
        <v>374500</v>
      </c>
    </row>
    <row r="884">
      <c r="BX884">
        <f>IF(OR(cMed=0,cMed2=0,882&gt;nFilas),NA(),IF(AND(ISNUMBER(INDEX(rMed2,882)),ISNUMBER(INDEX(rMed,882))),INDEX(rMed2,882),NA()))</f>
        <v>2</v>
      </c>
      <c r="BY884">
        <f>IF(OR(cMed=0,cMed2=0,882&gt;nFilas),NA(),IF(AND(ISNUMBER(INDEX(rMed2,882)),ISNUMBER(INDEX(rMed,882))),INDEX(rMed,882),NA()))</f>
        <v>279600</v>
      </c>
    </row>
    <row r="885">
      <c r="BX885">
        <f>IF(OR(cMed=0,cMed2=0,883&gt;nFilas),NA(),IF(AND(ISNUMBER(INDEX(rMed2,883)),ISNUMBER(INDEX(rMed,883))),INDEX(rMed2,883),NA()))</f>
        <v>1</v>
      </c>
      <c r="BY885">
        <f>IF(OR(cMed=0,cMed2=0,883&gt;nFilas),NA(),IF(AND(ISNUMBER(INDEX(rMed2,883)),ISNUMBER(INDEX(rMed,883))),INDEX(rMed,883),NA()))</f>
        <v>95500</v>
      </c>
    </row>
    <row r="886">
      <c r="BX886">
        <f>IF(OR(cMed=0,cMed2=0,884&gt;nFilas),NA(),IF(AND(ISNUMBER(INDEX(rMed2,884)),ISNUMBER(INDEX(rMed,884))),INDEX(rMed2,884),NA()))</f>
        <v>1</v>
      </c>
      <c r="BY886">
        <f>IF(OR(cMed=0,cMed2=0,884&gt;nFilas),NA(),IF(AND(ISNUMBER(INDEX(rMed2,884)),ISNUMBER(INDEX(rMed,884))),INDEX(rMed,884),NA()))</f>
        <v>91600</v>
      </c>
    </row>
    <row r="887">
      <c r="BX887">
        <f>IF(OR(cMed=0,cMed2=0,885&gt;nFilas),NA(),IF(AND(ISNUMBER(INDEX(rMed2,885)),ISNUMBER(INDEX(rMed,885))),INDEX(rMed2,885),NA()))</f>
        <v>4</v>
      </c>
      <c r="BY887">
        <f>IF(OR(cMed=0,cMed2=0,885&gt;nFilas),NA(),IF(AND(ISNUMBER(INDEX(rMed2,885)),ISNUMBER(INDEX(rMed,885))),INDEX(rMed,885),NA()))</f>
        <v>300400</v>
      </c>
    </row>
    <row r="888">
      <c r="BX888">
        <f>IF(OR(cMed=0,cMed2=0,886&gt;nFilas),NA(),IF(AND(ISNUMBER(INDEX(rMed2,886)),ISNUMBER(INDEX(rMed,886))),INDEX(rMed2,886),NA()))</f>
        <v>2</v>
      </c>
      <c r="BY888">
        <f>IF(OR(cMed=0,cMed2=0,886&gt;nFilas),NA(),IF(AND(ISNUMBER(INDEX(rMed2,886)),ISNUMBER(INDEX(rMed,886))),INDEX(rMed,886),NA()))</f>
        <v>105400</v>
      </c>
    </row>
    <row r="889">
      <c r="BX889">
        <f>IF(OR(cMed=0,cMed2=0,887&gt;nFilas),NA(),IF(AND(ISNUMBER(INDEX(rMed2,887)),ISNUMBER(INDEX(rMed,887))),INDEX(rMed2,887),NA()))</f>
        <v>5</v>
      </c>
      <c r="BY889">
        <f>IF(OR(cMed=0,cMed2=0,887&gt;nFilas),NA(),IF(AND(ISNUMBER(INDEX(rMed2,887)),ISNUMBER(INDEX(rMed,887))),INDEX(rMed,887),NA()))</f>
        <v>461000</v>
      </c>
    </row>
    <row r="890">
      <c r="BX890">
        <f>IF(OR(cMed=0,cMed2=0,888&gt;nFilas),NA(),IF(AND(ISNUMBER(INDEX(rMed2,888)),ISNUMBER(INDEX(rMed,888))),INDEX(rMed2,888),NA()))</f>
        <v>3</v>
      </c>
      <c r="BY890">
        <f>IF(OR(cMed=0,cMed2=0,888&gt;nFilas),NA(),IF(AND(ISNUMBER(INDEX(rMed2,888)),ISNUMBER(INDEX(rMed,888))),INDEX(rMed,888),NA()))</f>
        <v>423000</v>
      </c>
    </row>
    <row r="891">
      <c r="BX891">
        <f>IF(OR(cMed=0,cMed2=0,889&gt;nFilas),NA(),IF(AND(ISNUMBER(INDEX(rMed2,889)),ISNUMBER(INDEX(rMed,889))),INDEX(rMed2,889),NA()))</f>
        <v>5</v>
      </c>
      <c r="BY891">
        <f>IF(OR(cMed=0,cMed2=0,889&gt;nFilas),NA(),IF(AND(ISNUMBER(INDEX(rMed2,889)),ISNUMBER(INDEX(rMed,889))),INDEX(rMed,889),NA()))</f>
        <v>531000</v>
      </c>
    </row>
    <row r="892">
      <c r="BX892">
        <f>IF(OR(cMed=0,cMed2=0,890&gt;nFilas),NA(),IF(AND(ISNUMBER(INDEX(rMed2,890)),ISNUMBER(INDEX(rMed,890))),INDEX(rMed2,890),NA()))</f>
        <v>1</v>
      </c>
      <c r="BY892">
        <f>IF(OR(cMed=0,cMed2=0,890&gt;nFilas),NA(),IF(AND(ISNUMBER(INDEX(rMed2,890)),ISNUMBER(INDEX(rMed,890))),INDEX(rMed,890),NA()))</f>
        <v>142800</v>
      </c>
    </row>
    <row r="893">
      <c r="BX893">
        <f>IF(OR(cMed=0,cMed2=0,891&gt;nFilas),NA(),IF(AND(ISNUMBER(INDEX(rMed2,891)),ISNUMBER(INDEX(rMed,891))),INDEX(rMed2,891),NA()))</f>
        <v>4</v>
      </c>
      <c r="BY893">
        <f>IF(OR(cMed=0,cMed2=0,891&gt;nFilas),NA(),IF(AND(ISNUMBER(INDEX(rMed2,891)),ISNUMBER(INDEX(rMed,891))),INDEX(rMed,891),NA()))</f>
        <v>364800</v>
      </c>
    </row>
    <row r="894">
      <c r="BX894">
        <f>IF(OR(cMed=0,cMed2=0,892&gt;nFilas),NA(),IF(AND(ISNUMBER(INDEX(rMed2,892)),ISNUMBER(INDEX(rMed,892))),INDEX(rMed2,892),NA()))</f>
        <v>5</v>
      </c>
      <c r="BY894">
        <f>IF(OR(cMed=0,cMed2=0,892&gt;nFilas),NA(),IF(AND(ISNUMBER(INDEX(rMed2,892)),ISNUMBER(INDEX(rMed,892))),INDEX(rMed,892),NA()))</f>
        <v>550000</v>
      </c>
    </row>
    <row r="895">
      <c r="BX895">
        <f>IF(OR(cMed=0,cMed2=0,893&gt;nFilas),NA(),IF(AND(ISNUMBER(INDEX(rMed2,893)),ISNUMBER(INDEX(rMed,893))),INDEX(rMed2,893),NA()))</f>
        <v>4</v>
      </c>
      <c r="BY895">
        <f>IF(OR(cMed=0,cMed2=0,893&gt;nFilas),NA(),IF(AND(ISNUMBER(INDEX(rMed2,893)),ISNUMBER(INDEX(rMed,893))),INDEX(rMed,893),NA()))</f>
        <v>3357540</v>
      </c>
    </row>
    <row r="896">
      <c r="BX896">
        <f>IF(OR(cMed=0,cMed2=0,894&gt;nFilas),NA(),IF(AND(ISNUMBER(INDEX(rMed2,894)),ISNUMBER(INDEX(rMed,894))),INDEX(rMed2,894),NA()))</f>
        <v>3</v>
      </c>
      <c r="BY896">
        <f>IF(OR(cMed=0,cMed2=0,894&gt;nFilas),NA(),IF(AND(ISNUMBER(INDEX(rMed2,894)),ISNUMBER(INDEX(rMed,894))),INDEX(rMed,894),NA()))</f>
        <v>868020</v>
      </c>
    </row>
    <row r="897">
      <c r="BX897">
        <f>IF(OR(cMed=0,cMed2=0,895&gt;nFilas),NA(),IF(AND(ISNUMBER(INDEX(rMed2,895)),ISNUMBER(INDEX(rMed,895))),INDEX(rMed2,895),NA()))</f>
        <v>4</v>
      </c>
      <c r="BY897">
        <f>IF(OR(cMed=0,cMed2=0,895&gt;nFilas),NA(),IF(AND(ISNUMBER(INDEX(rMed2,895)),ISNUMBER(INDEX(rMed,895))),INDEX(rMed,895),NA()))</f>
        <v>320620</v>
      </c>
    </row>
    <row r="898">
      <c r="BX898">
        <f>IF(OR(cMed=0,cMed2=0,896&gt;nFilas),NA(),IF(AND(ISNUMBER(INDEX(rMed2,896)),ISNUMBER(INDEX(rMed,896))),INDEX(rMed2,896),NA()))</f>
        <v>2</v>
      </c>
      <c r="BY898">
        <f>IF(OR(cMed=0,cMed2=0,896&gt;nFilas),NA(),IF(AND(ISNUMBER(INDEX(rMed2,896)),ISNUMBER(INDEX(rMed,896))),INDEX(rMed,896),NA()))</f>
        <v>608810</v>
      </c>
    </row>
    <row r="899">
      <c r="BX899">
        <f>IF(OR(cMed=0,cMed2=0,897&gt;nFilas),NA(),IF(AND(ISNUMBER(INDEX(rMed2,897)),ISNUMBER(INDEX(rMed,897))),INDEX(rMed2,897),NA()))</f>
        <v>3</v>
      </c>
      <c r="BY899">
        <f>IF(OR(cMed=0,cMed2=0,897&gt;nFilas),NA(),IF(AND(ISNUMBER(INDEX(rMed2,897)),ISNUMBER(INDEX(rMed,897))),INDEX(rMed,897),NA()))</f>
        <v>258405</v>
      </c>
    </row>
    <row r="900">
      <c r="BX900">
        <f>IF(OR(cMed=0,cMed2=0,898&gt;nFilas),NA(),IF(AND(ISNUMBER(INDEX(rMed2,898)),ISNUMBER(INDEX(rMed,898))),INDEX(rMed2,898),NA()))</f>
        <v>1</v>
      </c>
      <c r="BY900">
        <f>IF(OR(cMed=0,cMed2=0,898&gt;nFilas),NA(),IF(AND(ISNUMBER(INDEX(rMed2,898)),ISNUMBER(INDEX(rMed,898))),INDEX(rMed,898),NA()))</f>
        <v>60835</v>
      </c>
    </row>
    <row r="901">
      <c r="BX901">
        <f>IF(OR(cMed=0,cMed2=0,899&gt;nFilas),NA(),IF(AND(ISNUMBER(INDEX(rMed2,899)),ISNUMBER(INDEX(rMed,899))),INDEX(rMed2,899),NA()))</f>
        <v>4</v>
      </c>
      <c r="BY901">
        <f>IF(OR(cMed=0,cMed2=0,899&gt;nFilas),NA(),IF(AND(ISNUMBER(INDEX(rMed2,899)),ISNUMBER(INDEX(rMed,899))),INDEX(rMed,899),NA()))</f>
        <v>449880</v>
      </c>
    </row>
    <row r="902">
      <c r="BX902">
        <f>IF(OR(cMed=0,cMed2=0,900&gt;nFilas),NA(),IF(AND(ISNUMBER(INDEX(rMed2,900)),ISNUMBER(INDEX(rMed,900))),INDEX(rMed2,900),NA()))</f>
        <v>1</v>
      </c>
      <c r="BY902">
        <f>IF(OR(cMed=0,cMed2=0,900&gt;nFilas),NA(),IF(AND(ISNUMBER(INDEX(rMed2,900)),ISNUMBER(INDEX(rMed,900))),INDEX(rMed,900),NA()))</f>
        <v>182735</v>
      </c>
    </row>
    <row r="903">
      <c r="BX903">
        <f>IF(OR(cMed=0,cMed2=0,901&gt;nFilas),NA(),IF(AND(ISNUMBER(INDEX(rMed2,901)),ISNUMBER(INDEX(rMed,901))),INDEX(rMed2,901),NA()))</f>
        <v>1</v>
      </c>
      <c r="BY903">
        <f>IF(OR(cMed=0,cMed2=0,901&gt;nFilas),NA(),IF(AND(ISNUMBER(INDEX(rMed2,901)),ISNUMBER(INDEX(rMed,901))),INDEX(rMed,901),NA()))</f>
        <v>158700</v>
      </c>
    </row>
    <row r="904">
      <c r="BX904">
        <f>IF(OR(cMed=0,cMed2=0,902&gt;nFilas),NA(),IF(AND(ISNUMBER(INDEX(rMed2,902)),ISNUMBER(INDEX(rMed,902))),INDEX(rMed2,902),NA()))</f>
        <v>3</v>
      </c>
      <c r="BY904">
        <f>IF(OR(cMed=0,cMed2=0,902&gt;nFilas),NA(),IF(AND(ISNUMBER(INDEX(rMed2,902)),ISNUMBER(INDEX(rMed,902))),INDEX(rMed,902),NA()))</f>
        <v>398475</v>
      </c>
    </row>
    <row r="905">
      <c r="BX905">
        <f>IF(OR(cMed=0,cMed2=0,903&gt;nFilas),NA(),IF(AND(ISNUMBER(INDEX(rMed2,903)),ISNUMBER(INDEX(rMed,903))),INDEX(rMed2,903),NA()))</f>
        <v>5</v>
      </c>
      <c r="BY905">
        <f>IF(OR(cMed=0,cMed2=0,903&gt;nFilas),NA(),IF(AND(ISNUMBER(INDEX(rMed2,903)),ISNUMBER(INDEX(rMed,903))),INDEX(rMed,903),NA()))</f>
        <v>3818000</v>
      </c>
    </row>
    <row r="906">
      <c r="BX906">
        <f>IF(OR(cMed=0,cMed2=0,904&gt;nFilas),NA(),IF(AND(ISNUMBER(INDEX(rMed2,904)),ISNUMBER(INDEX(rMed,904))),INDEX(rMed2,904),NA()))</f>
        <v>2</v>
      </c>
      <c r="BY906">
        <f>IF(OR(cMed=0,cMed2=0,904&gt;nFilas),NA(),IF(AND(ISNUMBER(INDEX(rMed2,904)),ISNUMBER(INDEX(rMed,904))),INDEX(rMed,904),NA()))</f>
        <v>127650</v>
      </c>
    </row>
    <row r="907">
      <c r="BX907">
        <f>IF(OR(cMed=0,cMed2=0,905&gt;nFilas),NA(),IF(AND(ISNUMBER(INDEX(rMed2,905)),ISNUMBER(INDEX(rMed,905))),INDEX(rMed2,905),NA()))</f>
        <v>2</v>
      </c>
      <c r="BY907">
        <f>IF(OR(cMed=0,cMed2=0,905&gt;nFilas),NA(),IF(AND(ISNUMBER(INDEX(rMed2,905)),ISNUMBER(INDEX(rMed,905))),INDEX(rMed,905),NA()))</f>
        <v>1524900</v>
      </c>
    </row>
    <row r="908">
      <c r="BX908">
        <f>IF(OR(cMed=0,cMed2=0,906&gt;nFilas),NA(),IF(AND(ISNUMBER(INDEX(rMed2,906)),ISNUMBER(INDEX(rMed,906))),INDEX(rMed2,906),NA()))</f>
        <v>1</v>
      </c>
      <c r="BY908">
        <f>IF(OR(cMed=0,cMed2=0,906&gt;nFilas),NA(),IF(AND(ISNUMBER(INDEX(rMed2,906)),ISNUMBER(INDEX(rMed,906))),INDEX(rMed,906),NA()))</f>
        <v>128340</v>
      </c>
    </row>
    <row r="909">
      <c r="BX909">
        <f>IF(OR(cMed=0,cMed2=0,907&gt;nFilas),NA(),IF(AND(ISNUMBER(INDEX(rMed2,907)),ISNUMBER(INDEX(rMed,907))),INDEX(rMed2,907),NA()))</f>
        <v>5</v>
      </c>
      <c r="BY909">
        <f>IF(OR(cMed=0,cMed2=0,907&gt;nFilas),NA(),IF(AND(ISNUMBER(INDEX(rMed2,907)),ISNUMBER(INDEX(rMed,907))),INDEX(rMed,907),NA()))</f>
        <v>4718450</v>
      </c>
    </row>
    <row r="910">
      <c r="BX910">
        <f>IF(OR(cMed=0,cMed2=0,908&gt;nFilas),NA(),IF(AND(ISNUMBER(INDEX(rMed2,908)),ISNUMBER(INDEX(rMed,908))),INDEX(rMed2,908),NA()))</f>
        <v>2</v>
      </c>
      <c r="BY910">
        <f>IF(OR(cMed=0,cMed2=0,908&gt;nFilas),NA(),IF(AND(ISNUMBER(INDEX(rMed2,908)),ISNUMBER(INDEX(rMed,908))),INDEX(rMed,908),NA()))</f>
        <v>1947000</v>
      </c>
    </row>
    <row r="911">
      <c r="BX911">
        <f>IF(OR(cMed=0,cMed2=0,909&gt;nFilas),NA(),IF(AND(ISNUMBER(INDEX(rMed2,909)),ISNUMBER(INDEX(rMed,909))),INDEX(rMed2,909),NA()))</f>
        <v>1</v>
      </c>
      <c r="BY911">
        <f>IF(OR(cMed=0,cMed2=0,909&gt;nFilas),NA(),IF(AND(ISNUMBER(INDEX(rMed2,909)),ISNUMBER(INDEX(rMed,909))),INDEX(rMed,909),NA()))</f>
        <v>129100</v>
      </c>
    </row>
    <row r="912">
      <c r="BX912">
        <f>IF(OR(cMed=0,cMed2=0,910&gt;nFilas),NA(),IF(AND(ISNUMBER(INDEX(rMed2,910)),ISNUMBER(INDEX(rMed,910))),INDEX(rMed2,910),NA()))</f>
        <v>4</v>
      </c>
      <c r="BY912">
        <f>IF(OR(cMed=0,cMed2=0,910&gt;nFilas),NA(),IF(AND(ISNUMBER(INDEX(rMed2,910)),ISNUMBER(INDEX(rMed,910))),INDEX(rMed,910),NA()))</f>
        <v>570400</v>
      </c>
    </row>
    <row r="913">
      <c r="BX913">
        <f>IF(OR(cMed=0,cMed2=0,911&gt;nFilas),NA(),IF(AND(ISNUMBER(INDEX(rMed2,911)),ISNUMBER(INDEX(rMed,911))),INDEX(rMed2,911),NA()))</f>
        <v>2</v>
      </c>
      <c r="BY913">
        <f>IF(OR(cMed=0,cMed2=0,911&gt;nFilas),NA(),IF(AND(ISNUMBER(INDEX(rMed2,911)),ISNUMBER(INDEX(rMed,911))),INDEX(rMed,911),NA()))</f>
        <v>180200</v>
      </c>
    </row>
    <row r="914">
      <c r="BX914">
        <f>IF(OR(cMed=0,cMed2=0,912&gt;nFilas),NA(),IF(AND(ISNUMBER(INDEX(rMed2,912)),ISNUMBER(INDEX(rMed,912))),INDEX(rMed2,912),NA()))</f>
        <v>1</v>
      </c>
      <c r="BY914">
        <f>IF(OR(cMed=0,cMed2=0,912&gt;nFilas),NA(),IF(AND(ISNUMBER(INDEX(rMed2,912)),ISNUMBER(INDEX(rMed,912))),INDEX(rMed,912),NA()))</f>
        <v>909800</v>
      </c>
    </row>
    <row r="915">
      <c r="BX915">
        <f>IF(OR(cMed=0,cMed2=0,913&gt;nFilas),NA(),IF(AND(ISNUMBER(INDEX(rMed2,913)),ISNUMBER(INDEX(rMed,913))),INDEX(rMed2,913),NA()))</f>
        <v>4</v>
      </c>
      <c r="BY915">
        <f>IF(OR(cMed=0,cMed2=0,913&gt;nFilas),NA(),IF(AND(ISNUMBER(INDEX(rMed2,913)),ISNUMBER(INDEX(rMed,913))),INDEX(rMed,913),NA()))</f>
        <v>297600</v>
      </c>
    </row>
    <row r="916">
      <c r="BX916">
        <f>IF(OR(cMed=0,cMed2=0,914&gt;nFilas),NA(),IF(AND(ISNUMBER(INDEX(rMed2,914)),ISNUMBER(INDEX(rMed,914))),INDEX(rMed2,914),NA()))</f>
        <v>5</v>
      </c>
      <c r="BY916">
        <f>IF(OR(cMed=0,cMed2=0,914&gt;nFilas),NA(),IF(AND(ISNUMBER(INDEX(rMed2,914)),ISNUMBER(INDEX(rMed,914))),INDEX(rMed,914),NA()))</f>
        <v>1306000</v>
      </c>
    </row>
    <row r="917">
      <c r="BX917">
        <f>IF(OR(cMed=0,cMed2=0,915&gt;nFilas),NA(),IF(AND(ISNUMBER(INDEX(rMed2,915)),ISNUMBER(INDEX(rMed,915))),INDEX(rMed2,915),NA()))</f>
        <v>4</v>
      </c>
      <c r="BY917">
        <f>IF(OR(cMed=0,cMed2=0,915&gt;nFilas),NA(),IF(AND(ISNUMBER(INDEX(rMed2,915)),ISNUMBER(INDEX(rMed,915))),INDEX(rMed,915),NA()))</f>
        <v>381200</v>
      </c>
    </row>
    <row r="918">
      <c r="BX918">
        <f>IF(OR(cMed=0,cMed2=0,916&gt;nFilas),NA(),IF(AND(ISNUMBER(INDEX(rMed2,916)),ISNUMBER(INDEX(rMed,916))),INDEX(rMed2,916),NA()))</f>
        <v>2</v>
      </c>
      <c r="BY918">
        <f>IF(OR(cMed=0,cMed2=0,916&gt;nFilas),NA(),IF(AND(ISNUMBER(INDEX(rMed2,916)),ISNUMBER(INDEX(rMed,916))),INDEX(rMed,916),NA()))</f>
        <v>225600</v>
      </c>
    </row>
    <row r="919">
      <c r="BX919">
        <f>IF(OR(cMed=0,cMed2=0,917&gt;nFilas),NA(),IF(AND(ISNUMBER(INDEX(rMed2,917)),ISNUMBER(INDEX(rMed,917))),INDEX(rMed2,917),NA()))</f>
        <v>1</v>
      </c>
      <c r="BY919">
        <f>IF(OR(cMed=0,cMed2=0,917&gt;nFilas),NA(),IF(AND(ISNUMBER(INDEX(rMed2,917)),ISNUMBER(INDEX(rMed,917))),INDEX(rMed,917),NA()))</f>
        <v>65000</v>
      </c>
    </row>
    <row r="920">
      <c r="BX920">
        <f>IF(OR(cMed=0,cMed2=0,918&gt;nFilas),NA(),IF(AND(ISNUMBER(INDEX(rMed2,918)),ISNUMBER(INDEX(rMed,918))),INDEX(rMed2,918),NA()))</f>
        <v>1</v>
      </c>
      <c r="BY920">
        <f>IF(OR(cMed=0,cMed2=0,918&gt;nFilas),NA(),IF(AND(ISNUMBER(INDEX(rMed2,918)),ISNUMBER(INDEX(rMed,918))),INDEX(rMed,918),NA()))</f>
        <v>103600</v>
      </c>
    </row>
    <row r="921">
      <c r="BX921">
        <f>IF(OR(cMed=0,cMed2=0,919&gt;nFilas),NA(),IF(AND(ISNUMBER(INDEX(rMed2,919)),ISNUMBER(INDEX(rMed,919))),INDEX(rMed2,919),NA()))</f>
        <v>4</v>
      </c>
      <c r="BY921">
        <f>IF(OR(cMed=0,cMed2=0,919&gt;nFilas),NA(),IF(AND(ISNUMBER(INDEX(rMed2,919)),ISNUMBER(INDEX(rMed,919))),INDEX(rMed,919),NA()))</f>
        <v>394000</v>
      </c>
    </row>
    <row r="922">
      <c r="BX922">
        <f>IF(OR(cMed=0,cMed2=0,920&gt;nFilas),NA(),IF(AND(ISNUMBER(INDEX(rMed2,920)),ISNUMBER(INDEX(rMed,920))),INDEX(rMed2,920),NA()))</f>
        <v>2</v>
      </c>
      <c r="BY922">
        <f>IF(OR(cMed=0,cMed2=0,920&gt;nFilas),NA(),IF(AND(ISNUMBER(INDEX(rMed2,920)),ISNUMBER(INDEX(rMed,920))),INDEX(rMed,920),NA()))</f>
        <v>267800</v>
      </c>
    </row>
    <row r="923">
      <c r="BX923">
        <f>IF(OR(cMed=0,cMed2=0,921&gt;nFilas),NA(),IF(AND(ISNUMBER(INDEX(rMed2,921)),ISNUMBER(INDEX(rMed,921))),INDEX(rMed2,921),NA()))</f>
        <v>3</v>
      </c>
      <c r="BY923">
        <f>IF(OR(cMed=0,cMed2=0,921&gt;nFilas),NA(),IF(AND(ISNUMBER(INDEX(rMed2,921)),ISNUMBER(INDEX(rMed,921))),INDEX(rMed,921),NA()))</f>
        <v>1799100</v>
      </c>
    </row>
    <row r="924">
      <c r="BX924">
        <f>IF(OR(cMed=0,cMed2=0,922&gt;nFilas),NA(),IF(AND(ISNUMBER(INDEX(rMed2,922)),ISNUMBER(INDEX(rMed,922))),INDEX(rMed2,922),NA()))</f>
        <v>2</v>
      </c>
      <c r="BY924">
        <f>IF(OR(cMed=0,cMed2=0,922&gt;nFilas),NA(),IF(AND(ISNUMBER(INDEX(rMed2,922)),ISNUMBER(INDEX(rMed,922))),INDEX(rMed,922),NA()))</f>
        <v>171800</v>
      </c>
    </row>
    <row r="925">
      <c r="BX925">
        <f>IF(OR(cMed=0,cMed2=0,923&gt;nFilas),NA(),IF(AND(ISNUMBER(INDEX(rMed2,923)),ISNUMBER(INDEX(rMed,923))),INDEX(rMed2,923),NA()))</f>
        <v>3</v>
      </c>
      <c r="BY925">
        <f>IF(OR(cMed=0,cMed2=0,923&gt;nFilas),NA(),IF(AND(ISNUMBER(INDEX(rMed2,923)),ISNUMBER(INDEX(rMed,923))),INDEX(rMed,923),NA()))</f>
        <v>498600</v>
      </c>
    </row>
    <row r="926">
      <c r="BX926">
        <f>IF(OR(cMed=0,cMed2=0,924&gt;nFilas),NA(),IF(AND(ISNUMBER(INDEX(rMed2,924)),ISNUMBER(INDEX(rMed,924))),INDEX(rMed2,924),NA()))</f>
        <v>2</v>
      </c>
      <c r="BY926">
        <f>IF(OR(cMed=0,cMed2=0,924&gt;nFilas),NA(),IF(AND(ISNUMBER(INDEX(rMed2,924)),ISNUMBER(INDEX(rMed,924))),INDEX(rMed,924),NA()))</f>
        <v>389000</v>
      </c>
    </row>
    <row r="927">
      <c r="BX927">
        <f>IF(OR(cMed=0,cMed2=0,925&gt;nFilas),NA(),IF(AND(ISNUMBER(INDEX(rMed2,925)),ISNUMBER(INDEX(rMed,925))),INDEX(rMed2,925),NA()))</f>
        <v>4</v>
      </c>
      <c r="BY927">
        <f>IF(OR(cMed=0,cMed2=0,925&gt;nFilas),NA(),IF(AND(ISNUMBER(INDEX(rMed2,925)),ISNUMBER(INDEX(rMed,925))),INDEX(rMed,925),NA()))</f>
        <v>4567800</v>
      </c>
    </row>
    <row r="928">
      <c r="BX928">
        <f>IF(OR(cMed=0,cMed2=0,926&gt;nFilas),NA(),IF(AND(ISNUMBER(INDEX(rMed2,926)),ISNUMBER(INDEX(rMed,926))),INDEX(rMed2,926),NA()))</f>
        <v>1</v>
      </c>
      <c r="BY928">
        <f>IF(OR(cMed=0,cMed2=0,926&gt;nFilas),NA(),IF(AND(ISNUMBER(INDEX(rMed2,926)),ISNUMBER(INDEX(rMed,926))),INDEX(rMed,926),NA()))</f>
        <v>130065</v>
      </c>
    </row>
    <row r="929">
      <c r="BX929">
        <f>IF(OR(cMed=0,cMed2=0,927&gt;nFilas),NA(),IF(AND(ISNUMBER(INDEX(rMed2,927)),ISNUMBER(INDEX(rMed,927))),INDEX(rMed2,927),NA()))</f>
        <v>4</v>
      </c>
      <c r="BY929">
        <f>IF(OR(cMed=0,cMed2=0,927&gt;nFilas),NA(),IF(AND(ISNUMBER(INDEX(rMed2,927)),ISNUMBER(INDEX(rMed,927))),INDEX(rMed,927),NA()))</f>
        <v>530380</v>
      </c>
    </row>
    <row r="930">
      <c r="BX930">
        <f>IF(OR(cMed=0,cMed2=0,928&gt;nFilas),NA(),IF(AND(ISNUMBER(INDEX(rMed2,928)),ISNUMBER(INDEX(rMed,928))),INDEX(rMed2,928),NA()))</f>
        <v>1</v>
      </c>
      <c r="BY930">
        <f>IF(OR(cMed=0,cMed2=0,928&gt;nFilas),NA(),IF(AND(ISNUMBER(INDEX(rMed2,928)),ISNUMBER(INDEX(rMed,928))),INDEX(rMed,928),NA()))</f>
        <v>1247635</v>
      </c>
    </row>
    <row r="931">
      <c r="BX931">
        <f>IF(OR(cMed=0,cMed2=0,929&gt;nFilas),NA(),IF(AND(ISNUMBER(INDEX(rMed2,929)),ISNUMBER(INDEX(rMed,929))),INDEX(rMed2,929),NA()))</f>
        <v>4</v>
      </c>
      <c r="BY931">
        <f>IF(OR(cMed=0,cMed2=0,929&gt;nFilas),NA(),IF(AND(ISNUMBER(INDEX(rMed2,929)),ISNUMBER(INDEX(rMed,929))),INDEX(rMed,929),NA()))</f>
        <v>262660</v>
      </c>
    </row>
    <row r="932">
      <c r="BX932">
        <f>IF(OR(cMed=0,cMed2=0,930&gt;nFilas),NA(),IF(AND(ISNUMBER(INDEX(rMed2,930)),ISNUMBER(INDEX(rMed,930))),INDEX(rMed2,930),NA()))</f>
        <v>5</v>
      </c>
      <c r="BY932">
        <f>IF(OR(cMed=0,cMed2=0,930&gt;nFilas),NA(),IF(AND(ISNUMBER(INDEX(rMed2,930)),ISNUMBER(INDEX(rMed,930))),INDEX(rMed,930),NA()))</f>
        <v>419175</v>
      </c>
    </row>
    <row r="933">
      <c r="BX933">
        <f>IF(OR(cMed=0,cMed2=0,931&gt;nFilas),NA(),IF(AND(ISNUMBER(INDEX(rMed2,931)),ISNUMBER(INDEX(rMed,931))),INDEX(rMed2,931),NA()))</f>
        <v>5</v>
      </c>
      <c r="BY933">
        <f>IF(OR(cMed=0,cMed2=0,931&gt;nFilas),NA(),IF(AND(ISNUMBER(INDEX(rMed2,931)),ISNUMBER(INDEX(rMed,931))),INDEX(rMed,931),NA()))</f>
        <v>1092500</v>
      </c>
    </row>
    <row r="934">
      <c r="BX934">
        <f>IF(OR(cMed=0,cMed2=0,932&gt;nFilas),NA(),IF(AND(ISNUMBER(INDEX(rMed2,932)),ISNUMBER(INDEX(rMed,932))),INDEX(rMed2,932),NA()))</f>
        <v>3</v>
      </c>
      <c r="BY934">
        <f>IF(OR(cMed=0,cMed2=0,932&gt;nFilas),NA(),IF(AND(ISNUMBER(INDEX(rMed2,932)),ISNUMBER(INDEX(rMed,932))),INDEX(rMed,932),NA()))</f>
        <v>418140</v>
      </c>
    </row>
    <row r="935">
      <c r="BX935">
        <f>IF(OR(cMed=0,cMed2=0,933&gt;nFilas),NA(),IF(AND(ISNUMBER(INDEX(rMed2,933)),ISNUMBER(INDEX(rMed,933))),INDEX(rMed2,933),NA()))</f>
        <v>5</v>
      </c>
      <c r="BY935">
        <f>IF(OR(cMed=0,cMed2=0,933&gt;nFilas),NA(),IF(AND(ISNUMBER(INDEX(rMed2,933)),ISNUMBER(INDEX(rMed,933))),INDEX(rMed,933),NA()))</f>
        <v>822250</v>
      </c>
    </row>
    <row r="936">
      <c r="BX936">
        <f>IF(OR(cMed=0,cMed2=0,934&gt;nFilas),NA(),IF(AND(ISNUMBER(INDEX(rMed2,934)),ISNUMBER(INDEX(rMed,934))),INDEX(rMed2,934),NA()))</f>
        <v>4</v>
      </c>
      <c r="BY936">
        <f>IF(OR(cMed=0,cMed2=0,934&gt;nFilas),NA(),IF(AND(ISNUMBER(INDEX(rMed2,934)),ISNUMBER(INDEX(rMed,934))),INDEX(rMed,934),NA()))</f>
        <v>706560</v>
      </c>
    </row>
    <row r="937">
      <c r="BX937">
        <f>IF(OR(cMed=0,cMed2=0,935&gt;nFilas),NA(),IF(AND(ISNUMBER(INDEX(rMed2,935)),ISNUMBER(INDEX(rMed,935))),INDEX(rMed2,935),NA()))</f>
        <v>3</v>
      </c>
      <c r="BY937">
        <f>IF(OR(cMed=0,cMed2=0,935&gt;nFilas),NA(),IF(AND(ISNUMBER(INDEX(rMed2,935)),ISNUMBER(INDEX(rMed,935))),INDEX(rMed,935),NA()))</f>
        <v>266685</v>
      </c>
    </row>
    <row r="938">
      <c r="BX938">
        <f>IF(OR(cMed=0,cMed2=0,936&gt;nFilas),NA(),IF(AND(ISNUMBER(INDEX(rMed2,936)),ISNUMBER(INDEX(rMed,936))),INDEX(rMed2,936),NA()))</f>
        <v>2</v>
      </c>
      <c r="BY938">
        <f>IF(OR(cMed=0,cMed2=0,936&gt;nFilas),NA(),IF(AND(ISNUMBER(INDEX(rMed2,936)),ISNUMBER(INDEX(rMed,936))),INDEX(rMed,936),NA()))</f>
        <v>202630</v>
      </c>
    </row>
    <row r="939">
      <c r="BX939">
        <f>IF(OR(cMed=0,cMed2=0,937&gt;nFilas),NA(),IF(AND(ISNUMBER(INDEX(rMed2,937)),ISNUMBER(INDEX(rMed,937))),INDEX(rMed2,937),NA()))</f>
        <v>4</v>
      </c>
      <c r="BY939">
        <f>IF(OR(cMed=0,cMed2=0,937&gt;nFilas),NA(),IF(AND(ISNUMBER(INDEX(rMed2,937)),ISNUMBER(INDEX(rMed,937))),INDEX(rMed,937),NA()))</f>
        <v>713920</v>
      </c>
    </row>
    <row r="940">
      <c r="BX940">
        <f>IF(OR(cMed=0,cMed2=0,938&gt;nFilas),NA(),IF(AND(ISNUMBER(INDEX(rMed2,938)),ISNUMBER(INDEX(rMed,938))),INDEX(rMed2,938),NA()))</f>
        <v>3</v>
      </c>
      <c r="BY940">
        <f>IF(OR(cMed=0,cMed2=0,938&gt;nFilas),NA(),IF(AND(ISNUMBER(INDEX(rMed2,938)),ISNUMBER(INDEX(rMed,938))),INDEX(rMed,938),NA()))</f>
        <v>360525</v>
      </c>
    </row>
    <row r="941">
      <c r="BX941">
        <f>IF(OR(cMed=0,cMed2=0,939&gt;nFilas),NA(),IF(AND(ISNUMBER(INDEX(rMed2,939)),ISNUMBER(INDEX(rMed,939))),INDEX(rMed2,939),NA()))</f>
        <v>1</v>
      </c>
      <c r="BY941">
        <f>IF(OR(cMed=0,cMed2=0,939&gt;nFilas),NA(),IF(AND(ISNUMBER(INDEX(rMed2,939)),ISNUMBER(INDEX(rMed,939))),INDEX(rMed,939),NA()))</f>
        <v>120900</v>
      </c>
    </row>
    <row r="942">
      <c r="BX942">
        <f>IF(OR(cMed=0,cMed2=0,940&gt;nFilas),NA(),IF(AND(ISNUMBER(INDEX(rMed2,940)),ISNUMBER(INDEX(rMed,940))),INDEX(rMed2,940),NA()))</f>
        <v>1</v>
      </c>
      <c r="BY942">
        <f>IF(OR(cMed=0,cMed2=0,940&gt;nFilas),NA(),IF(AND(ISNUMBER(INDEX(rMed2,940)),ISNUMBER(INDEX(rMed,940))),INDEX(rMed,940),NA()))</f>
        <v>72900</v>
      </c>
    </row>
    <row r="943">
      <c r="BX943">
        <f>IF(OR(cMed=0,cMed2=0,941&gt;nFilas),NA(),IF(AND(ISNUMBER(INDEX(rMed2,941)),ISNUMBER(INDEX(rMed,941))),INDEX(rMed2,941),NA()))</f>
        <v>2</v>
      </c>
      <c r="BY943">
        <f>IF(OR(cMed=0,cMed2=0,941&gt;nFilas),NA(),IF(AND(ISNUMBER(INDEX(rMed2,941)),ISNUMBER(INDEX(rMed,941))),INDEX(rMed,941),NA()))</f>
        <v>119000</v>
      </c>
    </row>
    <row r="944">
      <c r="BX944">
        <f>IF(OR(cMed=0,cMed2=0,942&gt;nFilas),NA(),IF(AND(ISNUMBER(INDEX(rMed2,942)),ISNUMBER(INDEX(rMed,942))),INDEX(rMed2,942),NA()))</f>
        <v>2</v>
      </c>
      <c r="BY944">
        <f>IF(OR(cMed=0,cMed2=0,942&gt;nFilas),NA(),IF(AND(ISNUMBER(INDEX(rMed2,942)),ISNUMBER(INDEX(rMed,942))),INDEX(rMed,942),NA()))</f>
        <v>200600</v>
      </c>
    </row>
    <row r="945">
      <c r="BX945">
        <f>IF(OR(cMed=0,cMed2=0,943&gt;nFilas),NA(),IF(AND(ISNUMBER(INDEX(rMed2,943)),ISNUMBER(INDEX(rMed,943))),INDEX(rMed2,943),NA()))</f>
        <v>5</v>
      </c>
      <c r="BY945">
        <f>IF(OR(cMed=0,cMed2=0,943&gt;nFilas),NA(),IF(AND(ISNUMBER(INDEX(rMed2,943)),ISNUMBER(INDEX(rMed,943))),INDEX(rMed,943),NA()))</f>
        <v>3455000</v>
      </c>
    </row>
    <row r="946">
      <c r="BX946">
        <f>IF(OR(cMed=0,cMed2=0,944&gt;nFilas),NA(),IF(AND(ISNUMBER(INDEX(rMed2,944)),ISNUMBER(INDEX(rMed,944))),INDEX(rMed2,944),NA()))</f>
        <v>3</v>
      </c>
      <c r="BY946">
        <f>IF(OR(cMed=0,cMed2=0,944&gt;nFilas),NA(),IF(AND(ISNUMBER(INDEX(rMed2,944)),ISNUMBER(INDEX(rMed,944))),INDEX(rMed,944),NA()))</f>
        <v>2577900</v>
      </c>
    </row>
    <row r="947">
      <c r="BX947">
        <f>IF(OR(cMed=0,cMed2=0,945&gt;nFilas),NA(),IF(AND(ISNUMBER(INDEX(rMed2,945)),ISNUMBER(INDEX(rMed,945))),INDEX(rMed2,945),NA()))</f>
        <v>3</v>
      </c>
      <c r="BY947">
        <f>IF(OR(cMed=0,cMed2=0,945&gt;nFilas),NA(),IF(AND(ISNUMBER(INDEX(rMed2,945)),ISNUMBER(INDEX(rMed,945))),INDEX(rMed,945),NA()))</f>
        <v>2058600</v>
      </c>
    </row>
    <row r="948">
      <c r="BX948">
        <f>IF(OR(cMed=0,cMed2=0,946&gt;nFilas),NA(),IF(AND(ISNUMBER(INDEX(rMed2,946)),ISNUMBER(INDEX(rMed,946))),INDEX(rMed2,946),NA()))</f>
        <v>3</v>
      </c>
      <c r="BY948">
        <f>IF(OR(cMed=0,cMed2=0,946&gt;nFilas),NA(),IF(AND(ISNUMBER(INDEX(rMed2,946)),ISNUMBER(INDEX(rMed,946))),INDEX(rMed,946),NA()))</f>
        <v>330000</v>
      </c>
    </row>
    <row r="949">
      <c r="BX949">
        <f>IF(OR(cMed=0,cMed2=0,947&gt;nFilas),NA(),IF(AND(ISNUMBER(INDEX(rMed2,947)),ISNUMBER(INDEX(rMed,947))),INDEX(rMed2,947),NA()))</f>
        <v>2</v>
      </c>
      <c r="BY949">
        <f>IF(OR(cMed=0,cMed2=0,947&gt;nFilas),NA(),IF(AND(ISNUMBER(INDEX(rMed2,947)),ISNUMBER(INDEX(rMed,947))),INDEX(rMed,947),NA()))</f>
        <v>421600</v>
      </c>
    </row>
    <row r="950">
      <c r="BX950">
        <f>IF(OR(cMed=0,cMed2=0,948&gt;nFilas),NA(),IF(AND(ISNUMBER(INDEX(rMed2,948)),ISNUMBER(INDEX(rMed,948))),INDEX(rMed2,948),NA()))</f>
        <v>4</v>
      </c>
      <c r="BY950">
        <f>IF(OR(cMed=0,cMed2=0,948&gt;nFilas),NA(),IF(AND(ISNUMBER(INDEX(rMed2,948)),ISNUMBER(INDEX(rMed,948))),INDEX(rMed,948),NA()))</f>
        <v>4125600</v>
      </c>
    </row>
    <row r="951">
      <c r="BX951">
        <f>IF(OR(cMed=0,cMed2=0,949&gt;nFilas),NA(),IF(AND(ISNUMBER(INDEX(rMed2,949)),ISNUMBER(INDEX(rMed,949))),INDEX(rMed2,949),NA()))</f>
        <v>5</v>
      </c>
      <c r="BY951">
        <f>IF(OR(cMed=0,cMed2=0,949&gt;nFilas),NA(),IF(AND(ISNUMBER(INDEX(rMed2,949)),ISNUMBER(INDEX(rMed,949))),INDEX(rMed,949),NA()))</f>
        <v>737500</v>
      </c>
    </row>
    <row r="952">
      <c r="BX952">
        <f>IF(OR(cMed=0,cMed2=0,950&gt;nFilas),NA(),IF(AND(ISNUMBER(INDEX(rMed2,950)),ISNUMBER(INDEX(rMed,950))),INDEX(rMed2,950),NA()))</f>
        <v>3</v>
      </c>
      <c r="BY952">
        <f>IF(OR(cMed=0,cMed2=0,950&gt;nFilas),NA(),IF(AND(ISNUMBER(INDEX(rMed2,950)),ISNUMBER(INDEX(rMed,950))),INDEX(rMed,950),NA()))</f>
        <v>387900</v>
      </c>
    </row>
    <row r="953">
      <c r="BX953">
        <f>IF(OR(cMed=0,cMed2=0,951&gt;nFilas),NA(),IF(AND(ISNUMBER(INDEX(rMed2,951)),ISNUMBER(INDEX(rMed,951))),INDEX(rMed2,951),NA()))</f>
        <v>4</v>
      </c>
      <c r="BY953">
        <f>IF(OR(cMed=0,cMed2=0,951&gt;nFilas),NA(),IF(AND(ISNUMBER(INDEX(rMed2,951)),ISNUMBER(INDEX(rMed,951))),INDEX(rMed,951),NA()))</f>
        <v>250800</v>
      </c>
    </row>
    <row r="954">
      <c r="BX954">
        <f>IF(OR(cMed=0,cMed2=0,952&gt;nFilas),NA(),IF(AND(ISNUMBER(INDEX(rMed2,952)),ISNUMBER(INDEX(rMed,952))),INDEX(rMed2,952),NA()))</f>
        <v>1</v>
      </c>
      <c r="BY954">
        <f>IF(OR(cMed=0,cMed2=0,952&gt;nFilas),NA(),IF(AND(ISNUMBER(INDEX(rMed2,952)),ISNUMBER(INDEX(rMed,952))),INDEX(rMed,952),NA()))</f>
        <v>82000</v>
      </c>
    </row>
    <row r="955">
      <c r="BX955">
        <f>IF(OR(cMed=0,cMed2=0,953&gt;nFilas),NA(),IF(AND(ISNUMBER(INDEX(rMed2,953)),ISNUMBER(INDEX(rMed,953))),INDEX(rMed2,953),NA()))</f>
        <v>1</v>
      </c>
      <c r="BY955">
        <f>IF(OR(cMed=0,cMed2=0,953&gt;nFilas),NA(),IF(AND(ISNUMBER(INDEX(rMed2,953)),ISNUMBER(INDEX(rMed,953))),INDEX(rMed,953),NA()))</f>
        <v>84600</v>
      </c>
    </row>
    <row r="956">
      <c r="BX956">
        <f>IF(OR(cMed=0,cMed2=0,954&gt;nFilas),NA(),IF(AND(ISNUMBER(INDEX(rMed2,954)),ISNUMBER(INDEX(rMed,954))),INDEX(rMed2,954),NA()))</f>
        <v>1</v>
      </c>
      <c r="BY956">
        <f>IF(OR(cMed=0,cMed2=0,954&gt;nFilas),NA(),IF(AND(ISNUMBER(INDEX(rMed2,954)),ISNUMBER(INDEX(rMed,954))),INDEX(rMed,954),NA()))</f>
        <v>131400</v>
      </c>
    </row>
    <row r="957">
      <c r="BX957">
        <f>IF(OR(cMed=0,cMed2=0,955&gt;nFilas),NA(),IF(AND(ISNUMBER(INDEX(rMed2,955)),ISNUMBER(INDEX(rMed,955))),INDEX(rMed2,955),NA()))</f>
        <v>5</v>
      </c>
      <c r="BY957">
        <f>IF(OR(cMed=0,cMed2=0,955&gt;nFilas),NA(),IF(AND(ISNUMBER(INDEX(rMed2,955)),ISNUMBER(INDEX(rMed,955))),INDEX(rMed,955),NA()))</f>
        <v>427000</v>
      </c>
    </row>
    <row r="958">
      <c r="BX958">
        <f>IF(OR(cMed=0,cMed2=0,956&gt;nFilas),NA(),IF(AND(ISNUMBER(INDEX(rMed2,956)),ISNUMBER(INDEX(rMed,956))),INDEX(rMed2,956),NA()))</f>
        <v>4</v>
      </c>
      <c r="BY958">
        <f>IF(OR(cMed=0,cMed2=0,956&gt;nFilas),NA(),IF(AND(ISNUMBER(INDEX(rMed2,956)),ISNUMBER(INDEX(rMed,956))),INDEX(rMed,956),NA()))</f>
        <v>613600</v>
      </c>
    </row>
    <row r="959">
      <c r="BX959">
        <f>IF(OR(cMed=0,cMed2=0,957&gt;nFilas),NA(),IF(AND(ISNUMBER(INDEX(rMed2,957)),ISNUMBER(INDEX(rMed,957))),INDEX(rMed2,957),NA()))</f>
        <v>3</v>
      </c>
      <c r="BY959">
        <f>IF(OR(cMed=0,cMed2=0,957&gt;nFilas),NA(),IF(AND(ISNUMBER(INDEX(rMed2,957)),ISNUMBER(INDEX(rMed,957))),INDEX(rMed,957),NA()))</f>
        <v>276600</v>
      </c>
    </row>
    <row r="960">
      <c r="BX960">
        <f>IF(OR(cMed=0,cMed2=0,958&gt;nFilas),NA(),IF(AND(ISNUMBER(INDEX(rMed2,958)),ISNUMBER(INDEX(rMed,958))),INDEX(rMed2,958),NA()))</f>
        <v>4</v>
      </c>
      <c r="BY960">
        <f>IF(OR(cMed=0,cMed2=0,958&gt;nFilas),NA(),IF(AND(ISNUMBER(INDEX(rMed2,958)),ISNUMBER(INDEX(rMed,958))),INDEX(rMed,958),NA()))</f>
        <v>4881520</v>
      </c>
    </row>
    <row r="961">
      <c r="BX961">
        <f>IF(OR(cMed=0,cMed2=0,959&gt;nFilas),NA(),IF(AND(ISNUMBER(INDEX(rMed2,959)),ISNUMBER(INDEX(rMed,959))),INDEX(rMed2,959),NA()))</f>
        <v>1</v>
      </c>
      <c r="BY961">
        <f>IF(OR(cMed=0,cMed2=0,959&gt;nFilas),NA(),IF(AND(ISNUMBER(INDEX(rMed2,959)),ISNUMBER(INDEX(rMed,959))),INDEX(rMed,959),NA()))</f>
        <v>128225</v>
      </c>
    </row>
    <row r="962">
      <c r="BX962">
        <f>IF(OR(cMed=0,cMed2=0,960&gt;nFilas),NA(),IF(AND(ISNUMBER(INDEX(rMed2,960)),ISNUMBER(INDEX(rMed,960))),INDEX(rMed2,960),NA()))</f>
        <v>2</v>
      </c>
      <c r="BY962">
        <f>IF(OR(cMed=0,cMed2=0,960&gt;nFilas),NA(),IF(AND(ISNUMBER(INDEX(rMed2,960)),ISNUMBER(INDEX(rMed,960))),INDEX(rMed,960),NA()))</f>
        <v>236440</v>
      </c>
    </row>
    <row r="963">
      <c r="BX963">
        <f>IF(OR(cMed=0,cMed2=0,961&gt;nFilas),NA(),IF(AND(ISNUMBER(INDEX(rMed2,961)),ISNUMBER(INDEX(rMed,961))),INDEX(rMed2,961),NA()))</f>
        <v>3</v>
      </c>
      <c r="BY963">
        <f>IF(OR(cMed=0,cMed2=0,961&gt;nFilas),NA(),IF(AND(ISNUMBER(INDEX(rMed2,961)),ISNUMBER(INDEX(rMed,961))),INDEX(rMed,961),NA()))</f>
        <v>231495</v>
      </c>
    </row>
    <row r="964">
      <c r="BX964">
        <f>IF(OR(cMed=0,cMed2=0,962&gt;nFilas),NA(),IF(AND(ISNUMBER(INDEX(rMed2,962)),ISNUMBER(INDEX(rMed,962))),INDEX(rMed2,962),NA()))</f>
        <v>2</v>
      </c>
      <c r="BY964">
        <f>IF(OR(cMed=0,cMed2=0,962&gt;nFilas),NA(),IF(AND(ISNUMBER(INDEX(rMed2,962)),ISNUMBER(INDEX(rMed,962))),INDEX(rMed,962),NA()))</f>
        <v>1393800</v>
      </c>
    </row>
    <row r="965">
      <c r="BX965">
        <f>IF(OR(cMed=0,cMed2=0,963&gt;nFilas),NA(),IF(AND(ISNUMBER(INDEX(rMed2,963)),ISNUMBER(INDEX(rMed,963))),INDEX(rMed2,963),NA()))</f>
        <v>4</v>
      </c>
      <c r="BY965">
        <f>IF(OR(cMed=0,cMed2=0,963&gt;nFilas),NA(),IF(AND(ISNUMBER(INDEX(rMed2,963)),ISNUMBER(INDEX(rMed,963))),INDEX(rMed,963),NA()))</f>
        <v>622380</v>
      </c>
    </row>
    <row r="966">
      <c r="BX966">
        <f>IF(OR(cMed=0,cMed2=0,964&gt;nFilas),NA(),IF(AND(ISNUMBER(INDEX(rMed2,964)),ISNUMBER(INDEX(rMed,964))),INDEX(rMed2,964),NA()))</f>
        <v>3</v>
      </c>
      <c r="BY966">
        <f>IF(OR(cMed=0,cMed2=0,964&gt;nFilas),NA(),IF(AND(ISNUMBER(INDEX(rMed2,964)),ISNUMBER(INDEX(rMed,964))),INDEX(rMed,964),NA()))</f>
        <v>319815</v>
      </c>
    </row>
    <row r="967">
      <c r="BX967">
        <f>IF(OR(cMed=0,cMed2=0,965&gt;nFilas),NA(),IF(AND(ISNUMBER(INDEX(rMed2,965)),ISNUMBER(INDEX(rMed,965))),INDEX(rMed2,965),NA()))</f>
        <v>5</v>
      </c>
      <c r="BY967">
        <f>IF(OR(cMed=0,cMed2=0,965&gt;nFilas),NA(),IF(AND(ISNUMBER(INDEX(rMed2,965)),ISNUMBER(INDEX(rMed,965))),INDEX(rMed,965),NA()))</f>
        <v>4298125</v>
      </c>
    </row>
    <row r="968">
      <c r="BX968">
        <f>IF(OR(cMed=0,cMed2=0,966&gt;nFilas),NA(),IF(AND(ISNUMBER(INDEX(rMed2,966)),ISNUMBER(INDEX(rMed,966))),INDEX(rMed2,966),NA()))</f>
        <v>3</v>
      </c>
      <c r="BY968">
        <f>IF(OR(cMed=0,cMed2=0,966&gt;nFilas),NA(),IF(AND(ISNUMBER(INDEX(rMed2,966)),ISNUMBER(INDEX(rMed,966))),INDEX(rMed,966),NA()))</f>
        <v>2967000</v>
      </c>
    </row>
    <row r="969">
      <c r="BX969">
        <f>IF(OR(cMed=0,cMed2=0,967&gt;nFilas),NA(),IF(AND(ISNUMBER(INDEX(rMed2,967)),ISNUMBER(INDEX(rMed,967))),INDEX(rMed2,967),NA()))</f>
        <v>3</v>
      </c>
      <c r="BY969">
        <f>IF(OR(cMed=0,cMed2=0,967&gt;nFilas),NA(),IF(AND(ISNUMBER(INDEX(rMed2,967)),ISNUMBER(INDEX(rMed,967))),INDEX(rMed,967),NA()))</f>
        <v>274620</v>
      </c>
    </row>
    <row r="970">
      <c r="BX970">
        <f>IF(OR(cMed=0,cMed2=0,968&gt;nFilas),NA(),IF(AND(ISNUMBER(INDEX(rMed2,968)),ISNUMBER(INDEX(rMed,968))),INDEX(rMed2,968),NA()))</f>
        <v>5</v>
      </c>
      <c r="BY970">
        <f>IF(OR(cMed=0,cMed2=0,968&gt;nFilas),NA(),IF(AND(ISNUMBER(INDEX(rMed2,968)),ISNUMBER(INDEX(rMed,968))),INDEX(rMed,968),NA()))</f>
        <v>650000</v>
      </c>
    </row>
    <row r="971">
      <c r="BX971">
        <f>IF(OR(cMed=0,cMed2=0,969&gt;nFilas),NA(),IF(AND(ISNUMBER(INDEX(rMed2,969)),ISNUMBER(INDEX(rMed,969))),INDEX(rMed2,969),NA()))</f>
        <v>4</v>
      </c>
      <c r="BY971">
        <f>IF(OR(cMed=0,cMed2=0,969&gt;nFilas),NA(),IF(AND(ISNUMBER(INDEX(rMed2,969)),ISNUMBER(INDEX(rMed,969))),INDEX(rMed,969),NA()))</f>
        <v>4235200</v>
      </c>
    </row>
    <row r="972">
      <c r="BX972">
        <f>IF(OR(cMed=0,cMed2=0,970&gt;nFilas),NA(),IF(AND(ISNUMBER(INDEX(rMed2,970)),ISNUMBER(INDEX(rMed,970))),INDEX(rMed2,970),NA()))</f>
        <v>4</v>
      </c>
      <c r="BY972">
        <f>IF(OR(cMed=0,cMed2=0,970&gt;nFilas),NA(),IF(AND(ISNUMBER(INDEX(rMed2,970)),ISNUMBER(INDEX(rMed,970))),INDEX(rMed,970),NA()))</f>
        <v>4348800</v>
      </c>
    </row>
    <row r="973">
      <c r="BX973">
        <f>IF(OR(cMed=0,cMed2=0,971&gt;nFilas),NA(),IF(AND(ISNUMBER(INDEX(rMed2,971)),ISNUMBER(INDEX(rMed,971))),INDEX(rMed2,971),NA()))</f>
        <v>2</v>
      </c>
      <c r="BY973">
        <f>IF(OR(cMed=0,cMed2=0,971&gt;nFilas),NA(),IF(AND(ISNUMBER(INDEX(rMed2,971)),ISNUMBER(INDEX(rMed,971))),INDEX(rMed,971),NA()))</f>
        <v>158800</v>
      </c>
    </row>
    <row r="974">
      <c r="BX974">
        <f>IF(OR(cMed=0,cMed2=0,972&gt;nFilas),NA(),IF(AND(ISNUMBER(INDEX(rMed2,972)),ISNUMBER(INDEX(rMed,972))),INDEX(rMed2,972),NA()))</f>
        <v>3</v>
      </c>
      <c r="BY974">
        <f>IF(OR(cMed=0,cMed2=0,972&gt;nFilas),NA(),IF(AND(ISNUMBER(INDEX(rMed2,972)),ISNUMBER(INDEX(rMed,972))),INDEX(rMed,972),NA()))</f>
        <v>204000</v>
      </c>
    </row>
    <row r="975">
      <c r="BX975">
        <f>IF(OR(cMed=0,cMed2=0,973&gt;nFilas),NA(),IF(AND(ISNUMBER(INDEX(rMed2,973)),ISNUMBER(INDEX(rMed,973))),INDEX(rMed2,973),NA()))</f>
        <v>1</v>
      </c>
      <c r="BY975">
        <f>IF(OR(cMed=0,cMed2=0,973&gt;nFilas),NA(),IF(AND(ISNUMBER(INDEX(rMed2,973)),ISNUMBER(INDEX(rMed,973))),INDEX(rMed,973),NA()))</f>
        <v>159800</v>
      </c>
    </row>
    <row r="976">
      <c r="BX976">
        <f>IF(OR(cMed=0,cMed2=0,974&gt;nFilas),NA(),IF(AND(ISNUMBER(INDEX(rMed2,974)),ISNUMBER(INDEX(rMed,974))),INDEX(rMed2,974),NA()))</f>
        <v>2</v>
      </c>
      <c r="BY976">
        <f>IF(OR(cMed=0,cMed2=0,974&gt;nFilas),NA(),IF(AND(ISNUMBER(INDEX(rMed2,974)),ISNUMBER(INDEX(rMed,974))),INDEX(rMed,974),NA()))</f>
        <v>224000</v>
      </c>
    </row>
    <row r="977">
      <c r="BX977">
        <f>IF(OR(cMed=0,cMed2=0,975&gt;nFilas),NA(),IF(AND(ISNUMBER(INDEX(rMed2,975)),ISNUMBER(INDEX(rMed,975))),INDEX(rMed2,975),NA()))</f>
        <v>4</v>
      </c>
      <c r="BY977">
        <f>IF(OR(cMed=0,cMed2=0,975&gt;nFilas),NA(),IF(AND(ISNUMBER(INDEX(rMed2,975)),ISNUMBER(INDEX(rMed,975))),INDEX(rMed,975),NA()))</f>
        <v>399200</v>
      </c>
    </row>
    <row r="978">
      <c r="BX978">
        <f>IF(OR(cMed=0,cMed2=0,976&gt;nFilas),NA(),IF(AND(ISNUMBER(INDEX(rMed2,976)),ISNUMBER(INDEX(rMed,976))),INDEX(rMed2,976),NA()))</f>
        <v>2</v>
      </c>
      <c r="BY978">
        <f>IF(OR(cMed=0,cMed2=0,976&gt;nFilas),NA(),IF(AND(ISNUMBER(INDEX(rMed2,976)),ISNUMBER(INDEX(rMed,976))),INDEX(rMed,976),NA()))</f>
        <v>181000</v>
      </c>
    </row>
    <row r="979">
      <c r="BX979">
        <f>IF(OR(cMed=0,cMed2=0,977&gt;nFilas),NA(),IF(AND(ISNUMBER(INDEX(rMed2,977)),ISNUMBER(INDEX(rMed,977))),INDEX(rMed2,977),NA()))</f>
        <v>5</v>
      </c>
      <c r="BY979">
        <f>IF(OR(cMed=0,cMed2=0,977&gt;nFilas),NA(),IF(AND(ISNUMBER(INDEX(rMed2,977)),ISNUMBER(INDEX(rMed,977))),INDEX(rMed,977),NA()))</f>
        <v>568500</v>
      </c>
    </row>
    <row r="980">
      <c r="BX980">
        <f>IF(OR(cMed=0,cMed2=0,978&gt;nFilas),NA(),IF(AND(ISNUMBER(INDEX(rMed2,978)),ISNUMBER(INDEX(rMed,978))),INDEX(rMed2,978),NA()))</f>
        <v>5</v>
      </c>
      <c r="BY980">
        <f>IF(OR(cMed=0,cMed2=0,978&gt;nFilas),NA(),IF(AND(ISNUMBER(INDEX(rMed2,978)),ISNUMBER(INDEX(rMed,978))),INDEX(rMed,978),NA()))</f>
        <v>753500</v>
      </c>
    </row>
    <row r="981">
      <c r="BX981">
        <f>IF(OR(cMed=0,cMed2=0,979&gt;nFilas),NA(),IF(AND(ISNUMBER(INDEX(rMed2,979)),ISNUMBER(INDEX(rMed,979))),INDEX(rMed2,979),NA()))</f>
        <v>5</v>
      </c>
      <c r="BY981">
        <f>IF(OR(cMed=0,cMed2=0,979&gt;nFilas),NA(),IF(AND(ISNUMBER(INDEX(rMed2,979)),ISNUMBER(INDEX(rMed,979))),INDEX(rMed,979),NA()))</f>
        <v>314500</v>
      </c>
    </row>
    <row r="982">
      <c r="BX982">
        <f>IF(OR(cMed=0,cMed2=0,980&gt;nFilas),NA(),IF(AND(ISNUMBER(INDEX(rMed2,980)),ISNUMBER(INDEX(rMed,980))),INDEX(rMed2,980),NA()))</f>
        <v>2</v>
      </c>
      <c r="BY982">
        <f>IF(OR(cMed=0,cMed2=0,980&gt;nFilas),NA(),IF(AND(ISNUMBER(INDEX(rMed2,980)),ISNUMBER(INDEX(rMed,980))),INDEX(rMed,980),NA()))</f>
        <v>157600</v>
      </c>
    </row>
    <row r="983">
      <c r="BX983">
        <f>IF(OR(cMed=0,cMed2=0,981&gt;nFilas),NA(),IF(AND(ISNUMBER(INDEX(rMed2,981)),ISNUMBER(INDEX(rMed,981))),INDEX(rMed2,981),NA()))</f>
        <v>3</v>
      </c>
      <c r="BY983">
        <f>IF(OR(cMed=0,cMed2=0,981&gt;nFilas),NA(),IF(AND(ISNUMBER(INDEX(rMed2,981)),ISNUMBER(INDEX(rMed,981))),INDEX(rMed,981),NA()))</f>
        <v>375720</v>
      </c>
    </row>
    <row r="984">
      <c r="BX984">
        <f>IF(OR(cMed=0,cMed2=0,982&gt;nFilas),NA(),IF(AND(ISNUMBER(INDEX(rMed2,982)),ISNUMBER(INDEX(rMed,982))),INDEX(rMed2,982),NA()))</f>
        <v>2</v>
      </c>
      <c r="BY984">
        <f>IF(OR(cMed=0,cMed2=0,982&gt;nFilas),NA(),IF(AND(ISNUMBER(INDEX(rMed2,982)),ISNUMBER(INDEX(rMed,982))),INDEX(rMed,982),NA()))</f>
        <v>180420</v>
      </c>
    </row>
    <row r="985">
      <c r="BX985">
        <f>IF(OR(cMed=0,cMed2=0,983&gt;nFilas),NA(),IF(AND(ISNUMBER(INDEX(rMed2,983)),ISNUMBER(INDEX(rMed,983))),INDEX(rMed2,983),NA()))</f>
        <v>5</v>
      </c>
      <c r="BY985">
        <f>IF(OR(cMed=0,cMed2=0,983&gt;nFilas),NA(),IF(AND(ISNUMBER(INDEX(rMed2,983)),ISNUMBER(INDEX(rMed,983))),INDEX(rMed,983),NA()))</f>
        <v>986575</v>
      </c>
    </row>
    <row r="986">
      <c r="BX986">
        <f>IF(OR(cMed=0,cMed2=0,984&gt;nFilas),NA(),IF(AND(ISNUMBER(INDEX(rMed2,984)),ISNUMBER(INDEX(rMed,984))),INDEX(rMed2,984),NA()))</f>
        <v>2</v>
      </c>
      <c r="BY986">
        <f>IF(OR(cMed=0,cMed2=0,984&gt;nFilas),NA(),IF(AND(ISNUMBER(INDEX(rMed2,984)),ISNUMBER(INDEX(rMed,984))),INDEX(rMed,984),NA()))</f>
        <v>440820</v>
      </c>
    </row>
    <row r="987">
      <c r="BX987">
        <f>IF(OR(cMed=0,cMed2=0,985&gt;nFilas),NA(),IF(AND(ISNUMBER(INDEX(rMed2,985)),ISNUMBER(INDEX(rMed,985))),INDEX(rMed2,985),NA()))</f>
        <v>2</v>
      </c>
      <c r="BY987">
        <f>IF(OR(cMed=0,cMed2=0,985&gt;nFilas),NA(),IF(AND(ISNUMBER(INDEX(rMed2,985)),ISNUMBER(INDEX(rMed,985))),INDEX(rMed,985),NA()))</f>
        <v>356500</v>
      </c>
    </row>
    <row r="988">
      <c r="BX988">
        <f>IF(OR(cMed=0,cMed2=0,986&gt;nFilas),NA(),IF(AND(ISNUMBER(INDEX(rMed2,986)),ISNUMBER(INDEX(rMed,986))),INDEX(rMed2,986),NA()))</f>
        <v>2</v>
      </c>
      <c r="BY988">
        <f>IF(OR(cMed=0,cMed2=0,986&gt;nFilas),NA(),IF(AND(ISNUMBER(INDEX(rMed2,986)),ISNUMBER(INDEX(rMed,986))),INDEX(rMed,986),NA()))</f>
        <v>152210</v>
      </c>
    </row>
    <row r="989">
      <c r="BX989">
        <f>IF(OR(cMed=0,cMed2=0,987&gt;nFilas),NA(),IF(AND(ISNUMBER(INDEX(rMed2,987)),ISNUMBER(INDEX(rMed,987))),INDEX(rMed2,987),NA()))</f>
        <v>2</v>
      </c>
      <c r="BY989">
        <f>IF(OR(cMed=0,cMed2=0,987&gt;nFilas),NA(),IF(AND(ISNUMBER(INDEX(rMed2,987)),ISNUMBER(INDEX(rMed,987))),INDEX(rMed,987),NA()))</f>
        <v>358980</v>
      </c>
    </row>
    <row r="990">
      <c r="BX990">
        <f>IF(OR(cMed=0,cMed2=0,988&gt;nFilas),NA(),IF(AND(ISNUMBER(INDEX(rMed2,988)),ISNUMBER(INDEX(rMed,988))),INDEX(rMed2,988),NA()))</f>
        <v>1</v>
      </c>
      <c r="BY990">
        <f>IF(OR(cMed=0,cMed2=0,988&gt;nFilas),NA(),IF(AND(ISNUMBER(INDEX(rMed2,988)),ISNUMBER(INDEX(rMed,988))),INDEX(rMed,988),NA()))</f>
        <v>284735</v>
      </c>
    </row>
    <row r="991">
      <c r="BX991">
        <f>IF(OR(cMed=0,cMed2=0,989&gt;nFilas),NA(),IF(AND(ISNUMBER(INDEX(rMed2,989)),ISNUMBER(INDEX(rMed,989))),INDEX(rMed2,989),NA()))</f>
        <v>1</v>
      </c>
      <c r="BY991">
        <f>IF(OR(cMed=0,cMed2=0,989&gt;nFilas),NA(),IF(AND(ISNUMBER(INDEX(rMed2,989)),ISNUMBER(INDEX(rMed,989))),INDEX(rMed,989),NA()))</f>
        <v>325965</v>
      </c>
    </row>
    <row r="992">
      <c r="BX992">
        <f>IF(OR(cMed=0,cMed2=0,990&gt;nFilas),NA(),IF(AND(ISNUMBER(INDEX(rMed2,990)),ISNUMBER(INDEX(rMed,990))),INDEX(rMed2,990),NA()))</f>
        <v>4</v>
      </c>
      <c r="BY992">
        <f>IF(OR(cMed=0,cMed2=0,990&gt;nFilas),NA(),IF(AND(ISNUMBER(INDEX(rMed2,990)),ISNUMBER(INDEX(rMed,990))),INDEX(rMed,990),NA()))</f>
        <v>1082520</v>
      </c>
    </row>
    <row r="993">
      <c r="BX993">
        <f>IF(OR(cMed=0,cMed2=0,991&gt;nFilas),NA(),IF(AND(ISNUMBER(INDEX(rMed2,991)),ISNUMBER(INDEX(rMed,991))),INDEX(rMed2,991),NA()))</f>
        <v>3</v>
      </c>
      <c r="BY993">
        <f>IF(OR(cMed=0,cMed2=0,991&gt;nFilas),NA(),IF(AND(ISNUMBER(INDEX(rMed2,991)),ISNUMBER(INDEX(rMed,991))),INDEX(rMed,991),NA()))</f>
        <v>530100</v>
      </c>
    </row>
    <row r="994">
      <c r="BX994">
        <f>IF(OR(cMed=0,cMed2=0,992&gt;nFilas),NA(),IF(AND(ISNUMBER(INDEX(rMed2,992)),ISNUMBER(INDEX(rMed,992))),INDEX(rMed2,992),NA()))</f>
        <v>3</v>
      </c>
      <c r="BY994">
        <f>IF(OR(cMed=0,cMed2=0,992&gt;nFilas),NA(),IF(AND(ISNUMBER(INDEX(rMed2,992)),ISNUMBER(INDEX(rMed,992))),INDEX(rMed,992),NA()))</f>
        <v>498945</v>
      </c>
    </row>
    <row r="995">
      <c r="BX995">
        <f>IF(OR(cMed=0,cMed2=0,993&gt;nFilas),NA(),IF(AND(ISNUMBER(INDEX(rMed2,993)),ISNUMBER(INDEX(rMed,993))),INDEX(rMed2,993),NA()))</f>
        <v>4</v>
      </c>
      <c r="BY995">
        <f>IF(OR(cMed=0,cMed2=0,993&gt;nFilas),NA(),IF(AND(ISNUMBER(INDEX(rMed2,993)),ISNUMBER(INDEX(rMed,993))),INDEX(rMed,993),NA()))</f>
        <v>993860</v>
      </c>
    </row>
    <row r="996">
      <c r="BX996">
        <f>IF(OR(cMed=0,cMed2=0,994&gt;nFilas),NA(),IF(AND(ISNUMBER(INDEX(rMed2,994)),ISNUMBER(INDEX(rMed,994))),INDEX(rMed2,994),NA()))</f>
        <v>3</v>
      </c>
      <c r="BY996">
        <f>IF(OR(cMed=0,cMed2=0,994&gt;nFilas),NA(),IF(AND(ISNUMBER(INDEX(rMed2,994)),ISNUMBER(INDEX(rMed,994))),INDEX(rMed,994),NA()))</f>
        <v>3146655</v>
      </c>
    </row>
    <row r="997">
      <c r="BX997">
        <f>IF(OR(cMed=0,cMed2=0,995&gt;nFilas),NA(),IF(AND(ISNUMBER(INDEX(rMed2,995)),ISNUMBER(INDEX(rMed,995))),INDEX(rMed2,995),NA()))</f>
        <v>2</v>
      </c>
      <c r="BY997">
        <f>IF(OR(cMed=0,cMed2=0,995&gt;nFilas),NA(),IF(AND(ISNUMBER(INDEX(rMed2,995)),ISNUMBER(INDEX(rMed,995))),INDEX(rMed,995),NA()))</f>
        <v>173600</v>
      </c>
    </row>
    <row r="998">
      <c r="BX998">
        <f>IF(OR(cMed=0,cMed2=0,996&gt;nFilas),NA(),IF(AND(ISNUMBER(INDEX(rMed2,996)),ISNUMBER(INDEX(rMed,996))),INDEX(rMed2,996),NA()))</f>
        <v>5</v>
      </c>
      <c r="BY998">
        <f>IF(OR(cMed=0,cMed2=0,996&gt;nFilas),NA(),IF(AND(ISNUMBER(INDEX(rMed2,996)),ISNUMBER(INDEX(rMed,996))),INDEX(rMed,996),NA()))</f>
        <v>712225</v>
      </c>
    </row>
    <row r="999">
      <c r="BX999">
        <f>IF(OR(cMed=0,cMed2=0,997&gt;nFilas),NA(),IF(AND(ISNUMBER(INDEX(rMed2,997)),ISNUMBER(INDEX(rMed,997))),INDEX(rMed2,997),NA()))</f>
        <v>5</v>
      </c>
      <c r="BY999">
        <f>IF(OR(cMed=0,cMed2=0,997&gt;nFilas),NA(),IF(AND(ISNUMBER(INDEX(rMed2,997)),ISNUMBER(INDEX(rMed,997))),INDEX(rMed,997),NA()))</f>
        <v>5713300</v>
      </c>
    </row>
    <row r="1000">
      <c r="BX1000">
        <f>IF(OR(cMed=0,cMed2=0,998&gt;nFilas),NA(),IF(AND(ISNUMBER(INDEX(rMed2,998)),ISNUMBER(INDEX(rMed,998))),INDEX(rMed2,998),NA()))</f>
        <v>1</v>
      </c>
      <c r="BY1000">
        <f>IF(OR(cMed=0,cMed2=0,998&gt;nFilas),NA(),IF(AND(ISNUMBER(INDEX(rMed2,998)),ISNUMBER(INDEX(rMed,998))),INDEX(rMed,998),NA()))</f>
        <v>1264335</v>
      </c>
    </row>
    <row r="1001">
      <c r="BX1001">
        <f>IF(OR(cMed=0,cMed2=0,999&gt;nFilas),NA(),IF(AND(ISNUMBER(INDEX(rMed2,999)),ISNUMBER(INDEX(rMed,999))),INDEX(rMed2,999),NA()))</f>
        <v>3</v>
      </c>
      <c r="BY1001">
        <f>IF(OR(cMed=0,cMed2=0,999&gt;nFilas),NA(),IF(AND(ISNUMBER(INDEX(rMed2,999)),ISNUMBER(INDEX(rMed,999))),INDEX(rMed,999),NA()))</f>
        <v>482670</v>
      </c>
    </row>
    <row r="1002">
      <c r="BX1002">
        <f>IF(OR(cMed=0,cMed2=0,1000&gt;nFilas),NA(),IF(AND(ISNUMBER(INDEX(rMed2,1000)),ISNUMBER(INDEX(rMed,1000))),INDEX(rMed2,1000),NA()))</f>
        <v>1</v>
      </c>
      <c r="BY1002">
        <f>IF(OR(cMed=0,cMed2=0,1000&gt;nFilas),NA(),IF(AND(ISNUMBER(INDEX(rMed2,1000)),ISNUMBER(INDEX(rMed,1000))),INDEX(rMed,1000),NA()))</f>
        <v>104580</v>
      </c>
    </row>
    <row r="1003">
      <c r="BX1003">
        <f>IF(OR(cMed=0,cMed2=0,1001&gt;nFilas),NA(),IF(AND(ISNUMBER(INDEX(rMed2,1001)),ISNUMBER(INDEX(rMed,1001))),INDEX(rMed2,1001),NA()))</f>
        <v>4</v>
      </c>
      <c r="BY1003">
        <f>IF(OR(cMed=0,cMed2=0,1001&gt;nFilas),NA(),IF(AND(ISNUMBER(INDEX(rMed2,1001)),ISNUMBER(INDEX(rMed,1001))),INDEX(rMed,1001),NA()))</f>
        <v>396480</v>
      </c>
    </row>
    <row r="1004">
      <c r="BX1004">
        <f>IF(OR(cMed=0,cMed2=0,1002&gt;nFilas),NA(),IF(AND(ISNUMBER(INDEX(rMed2,1002)),ISNUMBER(INDEX(rMed,1002))),INDEX(rMed2,1002),NA()))</f>
        <v>4</v>
      </c>
      <c r="BY1004">
        <f>IF(OR(cMed=0,cMed2=0,1002&gt;nFilas),NA(),IF(AND(ISNUMBER(INDEX(rMed2,1002)),ISNUMBER(INDEX(rMed,1002))),INDEX(rMed,1002),NA()))</f>
        <v>491680</v>
      </c>
    </row>
    <row r="1005">
      <c r="BX1005">
        <f>IF(OR(cMed=0,cMed2=0,1003&gt;nFilas),NA(),IF(AND(ISNUMBER(INDEX(rMed2,1003)),ISNUMBER(INDEX(rMed,1003))),INDEX(rMed2,1003),NA()))</f>
        <v>1</v>
      </c>
      <c r="BY1005">
        <f>IF(OR(cMed=0,cMed2=0,1003&gt;nFilas),NA(),IF(AND(ISNUMBER(INDEX(rMed2,1003)),ISNUMBER(INDEX(rMed,1003))),INDEX(rMed,1003),NA()))</f>
        <v>130900</v>
      </c>
    </row>
    <row r="1006">
      <c r="BX1006">
        <f>IF(OR(cMed=0,cMed2=0,1004&gt;nFilas),NA(),IF(AND(ISNUMBER(INDEX(rMed2,1004)),ISNUMBER(INDEX(rMed,1004))),INDEX(rMed2,1004),NA()))</f>
        <v>4</v>
      </c>
      <c r="BY1006">
        <f>IF(OR(cMed=0,cMed2=0,1004&gt;nFilas),NA(),IF(AND(ISNUMBER(INDEX(rMed2,1004)),ISNUMBER(INDEX(rMed,1004))),INDEX(rMed,1004),NA()))</f>
        <v>479920</v>
      </c>
    </row>
    <row r="1007">
      <c r="BX1007">
        <f>IF(OR(cMed=0,cMed2=0,1005&gt;nFilas),NA(),IF(AND(ISNUMBER(INDEX(rMed2,1005)),ISNUMBER(INDEX(rMed,1005))),INDEX(rMed2,1005),NA()))</f>
        <v>2</v>
      </c>
      <c r="BY1007">
        <f>IF(OR(cMed=0,cMed2=0,1005&gt;nFilas),NA(),IF(AND(ISNUMBER(INDEX(rMed2,1005)),ISNUMBER(INDEX(rMed,1005))),INDEX(rMed,1005),NA()))</f>
        <v>1894760</v>
      </c>
    </row>
    <row r="1008">
      <c r="BX1008">
        <f>IF(OR(cMed=0,cMed2=0,1006&gt;nFilas),NA(),IF(AND(ISNUMBER(INDEX(rMed2,1006)),ISNUMBER(INDEX(rMed,1006))),INDEX(rMed2,1006),NA()))</f>
        <v>2</v>
      </c>
      <c r="BY1008">
        <f>IF(OR(cMed=0,cMed2=0,1006&gt;nFilas),NA(),IF(AND(ISNUMBER(INDEX(rMed2,1006)),ISNUMBER(INDEX(rMed,1006))),INDEX(rMed,1006),NA()))</f>
        <v>406840</v>
      </c>
    </row>
    <row r="1009">
      <c r="BX1009">
        <f>IF(OR(cMed=0,cMed2=0,1007&gt;nFilas),NA(),IF(AND(ISNUMBER(INDEX(rMed2,1007)),ISNUMBER(INDEX(rMed,1007))),INDEX(rMed2,1007),NA()))</f>
        <v>4</v>
      </c>
      <c r="BY1009">
        <f>IF(OR(cMed=0,cMed2=0,1007&gt;nFilas),NA(),IF(AND(ISNUMBER(INDEX(rMed2,1007)),ISNUMBER(INDEX(rMed,1007))),INDEX(rMed,1007),NA()))</f>
        <v>438480</v>
      </c>
    </row>
    <row r="1010">
      <c r="BX1010">
        <f>IF(OR(cMed=0,cMed2=0,1008&gt;nFilas),NA(),IF(AND(ISNUMBER(INDEX(rMed2,1008)),ISNUMBER(INDEX(rMed,1008))),INDEX(rMed2,1008),NA()))</f>
        <v>2</v>
      </c>
      <c r="BY1010">
        <f>IF(OR(cMed=0,cMed2=0,1008&gt;nFilas),NA(),IF(AND(ISNUMBER(INDEX(rMed2,1008)),ISNUMBER(INDEX(rMed,1008))),INDEX(rMed,1008),NA()))</f>
        <v>733040</v>
      </c>
    </row>
    <row r="1011">
      <c r="BX1011">
        <f>IF(OR(cMed=0,cMed2=0,1009&gt;nFilas),NA(),IF(AND(ISNUMBER(INDEX(rMed2,1009)),ISNUMBER(INDEX(rMed,1009))),INDEX(rMed2,1009),NA()))</f>
        <v>2</v>
      </c>
      <c r="BY1011">
        <f>IF(OR(cMed=0,cMed2=0,1009&gt;nFilas),NA(),IF(AND(ISNUMBER(INDEX(rMed2,1009)),ISNUMBER(INDEX(rMed,1009))),INDEX(rMed,1009),NA()))</f>
        <v>1865360</v>
      </c>
    </row>
    <row r="1012">
      <c r="BX1012">
        <f>IF(OR(cMed=0,cMed2=0,1010&gt;nFilas),NA(),IF(AND(ISNUMBER(INDEX(rMed2,1010)),ISNUMBER(INDEX(rMed,1010))),INDEX(rMed2,1010),NA()))</f>
        <v>1</v>
      </c>
      <c r="BY1012">
        <f>IF(OR(cMed=0,cMed2=0,1010&gt;nFilas),NA(),IF(AND(ISNUMBER(INDEX(rMed2,1010)),ISNUMBER(INDEX(rMed,1010))),INDEX(rMed,1010),NA()))</f>
        <v>144060</v>
      </c>
    </row>
    <row r="1013">
      <c r="BX1013">
        <f>IF(OR(cMed=0,cMed2=0,1011&gt;nFilas),NA(),IF(AND(ISNUMBER(INDEX(rMed2,1011)),ISNUMBER(INDEX(rMed,1011))),INDEX(rMed2,1011),NA()))</f>
        <v>2</v>
      </c>
      <c r="BY1013">
        <f>IF(OR(cMed=0,cMed2=0,1011&gt;nFilas),NA(),IF(AND(ISNUMBER(INDEX(rMed2,1011)),ISNUMBER(INDEX(rMed,1011))),INDEX(rMed,1011),NA()))</f>
        <v>241080</v>
      </c>
    </row>
    <row r="1014">
      <c r="BX1014">
        <f>IF(OR(cMed=0,cMed2=0,1012&gt;nFilas),NA(),IF(AND(ISNUMBER(INDEX(rMed2,1012)),ISNUMBER(INDEX(rMed,1012))),INDEX(rMed2,1012),NA()))</f>
        <v>3</v>
      </c>
      <c r="BY1014">
        <f>IF(OR(cMed=0,cMed2=0,1012&gt;nFilas),NA(),IF(AND(ISNUMBER(INDEX(rMed2,1012)),ISNUMBER(INDEX(rMed,1012))),INDEX(rMed,1012),NA()))</f>
        <v>4003860</v>
      </c>
    </row>
    <row r="1015">
      <c r="BX1015">
        <f>IF(OR(cMed=0,cMed2=0,1013&gt;nFilas),NA(),IF(AND(ISNUMBER(INDEX(rMed2,1013)),ISNUMBER(INDEX(rMed,1013))),INDEX(rMed2,1013),NA()))</f>
        <v>1</v>
      </c>
      <c r="BY1015">
        <f>IF(OR(cMed=0,cMed2=0,1013&gt;nFilas),NA(),IF(AND(ISNUMBER(INDEX(rMed2,1013)),ISNUMBER(INDEX(rMed,1013))),INDEX(rMed,1013),NA()))</f>
        <v>215180</v>
      </c>
    </row>
    <row r="1016">
      <c r="BX1016">
        <f>IF(OR(cMed=0,cMed2=0,1014&gt;nFilas),NA(),IF(AND(ISNUMBER(INDEX(rMed2,1014)),ISNUMBER(INDEX(rMed,1014))),INDEX(rMed2,1014),NA()))</f>
        <v>3</v>
      </c>
      <c r="BY1016">
        <f>IF(OR(cMed=0,cMed2=0,1014&gt;nFilas),NA(),IF(AND(ISNUMBER(INDEX(rMed2,1014)),ISNUMBER(INDEX(rMed,1014))),INDEX(rMed,1014),NA()))</f>
        <v>604800</v>
      </c>
    </row>
    <row r="1017">
      <c r="BX1017">
        <f>IF(OR(cMed=0,cMed2=0,1015&gt;nFilas),NA(),IF(AND(ISNUMBER(INDEX(rMed2,1015)),ISNUMBER(INDEX(rMed,1015))),INDEX(rMed2,1015),NA()))</f>
        <v>5</v>
      </c>
      <c r="BY1017">
        <f>IF(OR(cMed=0,cMed2=0,1015&gt;nFilas),NA(),IF(AND(ISNUMBER(INDEX(rMed2,1015)),ISNUMBER(INDEX(rMed,1015))),INDEX(rMed,1015),NA()))</f>
        <v>623000</v>
      </c>
    </row>
    <row r="1018">
      <c r="BX1018">
        <f>IF(OR(cMed=0,cMed2=0,1016&gt;nFilas),NA(),IF(AND(ISNUMBER(INDEX(rMed2,1016)),ISNUMBER(INDEX(rMed,1016))),INDEX(rMed2,1016),NA()))</f>
        <v>4</v>
      </c>
      <c r="BY1018">
        <f>IF(OR(cMed=0,cMed2=0,1016&gt;nFilas),NA(),IF(AND(ISNUMBER(INDEX(rMed2,1016)),ISNUMBER(INDEX(rMed,1016))),INDEX(rMed,1016),NA()))</f>
        <v>504560</v>
      </c>
    </row>
    <row r="1019">
      <c r="BX1019">
        <f>IF(OR(cMed=0,cMed2=0,1017&gt;nFilas),NA(),IF(AND(ISNUMBER(INDEX(rMed2,1017)),ISNUMBER(INDEX(rMed,1017))),INDEX(rMed2,1017),NA()))</f>
        <v>5</v>
      </c>
      <c r="BY1019">
        <f>IF(OR(cMed=0,cMed2=0,1017&gt;nFilas),NA(),IF(AND(ISNUMBER(INDEX(rMed2,1017)),ISNUMBER(INDEX(rMed,1017))),INDEX(rMed,1017),NA()))</f>
        <v>1516900</v>
      </c>
    </row>
    <row r="1020">
      <c r="BX1020">
        <f>IF(OR(cMed=0,cMed2=0,1018&gt;nFilas),NA(),IF(AND(ISNUMBER(INDEX(rMed2,1018)),ISNUMBER(INDEX(rMed,1018))),INDEX(rMed2,1018),NA()))</f>
        <v>2</v>
      </c>
      <c r="BY1020">
        <f>IF(OR(cMed=0,cMed2=0,1018&gt;nFilas),NA(),IF(AND(ISNUMBER(INDEX(rMed2,1018)),ISNUMBER(INDEX(rMed,1018))),INDEX(rMed,1018),NA()))</f>
        <v>293440</v>
      </c>
    </row>
    <row r="1021">
      <c r="BX1021">
        <f>IF(OR(cMed=0,cMed2=0,1019&gt;nFilas),NA(),IF(AND(ISNUMBER(INDEX(rMed2,1019)),ISNUMBER(INDEX(rMed,1019))),INDEX(rMed2,1019),NA()))</f>
        <v>1</v>
      </c>
      <c r="BY1021">
        <f>IF(OR(cMed=0,cMed2=0,1019&gt;nFilas),NA(),IF(AND(ISNUMBER(INDEX(rMed2,1019)),ISNUMBER(INDEX(rMed,1019))),INDEX(rMed,1019),NA()))</f>
        <v>118730</v>
      </c>
    </row>
    <row r="1022">
      <c r="BX1022">
        <f>IF(OR(cMed=0,cMed2=0,1020&gt;nFilas),NA(),IF(AND(ISNUMBER(INDEX(rMed2,1020)),ISNUMBER(INDEX(rMed,1020))),INDEX(rMed2,1020),NA()))</f>
        <v>4</v>
      </c>
      <c r="BY1022">
        <f>IF(OR(cMed=0,cMed2=0,1020&gt;nFilas),NA(),IF(AND(ISNUMBER(INDEX(rMed2,1020)),ISNUMBER(INDEX(rMed,1020))),INDEX(rMed,1020),NA()))</f>
        <v>1017420</v>
      </c>
    </row>
    <row r="1023">
      <c r="BX1023">
        <f>IF(OR(cMed=0,cMed2=0,1021&gt;nFilas),NA(),IF(AND(ISNUMBER(INDEX(rMed2,1021)),ISNUMBER(INDEX(rMed,1021))),INDEX(rMed2,1021),NA()))</f>
        <v>1</v>
      </c>
      <c r="BY1023">
        <f>IF(OR(cMed=0,cMed2=0,1021&gt;nFilas),NA(),IF(AND(ISNUMBER(INDEX(rMed2,1021)),ISNUMBER(INDEX(rMed,1021))),INDEX(rMed,1021),NA()))</f>
        <v>97960</v>
      </c>
    </row>
    <row r="1024">
      <c r="BX1024">
        <f>IF(OR(cMed=0,cMed2=0,1022&gt;nFilas),NA(),IF(AND(ISNUMBER(INDEX(rMed2,1022)),ISNUMBER(INDEX(rMed,1022))),INDEX(rMed2,1022),NA()))</f>
        <v>2</v>
      </c>
      <c r="BY1024">
        <f>IF(OR(cMed=0,cMed2=0,1022&gt;nFilas),NA(),IF(AND(ISNUMBER(INDEX(rMed2,1022)),ISNUMBER(INDEX(rMed,1022))),INDEX(rMed,1022),NA()))</f>
        <v>195300</v>
      </c>
    </row>
    <row r="1025">
      <c r="BX1025">
        <f>IF(OR(cMed=0,cMed2=0,1023&gt;nFilas),NA(),IF(AND(ISNUMBER(INDEX(rMed2,1023)),ISNUMBER(INDEX(rMed,1023))),INDEX(rMed2,1023),NA()))</f>
        <v>4</v>
      </c>
      <c r="BY1025">
        <f>IF(OR(cMed=0,cMed2=0,1023&gt;nFilas),NA(),IF(AND(ISNUMBER(INDEX(rMed2,1023)),ISNUMBER(INDEX(rMed,1023))),INDEX(rMed,1023),NA()))</f>
        <v>1043460</v>
      </c>
    </row>
    <row r="1026">
      <c r="BX1026">
        <f>IF(OR(cMed=0,cMed2=0,1024&gt;nFilas),NA(),IF(AND(ISNUMBER(INDEX(rMed2,1024)),ISNUMBER(INDEX(rMed,1024))),INDEX(rMed2,1024),NA()))</f>
        <v>3</v>
      </c>
      <c r="BY1026">
        <f>IF(OR(cMed=0,cMed2=0,1024&gt;nFilas),NA(),IF(AND(ISNUMBER(INDEX(rMed2,1024)),ISNUMBER(INDEX(rMed,1024))),INDEX(rMed,1024),NA()))</f>
        <v>3221055</v>
      </c>
    </row>
    <row r="1027">
      <c r="BX1027">
        <f>IF(OR(cMed=0,cMed2=0,1025&gt;nFilas),NA(),IF(AND(ISNUMBER(INDEX(rMed2,1025)),ISNUMBER(INDEX(rMed,1025))),INDEX(rMed2,1025),NA()))</f>
        <v>5</v>
      </c>
      <c r="BY1027">
        <f>IF(OR(cMed=0,cMed2=0,1025&gt;nFilas),NA(),IF(AND(ISNUMBER(INDEX(rMed2,1025)),ISNUMBER(INDEX(rMed,1025))),INDEX(rMed,1025),NA()))</f>
        <v>558000</v>
      </c>
    </row>
    <row r="1028">
      <c r="BX1028">
        <f>IF(OR(cMed=0,cMed2=0,1026&gt;nFilas),NA(),IF(AND(ISNUMBER(INDEX(rMed2,1026)),ISNUMBER(INDEX(rMed,1026))),INDEX(rMed2,1026),NA()))</f>
        <v>5</v>
      </c>
      <c r="BY1028">
        <f>IF(OR(cMed=0,cMed2=0,1026&gt;nFilas),NA(),IF(AND(ISNUMBER(INDEX(rMed2,1026)),ISNUMBER(INDEX(rMed,1026))),INDEX(rMed,1026),NA()))</f>
        <v>1730575</v>
      </c>
    </row>
    <row r="1029">
      <c r="BX1029">
        <f>IF(OR(cMed=0,cMed2=0,1027&gt;nFilas),NA(),IF(AND(ISNUMBER(INDEX(rMed2,1027)),ISNUMBER(INDEX(rMed,1027))),INDEX(rMed2,1027),NA()))</f>
        <v>2</v>
      </c>
      <c r="BY1029">
        <f>IF(OR(cMed=0,cMed2=0,1027&gt;nFilas),NA(),IF(AND(ISNUMBER(INDEX(rMed2,1027)),ISNUMBER(INDEX(rMed,1027))),INDEX(rMed,1027),NA()))</f>
        <v>237460</v>
      </c>
    </row>
    <row r="1030">
      <c r="BX1030">
        <f>IF(OR(cMed=0,cMed2=0,1028&gt;nFilas),NA(),IF(AND(ISNUMBER(INDEX(rMed2,1028)),ISNUMBER(INDEX(rMed,1028))),INDEX(rMed2,1028),NA()))</f>
        <v>2</v>
      </c>
      <c r="BY1030">
        <f>IF(OR(cMed=0,cMed2=0,1028&gt;nFilas),NA(),IF(AND(ISNUMBER(INDEX(rMed2,1028)),ISNUMBER(INDEX(rMed,1028))),INDEX(rMed,1028),NA()))</f>
        <v>2570210</v>
      </c>
    </row>
    <row r="1031">
      <c r="BX1031">
        <f>IF(OR(cMed=0,cMed2=0,1029&gt;nFilas),NA(),IF(AND(ISNUMBER(INDEX(rMed2,1029)),ISNUMBER(INDEX(rMed,1029))),INDEX(rMed2,1029),NA()))</f>
        <v>1</v>
      </c>
      <c r="BY1031">
        <f>IF(OR(cMed=0,cMed2=0,1029&gt;nFilas),NA(),IF(AND(ISNUMBER(INDEX(rMed2,1029)),ISNUMBER(INDEX(rMed,1029))),INDEX(rMed,1029),NA()))</f>
        <v>143375</v>
      </c>
    </row>
    <row r="1032">
      <c r="BX1032">
        <f>IF(OR(cMed=0,cMed2=0,1030&gt;nFilas),NA(),IF(AND(ISNUMBER(INDEX(rMed2,1030)),ISNUMBER(INDEX(rMed,1030))),INDEX(rMed2,1030),NA()))</f>
        <v>3</v>
      </c>
      <c r="BY1032">
        <f>IF(OR(cMed=0,cMed2=0,1030&gt;nFilas),NA(),IF(AND(ISNUMBER(INDEX(rMed2,1030)),ISNUMBER(INDEX(rMed,1030))),INDEX(rMed,1030),NA()))</f>
        <v>4733235</v>
      </c>
    </row>
    <row r="1033">
      <c r="BX1033">
        <f>IF(OR(cMed=0,cMed2=0,1031&gt;nFilas),NA(),IF(AND(ISNUMBER(INDEX(rMed2,1031)),ISNUMBER(INDEX(rMed,1031))),INDEX(rMed2,1031),NA()))</f>
        <v>1</v>
      </c>
      <c r="BY1033">
        <f>IF(OR(cMed=0,cMed2=0,1031&gt;nFilas),NA(),IF(AND(ISNUMBER(INDEX(rMed2,1031)),ISNUMBER(INDEX(rMed,1031))),INDEX(rMed,1031),NA()))</f>
        <v>362855</v>
      </c>
    </row>
    <row r="1034">
      <c r="BX1034">
        <f>IF(OR(cMed=0,cMed2=0,1032&gt;nFilas),NA(),IF(AND(ISNUMBER(INDEX(rMed2,1032)),ISNUMBER(INDEX(rMed,1032))),INDEX(rMed2,1032),NA()))</f>
        <v>2</v>
      </c>
      <c r="BY1034">
        <f>IF(OR(cMed=0,cMed2=0,1032&gt;nFilas),NA(),IF(AND(ISNUMBER(INDEX(rMed2,1032)),ISNUMBER(INDEX(rMed,1032))),INDEX(rMed,1032),NA()))</f>
        <v>242760</v>
      </c>
    </row>
    <row r="1035">
      <c r="BX1035">
        <f>IF(OR(cMed=0,cMed2=0,1033&gt;nFilas),NA(),IF(AND(ISNUMBER(INDEX(rMed2,1033)),ISNUMBER(INDEX(rMed,1033))),INDEX(rMed2,1033),NA()))</f>
        <v>1</v>
      </c>
      <c r="BY1035">
        <f>IF(OR(cMed=0,cMed2=0,1033&gt;nFilas),NA(),IF(AND(ISNUMBER(INDEX(rMed2,1033)),ISNUMBER(INDEX(rMed,1033))),INDEX(rMed,1033),NA()))</f>
        <v>235480</v>
      </c>
    </row>
    <row r="1036">
      <c r="BX1036">
        <f>IF(OR(cMed=0,cMed2=0,1034&gt;nFilas),NA(),IF(AND(ISNUMBER(INDEX(rMed2,1034)),ISNUMBER(INDEX(rMed,1034))),INDEX(rMed2,1034),NA()))</f>
        <v>3</v>
      </c>
      <c r="BY1036">
        <f>IF(OR(cMed=0,cMed2=0,1034&gt;nFilas),NA(),IF(AND(ISNUMBER(INDEX(rMed2,1034)),ISNUMBER(INDEX(rMed,1034))),INDEX(rMed,1034),NA()))</f>
        <v>351960</v>
      </c>
    </row>
    <row r="1037">
      <c r="BX1037">
        <f>IF(OR(cMed=0,cMed2=0,1035&gt;nFilas),NA(),IF(AND(ISNUMBER(INDEX(rMed2,1035)),ISNUMBER(INDEX(rMed,1035))),INDEX(rMed2,1035),NA()))</f>
        <v>3</v>
      </c>
      <c r="BY1037">
        <f>IF(OR(cMed=0,cMed2=0,1035&gt;nFilas),NA(),IF(AND(ISNUMBER(INDEX(rMed2,1035)),ISNUMBER(INDEX(rMed,1035))),INDEX(rMed,1035),NA()))</f>
        <v>383460</v>
      </c>
    </row>
    <row r="1038">
      <c r="BX1038">
        <f>IF(OR(cMed=0,cMed2=0,1036&gt;nFilas),NA(),IF(AND(ISNUMBER(INDEX(rMed2,1036)),ISNUMBER(INDEX(rMed,1036))),INDEX(rMed2,1036),NA()))</f>
        <v>2</v>
      </c>
      <c r="BY1038">
        <f>IF(OR(cMed=0,cMed2=0,1036&gt;nFilas),NA(),IF(AND(ISNUMBER(INDEX(rMed2,1036)),ISNUMBER(INDEX(rMed,1036))),INDEX(rMed,1036),NA()))</f>
        <v>195720</v>
      </c>
    </row>
    <row r="1039">
      <c r="BX1039">
        <f>IF(OR(cMed=0,cMed2=0,1037&gt;nFilas),NA(),IF(AND(ISNUMBER(INDEX(rMed2,1037)),ISNUMBER(INDEX(rMed,1037))),INDEX(rMed2,1037),NA()))</f>
        <v>1</v>
      </c>
      <c r="BY1039">
        <f>IF(OR(cMed=0,cMed2=0,1037&gt;nFilas),NA(),IF(AND(ISNUMBER(INDEX(rMed2,1037)),ISNUMBER(INDEX(rMed,1037))),INDEX(rMed,1037),NA()))</f>
        <v>260400</v>
      </c>
    </row>
    <row r="1040">
      <c r="BX1040">
        <f>IF(OR(cMed=0,cMed2=0,1038&gt;nFilas),NA(),IF(AND(ISNUMBER(INDEX(rMed2,1038)),ISNUMBER(INDEX(rMed,1038))),INDEX(rMed2,1038),NA()))</f>
        <v>5</v>
      </c>
      <c r="BY1040">
        <f>IF(OR(cMed=0,cMed2=0,1038&gt;nFilas),NA(),IF(AND(ISNUMBER(INDEX(rMed2,1038)),ISNUMBER(INDEX(rMed,1038))),INDEX(rMed,1038),NA()))</f>
        <v>640500</v>
      </c>
    </row>
    <row r="1041">
      <c r="BX1041">
        <f>IF(OR(cMed=0,cMed2=0,1039&gt;nFilas),NA(),IF(AND(ISNUMBER(INDEX(rMed2,1039)),ISNUMBER(INDEX(rMed,1039))),INDEX(rMed2,1039),NA()))</f>
        <v>5</v>
      </c>
      <c r="BY1041">
        <f>IF(OR(cMed=0,cMed2=0,1039&gt;nFilas),NA(),IF(AND(ISNUMBER(INDEX(rMed2,1039)),ISNUMBER(INDEX(rMed,1039))),INDEX(rMed,1039),NA()))</f>
        <v>456400</v>
      </c>
    </row>
    <row r="1042">
      <c r="BX1042">
        <f>IF(OR(cMed=0,cMed2=0,1040&gt;nFilas),NA(),IF(AND(ISNUMBER(INDEX(rMed2,1040)),ISNUMBER(INDEX(rMed,1040))),INDEX(rMed2,1040),NA()))</f>
        <v>2</v>
      </c>
      <c r="BY1042">
        <f>IF(OR(cMed=0,cMed2=0,1040&gt;nFilas),NA(),IF(AND(ISNUMBER(INDEX(rMed2,1040)),ISNUMBER(INDEX(rMed,1040))),INDEX(rMed,1040),NA()))</f>
        <v>206080</v>
      </c>
    </row>
    <row r="1043">
      <c r="BX1043">
        <f>IF(OR(cMed=0,cMed2=0,1041&gt;nFilas),NA(),IF(AND(ISNUMBER(INDEX(rMed2,1041)),ISNUMBER(INDEX(rMed,1041))),INDEX(rMed2,1041),NA()))</f>
        <v>5</v>
      </c>
      <c r="BY1043">
        <f>IF(OR(cMed=0,cMed2=0,1041&gt;nFilas),NA(),IF(AND(ISNUMBER(INDEX(rMed2,1041)),ISNUMBER(INDEX(rMed,1041))),INDEX(rMed,1041),NA()))</f>
        <v>875700</v>
      </c>
    </row>
    <row r="1044">
      <c r="BX1044">
        <f>IF(OR(cMed=0,cMed2=0,1042&gt;nFilas),NA(),IF(AND(ISNUMBER(INDEX(rMed2,1042)),ISNUMBER(INDEX(rMed,1042))),INDEX(rMed2,1042),NA()))</f>
        <v>3</v>
      </c>
      <c r="BY1044">
        <f>IF(OR(cMed=0,cMed2=0,1042&gt;nFilas),NA(),IF(AND(ISNUMBER(INDEX(rMed2,1042)),ISNUMBER(INDEX(rMed,1042))),INDEX(rMed,1042),NA()))</f>
        <v>456120</v>
      </c>
    </row>
    <row r="1045">
      <c r="BX1045">
        <f>IF(OR(cMed=0,cMed2=0,1043&gt;nFilas),NA(),IF(AND(ISNUMBER(INDEX(rMed2,1043)),ISNUMBER(INDEX(rMed,1043))),INDEX(rMed2,1043),NA()))</f>
        <v>1</v>
      </c>
      <c r="BY1045">
        <f>IF(OR(cMed=0,cMed2=0,1043&gt;nFilas),NA(),IF(AND(ISNUMBER(INDEX(rMed2,1043)),ISNUMBER(INDEX(rMed,1043))),INDEX(rMed,1043),NA()))</f>
        <v>366940</v>
      </c>
    </row>
    <row r="1046">
      <c r="BX1046">
        <f>IF(OR(cMed=0,cMed2=0,1044&gt;nFilas),NA(),IF(AND(ISNUMBER(INDEX(rMed2,1044)),ISNUMBER(INDEX(rMed,1044))),INDEX(rMed2,1044),NA()))</f>
        <v>2</v>
      </c>
      <c r="BY1046">
        <f>IF(OR(cMed=0,cMed2=0,1044&gt;nFilas),NA(),IF(AND(ISNUMBER(INDEX(rMed2,1044)),ISNUMBER(INDEX(rMed,1044))),INDEX(rMed,1044),NA()))</f>
        <v>240800</v>
      </c>
    </row>
    <row r="1047">
      <c r="BX1047">
        <f>IF(OR(cMed=0,cMed2=0,1045&gt;nFilas),NA(),IF(AND(ISNUMBER(INDEX(rMed2,1045)),ISNUMBER(INDEX(rMed,1045))),INDEX(rMed2,1045),NA()))</f>
        <v>4</v>
      </c>
      <c r="BY1047">
        <f>IF(OR(cMed=0,cMed2=0,1045&gt;nFilas),NA(),IF(AND(ISNUMBER(INDEX(rMed2,1045)),ISNUMBER(INDEX(rMed,1045))),INDEX(rMed,1045),NA()))</f>
        <v>483840</v>
      </c>
    </row>
    <row r="1048">
      <c r="BX1048">
        <f>IF(OR(cMed=0,cMed2=0,1046&gt;nFilas),NA(),IF(AND(ISNUMBER(INDEX(rMed2,1046)),ISNUMBER(INDEX(rMed,1046))),INDEX(rMed2,1046),NA()))</f>
        <v>2</v>
      </c>
      <c r="BY1048">
        <f>IF(OR(cMed=0,cMed2=0,1046&gt;nFilas),NA(),IF(AND(ISNUMBER(INDEX(rMed2,1046)),ISNUMBER(INDEX(rMed,1046))),INDEX(rMed,1046),NA()))</f>
        <v>2572360</v>
      </c>
    </row>
    <row r="1049">
      <c r="BX1049">
        <f>IF(OR(cMed=0,cMed2=0,1047&gt;nFilas),NA(),IF(AND(ISNUMBER(INDEX(rMed2,1047)),ISNUMBER(INDEX(rMed,1047))),INDEX(rMed2,1047),NA()))</f>
        <v>5</v>
      </c>
      <c r="BY1049">
        <f>IF(OR(cMed=0,cMed2=0,1047&gt;nFilas),NA(),IF(AND(ISNUMBER(INDEX(rMed2,1047)),ISNUMBER(INDEX(rMed,1047))),INDEX(rMed,1047),NA()))</f>
        <v>928200</v>
      </c>
    </row>
    <row r="1050">
      <c r="BX1050">
        <f>IF(OR(cMed=0,cMed2=0,1048&gt;nFilas),NA(),IF(AND(ISNUMBER(INDEX(rMed2,1048)),ISNUMBER(INDEX(rMed,1048))),INDEX(rMed2,1048),NA()))</f>
        <v>4</v>
      </c>
      <c r="BY1050">
        <f>IF(OR(cMed=0,cMed2=0,1048&gt;nFilas),NA(),IF(AND(ISNUMBER(INDEX(rMed2,1048)),ISNUMBER(INDEX(rMed,1048))),INDEX(rMed,1048),NA()))</f>
        <v>4407760</v>
      </c>
    </row>
    <row r="1051">
      <c r="BX1051">
        <f>IF(OR(cMed=0,cMed2=0,1049&gt;nFilas),NA(),IF(AND(ISNUMBER(INDEX(rMed2,1049)),ISNUMBER(INDEX(rMed,1049))),INDEX(rMed2,1049),NA()))</f>
        <v>3</v>
      </c>
      <c r="BY1051">
        <f>IF(OR(cMed=0,cMed2=0,1049&gt;nFilas),NA(),IF(AND(ISNUMBER(INDEX(rMed2,1049)),ISNUMBER(INDEX(rMed,1049))),INDEX(rMed,1049),NA()))</f>
        <v>417900</v>
      </c>
    </row>
    <row r="1052">
      <c r="BX1052">
        <f>IF(OR(cMed=0,cMed2=0,1050&gt;nFilas),NA(),IF(AND(ISNUMBER(INDEX(rMed2,1050)),ISNUMBER(INDEX(rMed,1050))),INDEX(rMed2,1050),NA()))</f>
        <v>2</v>
      </c>
      <c r="BY1052">
        <f>IF(OR(cMed=0,cMed2=0,1050&gt;nFilas),NA(),IF(AND(ISNUMBER(INDEX(rMed2,1050)),ISNUMBER(INDEX(rMed,1050))),INDEX(rMed,1050),NA()))</f>
        <v>317240</v>
      </c>
    </row>
    <row r="1053">
      <c r="BX1053">
        <f>IF(OR(cMed=0,cMed2=0,1051&gt;nFilas),NA(),IF(AND(ISNUMBER(INDEX(rMed2,1051)),ISNUMBER(INDEX(rMed,1051))),INDEX(rMed2,1051),NA()))</f>
        <v>3</v>
      </c>
      <c r="BY1053">
        <f>IF(OR(cMed=0,cMed2=0,1051&gt;nFilas),NA(),IF(AND(ISNUMBER(INDEX(rMed2,1051)),ISNUMBER(INDEX(rMed,1051))),INDEX(rMed,1051),NA()))</f>
        <v>1091820</v>
      </c>
    </row>
    <row r="1054">
      <c r="BX1054">
        <f>IF(OR(cMed=0,cMed2=0,1052&gt;nFilas),NA(),IF(AND(ISNUMBER(INDEX(rMed2,1052)),ISNUMBER(INDEX(rMed,1052))),INDEX(rMed2,1052),NA()))</f>
        <v>1</v>
      </c>
      <c r="BY1054">
        <f>IF(OR(cMed=0,cMed2=0,1052&gt;nFilas),NA(),IF(AND(ISNUMBER(INDEX(rMed2,1052)),ISNUMBER(INDEX(rMed,1052))),INDEX(rMed,1052),NA()))</f>
        <v>101680</v>
      </c>
    </row>
    <row r="1055">
      <c r="BX1055">
        <f>IF(OR(cMed=0,cMed2=0,1053&gt;nFilas),NA(),IF(AND(ISNUMBER(INDEX(rMed2,1053)),ISNUMBER(INDEX(rMed,1053))),INDEX(rMed2,1053),NA()))</f>
        <v>3</v>
      </c>
      <c r="BY1055">
        <f>IF(OR(cMed=0,cMed2=0,1053&gt;nFilas),NA(),IF(AND(ISNUMBER(INDEX(rMed2,1053)),ISNUMBER(INDEX(rMed,1053))),INDEX(rMed,1053),NA()))</f>
        <v>442215</v>
      </c>
    </row>
    <row r="1056">
      <c r="BX1056">
        <f>IF(OR(cMed=0,cMed2=0,1054&gt;nFilas),NA(),IF(AND(ISNUMBER(INDEX(rMed2,1054)),ISNUMBER(INDEX(rMed,1054))),INDEX(rMed2,1054),NA()))</f>
        <v>2</v>
      </c>
      <c r="BY1056">
        <f>IF(OR(cMed=0,cMed2=0,1054&gt;nFilas),NA(),IF(AND(ISNUMBER(INDEX(rMed2,1054)),ISNUMBER(INDEX(rMed,1054))),INDEX(rMed,1054),NA()))</f>
        <v>443920</v>
      </c>
    </row>
    <row r="1057">
      <c r="BX1057">
        <f>IF(OR(cMed=0,cMed2=0,1055&gt;nFilas),NA(),IF(AND(ISNUMBER(INDEX(rMed2,1055)),ISNUMBER(INDEX(rMed,1055))),INDEX(rMed2,1055),NA()))</f>
        <v>2</v>
      </c>
      <c r="BY1057">
        <f>IF(OR(cMed=0,cMed2=0,1055&gt;nFilas),NA(),IF(AND(ISNUMBER(INDEX(rMed2,1055)),ISNUMBER(INDEX(rMed,1055))),INDEX(rMed,1055),NA()))</f>
        <v>3197650</v>
      </c>
    </row>
    <row r="1058">
      <c r="BX1058">
        <f>IF(OR(cMed=0,cMed2=0,1056&gt;nFilas),NA(),IF(AND(ISNUMBER(INDEX(rMed2,1056)),ISNUMBER(INDEX(rMed,1056))),INDEX(rMed2,1056),NA()))</f>
        <v>2</v>
      </c>
      <c r="BY1058">
        <f>IF(OR(cMed=0,cMed2=0,1056&gt;nFilas),NA(),IF(AND(ISNUMBER(INDEX(rMed2,1056)),ISNUMBER(INDEX(rMed,1056))),INDEX(rMed,1056),NA()))</f>
        <v>516770</v>
      </c>
    </row>
    <row r="1059">
      <c r="BX1059">
        <f>IF(OR(cMed=0,cMed2=0,1057&gt;nFilas),NA(),IF(AND(ISNUMBER(INDEX(rMed2,1057)),ISNUMBER(INDEX(rMed,1057))),INDEX(rMed2,1057),NA()))</f>
        <v>4</v>
      </c>
      <c r="BY1059">
        <f>IF(OR(cMed=0,cMed2=0,1057&gt;nFilas),NA(),IF(AND(ISNUMBER(INDEX(rMed2,1057)),ISNUMBER(INDEX(rMed,1057))),INDEX(rMed,1057),NA()))</f>
        <v>364560</v>
      </c>
    </row>
    <row r="1060">
      <c r="BX1060">
        <f>IF(OR(cMed=0,cMed2=0,1058&gt;nFilas),NA(),IF(AND(ISNUMBER(INDEX(rMed2,1058)),ISNUMBER(INDEX(rMed,1058))),INDEX(rMed2,1058),NA()))</f>
        <v>4</v>
      </c>
      <c r="BY1060">
        <f>IF(OR(cMed=0,cMed2=0,1058&gt;nFilas),NA(),IF(AND(ISNUMBER(INDEX(rMed2,1058)),ISNUMBER(INDEX(rMed,1058))),INDEX(rMed,1058),NA()))</f>
        <v>571020</v>
      </c>
    </row>
    <row r="1061">
      <c r="BX1061">
        <f>IF(OR(cMed=0,cMed2=0,1059&gt;nFilas),NA(),IF(AND(ISNUMBER(INDEX(rMed2,1059)),ISNUMBER(INDEX(rMed,1059))),INDEX(rMed2,1059),NA()))</f>
        <v>2</v>
      </c>
      <c r="BY1061">
        <f>IF(OR(cMed=0,cMed2=0,1059&gt;nFilas),NA(),IF(AND(ISNUMBER(INDEX(rMed2,1059)),ISNUMBER(INDEX(rMed,1059))),INDEX(rMed,1059),NA()))</f>
        <v>467480</v>
      </c>
    </row>
    <row r="1062">
      <c r="BX1062">
        <f>IF(OR(cMed=0,cMed2=0,1060&gt;nFilas),NA(),IF(AND(ISNUMBER(INDEX(rMed2,1060)),ISNUMBER(INDEX(rMed,1060))),INDEX(rMed2,1060),NA()))</f>
        <v>5</v>
      </c>
      <c r="BY1062">
        <f>IF(OR(cMed=0,cMed2=0,1060&gt;nFilas),NA(),IF(AND(ISNUMBER(INDEX(rMed2,1060)),ISNUMBER(INDEX(rMed,1060))),INDEX(rMed,1060),NA()))</f>
        <v>1111350</v>
      </c>
    </row>
    <row r="1063">
      <c r="BX1063">
        <f>IF(OR(cMed=0,cMed2=0,1061&gt;nFilas),NA(),IF(AND(ISNUMBER(INDEX(rMed2,1061)),ISNUMBER(INDEX(rMed,1061))),INDEX(rMed2,1061),NA()))</f>
        <v>1</v>
      </c>
      <c r="BY1063">
        <f>IF(OR(cMed=0,cMed2=0,1061&gt;nFilas),NA(),IF(AND(ISNUMBER(INDEX(rMed2,1061)),ISNUMBER(INDEX(rMed,1061))),INDEX(rMed,1061),NA()))</f>
        <v>84475</v>
      </c>
    </row>
    <row r="1064">
      <c r="BX1064">
        <f>IF(OR(cMed=0,cMed2=0,1062&gt;nFilas),NA(),IF(AND(ISNUMBER(INDEX(rMed2,1062)),ISNUMBER(INDEX(rMed,1062))),INDEX(rMed2,1062),NA()))</f>
        <v>2</v>
      </c>
      <c r="BY1064">
        <f>IF(OR(cMed=0,cMed2=0,1062&gt;nFilas),NA(),IF(AND(ISNUMBER(INDEX(rMed2,1062)),ISNUMBER(INDEX(rMed,1062))),INDEX(rMed,1062),NA()))</f>
        <v>369830</v>
      </c>
    </row>
    <row r="1065">
      <c r="BX1065">
        <f>IF(OR(cMed=0,cMed2=0,1063&gt;nFilas),NA(),IF(AND(ISNUMBER(INDEX(rMed2,1063)),ISNUMBER(INDEX(rMed,1063))),INDEX(rMed2,1063),NA()))</f>
        <v>5</v>
      </c>
      <c r="BY1065">
        <f>IF(OR(cMed=0,cMed2=0,1063&gt;nFilas),NA(),IF(AND(ISNUMBER(INDEX(rMed2,1063)),ISNUMBER(INDEX(rMed,1063))),INDEX(rMed,1063),NA()))</f>
        <v>7081950</v>
      </c>
    </row>
    <row r="1066">
      <c r="BX1066">
        <f>IF(OR(cMed=0,cMed2=0,1064&gt;nFilas),NA(),IF(AND(ISNUMBER(INDEX(rMed2,1064)),ISNUMBER(INDEX(rMed,1064))),INDEX(rMed2,1064),NA()))</f>
        <v>3</v>
      </c>
      <c r="BY1066">
        <f>IF(OR(cMed=0,cMed2=0,1064&gt;nFilas),NA(),IF(AND(ISNUMBER(INDEX(rMed2,1064)),ISNUMBER(INDEX(rMed,1064))),INDEX(rMed,1064),NA()))</f>
        <v>830760</v>
      </c>
    </row>
    <row r="1067">
      <c r="BX1067">
        <f>IF(OR(cMed=0,cMed2=0,1065&gt;nFilas),NA(),IF(AND(ISNUMBER(INDEX(rMed2,1065)),ISNUMBER(INDEX(rMed,1065))),INDEX(rMed2,1065),NA()))</f>
        <v>3</v>
      </c>
      <c r="BY1067">
        <f>IF(OR(cMed=0,cMed2=0,1065&gt;nFilas),NA(),IF(AND(ISNUMBER(INDEX(rMed2,1065)),ISNUMBER(INDEX(rMed,1065))),INDEX(rMed,1065),NA()))</f>
        <v>262080</v>
      </c>
    </row>
    <row r="1068">
      <c r="BX1068">
        <f>IF(OR(cMed=0,cMed2=0,1066&gt;nFilas),NA(),IF(AND(ISNUMBER(INDEX(rMed2,1066)),ISNUMBER(INDEX(rMed,1066))),INDEX(rMed2,1066),NA()))</f>
        <v>2</v>
      </c>
      <c r="BY1068">
        <f>IF(OR(cMed=0,cMed2=0,1066&gt;nFilas),NA(),IF(AND(ISNUMBER(INDEX(rMed2,1066)),ISNUMBER(INDEX(rMed,1066))),INDEX(rMed,1066),NA()))</f>
        <v>520800</v>
      </c>
    </row>
    <row r="1069">
      <c r="BX1069">
        <f>IF(OR(cMed=0,cMed2=0,1067&gt;nFilas),NA(),IF(AND(ISNUMBER(INDEX(rMed2,1067)),ISNUMBER(INDEX(rMed,1067))),INDEX(rMed2,1067),NA()))</f>
        <v>3</v>
      </c>
      <c r="BY1069">
        <f>IF(OR(cMed=0,cMed2=0,1067&gt;nFilas),NA(),IF(AND(ISNUMBER(INDEX(rMed2,1067)),ISNUMBER(INDEX(rMed,1067))),INDEX(rMed,1067),NA()))</f>
        <v>1034460</v>
      </c>
    </row>
    <row r="1070">
      <c r="BX1070">
        <f>IF(OR(cMed=0,cMed2=0,1068&gt;nFilas),NA(),IF(AND(ISNUMBER(INDEX(rMed2,1068)),ISNUMBER(INDEX(rMed,1068))),INDEX(rMed2,1068),NA()))</f>
        <v>5</v>
      </c>
      <c r="BY1070">
        <f>IF(OR(cMed=0,cMed2=0,1068&gt;nFilas),NA(),IF(AND(ISNUMBER(INDEX(rMed2,1068)),ISNUMBER(INDEX(rMed,1068))),INDEX(rMed,1068),NA()))</f>
        <v>681800</v>
      </c>
    </row>
    <row r="1071">
      <c r="BX1071">
        <f>IF(OR(cMed=0,cMed2=0,1069&gt;nFilas),NA(),IF(AND(ISNUMBER(INDEX(rMed2,1069)),ISNUMBER(INDEX(rMed,1069))),INDEX(rMed2,1069),NA()))</f>
        <v>3</v>
      </c>
      <c r="BY1071">
        <f>IF(OR(cMed=0,cMed2=0,1069&gt;nFilas),NA(),IF(AND(ISNUMBER(INDEX(rMed2,1069)),ISNUMBER(INDEX(rMed,1069))),INDEX(rMed,1069),NA()))</f>
        <v>206220</v>
      </c>
    </row>
    <row r="1072">
      <c r="BX1072">
        <f>IF(OR(cMed=0,cMed2=0,1070&gt;nFilas),NA(),IF(AND(ISNUMBER(INDEX(rMed2,1070)),ISNUMBER(INDEX(rMed,1070))),INDEX(rMed2,1070),NA()))</f>
        <v>1</v>
      </c>
      <c r="BY1072">
        <f>IF(OR(cMed=0,cMed2=0,1070&gt;nFilas),NA(),IF(AND(ISNUMBER(INDEX(rMed2,1070)),ISNUMBER(INDEX(rMed,1070))),INDEX(rMed,1070),NA()))</f>
        <v>180600</v>
      </c>
    </row>
    <row r="1073">
      <c r="BX1073">
        <f>IF(OR(cMed=0,cMed2=0,1071&gt;nFilas),NA(),IF(AND(ISNUMBER(INDEX(rMed2,1071)),ISNUMBER(INDEX(rMed,1071))),INDEX(rMed2,1071),NA()))</f>
        <v>2</v>
      </c>
      <c r="BY1073">
        <f>IF(OR(cMed=0,cMed2=0,1071&gt;nFilas),NA(),IF(AND(ISNUMBER(INDEX(rMed2,1071)),ISNUMBER(INDEX(rMed,1071))),INDEX(rMed,1071),NA()))</f>
        <v>185360</v>
      </c>
    </row>
    <row r="1074">
      <c r="BX1074">
        <f>IF(OR(cMed=0,cMed2=0,1072&gt;nFilas),NA(),IF(AND(ISNUMBER(INDEX(rMed2,1072)),ISNUMBER(INDEX(rMed,1072))),INDEX(rMed2,1072),NA()))</f>
        <v>2</v>
      </c>
      <c r="BY1074">
        <f>IF(OR(cMed=0,cMed2=0,1072&gt;nFilas),NA(),IF(AND(ISNUMBER(INDEX(rMed2,1072)),ISNUMBER(INDEX(rMed,1072))),INDEX(rMed,1072),NA()))</f>
        <v>313880</v>
      </c>
    </row>
    <row r="1075">
      <c r="BX1075">
        <f>IF(OR(cMed=0,cMed2=0,1073&gt;nFilas),NA(),IF(AND(ISNUMBER(INDEX(rMed2,1073)),ISNUMBER(INDEX(rMed,1073))),INDEX(rMed2,1073),NA()))</f>
        <v>1</v>
      </c>
      <c r="BY1075">
        <f>IF(OR(cMed=0,cMed2=0,1073&gt;nFilas),NA(),IF(AND(ISNUMBER(INDEX(rMed2,1073)),ISNUMBER(INDEX(rMed,1073))),INDEX(rMed,1073),NA()))</f>
        <v>1384040</v>
      </c>
    </row>
    <row r="1076">
      <c r="BX1076">
        <f>IF(OR(cMed=0,cMed2=0,1074&gt;nFilas),NA(),IF(AND(ISNUMBER(INDEX(rMed2,1074)),ISNUMBER(INDEX(rMed,1074))),INDEX(rMed2,1074),NA()))</f>
        <v>4</v>
      </c>
      <c r="BY1076">
        <f>IF(OR(cMed=0,cMed2=0,1074&gt;nFilas),NA(),IF(AND(ISNUMBER(INDEX(rMed2,1074)),ISNUMBER(INDEX(rMed,1074))),INDEX(rMed,1074),NA()))</f>
        <v>389760</v>
      </c>
    </row>
    <row r="1077">
      <c r="BX1077">
        <f>IF(OR(cMed=0,cMed2=0,1075&gt;nFilas),NA(),IF(AND(ISNUMBER(INDEX(rMed2,1075)),ISNUMBER(INDEX(rMed,1075))),INDEX(rMed2,1075),NA()))</f>
        <v>4</v>
      </c>
      <c r="BY1077">
        <f>IF(OR(cMed=0,cMed2=0,1075&gt;nFilas),NA(),IF(AND(ISNUMBER(INDEX(rMed2,1075)),ISNUMBER(INDEX(rMed,1075))),INDEX(rMed,1075),NA()))</f>
        <v>378000</v>
      </c>
    </row>
    <row r="1078">
      <c r="BX1078">
        <f>IF(OR(cMed=0,cMed2=0,1076&gt;nFilas),NA(),IF(AND(ISNUMBER(INDEX(rMed2,1076)),ISNUMBER(INDEX(rMed,1076))),INDEX(rMed2,1076),NA()))</f>
        <v>1</v>
      </c>
      <c r="BY1078">
        <f>IF(OR(cMed=0,cMed2=0,1076&gt;nFilas),NA(),IF(AND(ISNUMBER(INDEX(rMed2,1076)),ISNUMBER(INDEX(rMed,1076))),INDEX(rMed,1076),NA()))</f>
        <v>158900</v>
      </c>
    </row>
    <row r="1079">
      <c r="BX1079">
        <f>IF(OR(cMed=0,cMed2=0,1077&gt;nFilas),NA(),IF(AND(ISNUMBER(INDEX(rMed2,1077)),ISNUMBER(INDEX(rMed,1077))),INDEX(rMed2,1077),NA()))</f>
        <v>1</v>
      </c>
      <c r="BY1079">
        <f>IF(OR(cMed=0,cMed2=0,1077&gt;nFilas),NA(),IF(AND(ISNUMBER(INDEX(rMed2,1077)),ISNUMBER(INDEX(rMed,1077))),INDEX(rMed,1077),NA()))</f>
        <v>89040</v>
      </c>
    </row>
    <row r="1080">
      <c r="BX1080">
        <f>IF(OR(cMed=0,cMed2=0,1078&gt;nFilas),NA(),IF(AND(ISNUMBER(INDEX(rMed2,1078)),ISNUMBER(INDEX(rMed,1078))),INDEX(rMed2,1078),NA()))</f>
        <v>5</v>
      </c>
      <c r="BY1080">
        <f>IF(OR(cMed=0,cMed2=0,1078&gt;nFilas),NA(),IF(AND(ISNUMBER(INDEX(rMed2,1078)),ISNUMBER(INDEX(rMed,1078))),INDEX(rMed,1078),NA()))</f>
        <v>1124200</v>
      </c>
    </row>
    <row r="1081">
      <c r="BX1081">
        <f>IF(OR(cMed=0,cMed2=0,1079&gt;nFilas),NA(),IF(AND(ISNUMBER(INDEX(rMed2,1079)),ISNUMBER(INDEX(rMed,1079))),INDEX(rMed2,1079),NA()))</f>
        <v>4</v>
      </c>
      <c r="BY1081">
        <f>IF(OR(cMed=0,cMed2=0,1079&gt;nFilas),NA(),IF(AND(ISNUMBER(INDEX(rMed2,1079)),ISNUMBER(INDEX(rMed,1079))),INDEX(rMed,1079),NA()))</f>
        <v>955360</v>
      </c>
    </row>
    <row r="1082">
      <c r="BX1082">
        <f>IF(OR(cMed=0,cMed2=0,1080&gt;nFilas),NA(),IF(AND(ISNUMBER(INDEX(rMed2,1080)),ISNUMBER(INDEX(rMed,1080))),INDEX(rMed2,1080),NA()))</f>
        <v>1</v>
      </c>
      <c r="BY1082">
        <f>IF(OR(cMed=0,cMed2=0,1080&gt;nFilas),NA(),IF(AND(ISNUMBER(INDEX(rMed2,1080)),ISNUMBER(INDEX(rMed,1080))),INDEX(rMed,1080),NA()))</f>
        <v>168420</v>
      </c>
    </row>
    <row r="1083">
      <c r="BX1083">
        <f>IF(OR(cMed=0,cMed2=0,1081&gt;nFilas),NA(),IF(AND(ISNUMBER(INDEX(rMed2,1081)),ISNUMBER(INDEX(rMed,1081))),INDEX(rMed2,1081),NA()))</f>
        <v>4</v>
      </c>
      <c r="BY1083">
        <f>IF(OR(cMed=0,cMed2=0,1081&gt;nFilas),NA(),IF(AND(ISNUMBER(INDEX(rMed2,1081)),ISNUMBER(INDEX(rMed,1081))),INDEX(rMed,1081),NA()))</f>
        <v>6069180</v>
      </c>
    </row>
    <row r="1084">
      <c r="BX1084">
        <f>IF(OR(cMed=0,cMed2=0,1082&gt;nFilas),NA(),IF(AND(ISNUMBER(INDEX(rMed2,1082)),ISNUMBER(INDEX(rMed,1082))),INDEX(rMed2,1082),NA()))</f>
        <v>5</v>
      </c>
      <c r="BY1084">
        <f>IF(OR(cMed=0,cMed2=0,1082&gt;nFilas),NA(),IF(AND(ISNUMBER(INDEX(rMed2,1082)),ISNUMBER(INDEX(rMed,1082))),INDEX(rMed,1082),NA()))</f>
        <v>1312850</v>
      </c>
    </row>
    <row r="1085">
      <c r="BX1085">
        <f>IF(OR(cMed=0,cMed2=0,1083&gt;nFilas),NA(),IF(AND(ISNUMBER(INDEX(rMed2,1083)),ISNUMBER(INDEX(rMed,1083))),INDEX(rMed2,1083),NA()))</f>
        <v>5</v>
      </c>
      <c r="BY1085">
        <f>IF(OR(cMed=0,cMed2=0,1083&gt;nFilas),NA(),IF(AND(ISNUMBER(INDEX(rMed2,1083)),ISNUMBER(INDEX(rMed,1083))),INDEX(rMed,1083),NA()))</f>
        <v>1469400</v>
      </c>
    </row>
    <row r="1086">
      <c r="BX1086">
        <f>IF(OR(cMed=0,cMed2=0,1084&gt;nFilas),NA(),IF(AND(ISNUMBER(INDEX(rMed2,1084)),ISNUMBER(INDEX(rMed,1084))),INDEX(rMed2,1084),NA()))</f>
        <v>3</v>
      </c>
      <c r="BY1086">
        <f>IF(OR(cMed=0,cMed2=0,1084&gt;nFilas),NA(),IF(AND(ISNUMBER(INDEX(rMed2,1084)),ISNUMBER(INDEX(rMed,1084))),INDEX(rMed,1084),NA()))</f>
        <v>513360</v>
      </c>
    </row>
    <row r="1087">
      <c r="BX1087">
        <f>IF(OR(cMed=0,cMed2=0,1085&gt;nFilas),NA(),IF(AND(ISNUMBER(INDEX(rMed2,1085)),ISNUMBER(INDEX(rMed,1085))),INDEX(rMed2,1085),NA()))</f>
        <v>4</v>
      </c>
      <c r="BY1087">
        <f>IF(OR(cMed=0,cMed2=0,1085&gt;nFilas),NA(),IF(AND(ISNUMBER(INDEX(rMed2,1085)),ISNUMBER(INDEX(rMed,1085))),INDEX(rMed,1085),NA()))</f>
        <v>585280</v>
      </c>
    </row>
    <row r="1088">
      <c r="BX1088">
        <f>IF(OR(cMed=0,cMed2=0,1086&gt;nFilas),NA(),IF(AND(ISNUMBER(INDEX(rMed2,1086)),ISNUMBER(INDEX(rMed,1086))),INDEX(rMed2,1086),NA()))</f>
        <v>1</v>
      </c>
      <c r="BY1088">
        <f>IF(OR(cMed=0,cMed2=0,1086&gt;nFilas),NA(),IF(AND(ISNUMBER(INDEX(rMed2,1086)),ISNUMBER(INDEX(rMed,1086))),INDEX(rMed,1086),NA()))</f>
        <v>173135</v>
      </c>
    </row>
    <row r="1089">
      <c r="BX1089">
        <f>IF(OR(cMed=0,cMed2=0,1087&gt;nFilas),NA(),IF(AND(ISNUMBER(INDEX(rMed2,1087)),ISNUMBER(INDEX(rMed,1087))),INDEX(rMed2,1087),NA()))</f>
        <v>5</v>
      </c>
      <c r="BY1089">
        <f>IF(OR(cMed=0,cMed2=0,1087&gt;nFilas),NA(),IF(AND(ISNUMBER(INDEX(rMed2,1087)),ISNUMBER(INDEX(rMed,1087))),INDEX(rMed,1087),NA()))</f>
        <v>1591075</v>
      </c>
    </row>
    <row r="1090">
      <c r="BX1090">
        <f>IF(OR(cMed=0,cMed2=0,1088&gt;nFilas),NA(),IF(AND(ISNUMBER(INDEX(rMed2,1088)),ISNUMBER(INDEX(rMed,1088))),INDEX(rMed2,1088),NA()))</f>
        <v>1</v>
      </c>
      <c r="BY1090">
        <f>IF(OR(cMed=0,cMed2=0,1088&gt;nFilas),NA(),IF(AND(ISNUMBER(INDEX(rMed2,1088)),ISNUMBER(INDEX(rMed,1088))),INDEX(rMed,1088),NA()))</f>
        <v>169725</v>
      </c>
    </row>
    <row r="1091">
      <c r="BX1091">
        <f>IF(OR(cMed=0,cMed2=0,1089&gt;nFilas),NA(),IF(AND(ISNUMBER(INDEX(rMed2,1089)),ISNUMBER(INDEX(rMed,1089))),INDEX(rMed2,1089),NA()))</f>
        <v>1</v>
      </c>
      <c r="BY1091">
        <f>IF(OR(cMed=0,cMed2=0,1089&gt;nFilas),NA(),IF(AND(ISNUMBER(INDEX(rMed2,1089)),ISNUMBER(INDEX(rMed,1089))),INDEX(rMed,1089),NA()))</f>
        <v>368590</v>
      </c>
    </row>
    <row r="1092">
      <c r="BX1092">
        <f>IF(OR(cMed=0,cMed2=0,1090&gt;nFilas),NA(),IF(AND(ISNUMBER(INDEX(rMed2,1090)),ISNUMBER(INDEX(rMed,1090))),INDEX(rMed2,1090),NA()))</f>
        <v>4</v>
      </c>
      <c r="BY1092">
        <f>IF(OR(cMed=0,cMed2=0,1090&gt;nFilas),NA(),IF(AND(ISNUMBER(INDEX(rMed2,1090)),ISNUMBER(INDEX(rMed,1090))),INDEX(rMed,1090),NA()))</f>
        <v>659060</v>
      </c>
    </row>
    <row r="1093">
      <c r="BX1093">
        <f>IF(OR(cMed=0,cMed2=0,1091&gt;nFilas),NA(),IF(AND(ISNUMBER(INDEX(rMed2,1091)),ISNUMBER(INDEX(rMed,1091))),INDEX(rMed2,1091),NA()))</f>
        <v>2</v>
      </c>
      <c r="BY1093">
        <f>IF(OR(cMed=0,cMed2=0,1091&gt;nFilas),NA(),IF(AND(ISNUMBER(INDEX(rMed2,1091)),ISNUMBER(INDEX(rMed,1091))),INDEX(rMed,1091),NA()))</f>
        <v>357740</v>
      </c>
    </row>
    <row r="1094">
      <c r="BX1094">
        <f>IF(OR(cMed=0,cMed2=0,1092&gt;nFilas),NA(),IF(AND(ISNUMBER(INDEX(rMed2,1092)),ISNUMBER(INDEX(rMed,1092))),INDEX(rMed2,1092),NA()))</f>
        <v>1</v>
      </c>
      <c r="BY1094">
        <f>IF(OR(cMed=0,cMed2=0,1092&gt;nFilas),NA(),IF(AND(ISNUMBER(INDEX(rMed2,1092)),ISNUMBER(INDEX(rMed,1092))),INDEX(rMed,1092),NA()))</f>
        <v>351075</v>
      </c>
    </row>
    <row r="1095">
      <c r="BX1095">
        <f>IF(OR(cMed=0,cMed2=0,1093&gt;nFilas),NA(),IF(AND(ISNUMBER(INDEX(rMed2,1093)),ISNUMBER(INDEX(rMed,1093))),INDEX(rMed2,1093),NA()))</f>
        <v>3</v>
      </c>
      <c r="BY1095">
        <f>IF(OR(cMed=0,cMed2=0,1093&gt;nFilas),NA(),IF(AND(ISNUMBER(INDEX(rMed2,1093)),ISNUMBER(INDEX(rMed,1093))),INDEX(rMed,1093),NA()))</f>
        <v>313410</v>
      </c>
    </row>
    <row r="1096">
      <c r="BX1096">
        <f>IF(OR(cMed=0,cMed2=0,1094&gt;nFilas),NA(),IF(AND(ISNUMBER(INDEX(rMed2,1094)),ISNUMBER(INDEX(rMed,1094))),INDEX(rMed2,1094),NA()))</f>
        <v>5</v>
      </c>
      <c r="BY1096">
        <f>IF(OR(cMed=0,cMed2=0,1094&gt;nFilas),NA(),IF(AND(ISNUMBER(INDEX(rMed2,1094)),ISNUMBER(INDEX(rMed,1094))),INDEX(rMed,1094),NA()))</f>
        <v>583575</v>
      </c>
    </row>
    <row r="1097">
      <c r="BX1097">
        <f>IF(OR(cMed=0,cMed2=0,1095&gt;nFilas),NA(),IF(AND(ISNUMBER(INDEX(rMed2,1095)),ISNUMBER(INDEX(rMed,1095))),INDEX(rMed2,1095),NA()))</f>
        <v>1</v>
      </c>
      <c r="BY1097">
        <f>IF(OR(cMed=0,cMed2=0,1095&gt;nFilas),NA(),IF(AND(ISNUMBER(INDEX(rMed2,1095)),ISNUMBER(INDEX(rMed,1095))),INDEX(rMed,1095),NA()))</f>
        <v>99665</v>
      </c>
    </row>
    <row r="1098">
      <c r="BX1098">
        <f>IF(OR(cMed=0,cMed2=0,1096&gt;nFilas),NA(),IF(AND(ISNUMBER(INDEX(rMed2,1096)),ISNUMBER(INDEX(rMed,1096))),INDEX(rMed2,1096),NA()))</f>
        <v>5</v>
      </c>
      <c r="BY1098">
        <f>IF(OR(cMed=0,cMed2=0,1096&gt;nFilas),NA(),IF(AND(ISNUMBER(INDEX(rMed2,1096)),ISNUMBER(INDEX(rMed,1096))),INDEX(rMed,1096),NA()))</f>
        <v>1153975</v>
      </c>
    </row>
    <row r="1099">
      <c r="BX1099">
        <f>IF(OR(cMed=0,cMed2=0,1097&gt;nFilas),NA(),IF(AND(ISNUMBER(INDEX(rMed2,1097)),ISNUMBER(INDEX(rMed,1097))),INDEX(rMed2,1097),NA()))</f>
        <v>3</v>
      </c>
      <c r="BY1099">
        <f>IF(OR(cMed=0,cMed2=0,1097&gt;nFilas),NA(),IF(AND(ISNUMBER(INDEX(rMed2,1097)),ISNUMBER(INDEX(rMed,1097))),INDEX(rMed,1097),NA()))</f>
        <v>657300</v>
      </c>
    </row>
    <row r="1100">
      <c r="BX1100">
        <f>IF(OR(cMed=0,cMed2=0,1098&gt;nFilas),NA(),IF(AND(ISNUMBER(INDEX(rMed2,1098)),ISNUMBER(INDEX(rMed,1098))),INDEX(rMed2,1098),NA()))</f>
        <v>5</v>
      </c>
      <c r="BY1100">
        <f>IF(OR(cMed=0,cMed2=0,1098&gt;nFilas),NA(),IF(AND(ISNUMBER(INDEX(rMed2,1098)),ISNUMBER(INDEX(rMed,1098))),INDEX(rMed,1098),NA()))</f>
        <v>597800</v>
      </c>
    </row>
    <row r="1101">
      <c r="BX1101">
        <f>IF(OR(cMed=0,cMed2=0,1099&gt;nFilas),NA(),IF(AND(ISNUMBER(INDEX(rMed2,1099)),ISNUMBER(INDEX(rMed,1099))),INDEX(rMed2,1099),NA()))</f>
        <v>4</v>
      </c>
      <c r="BY1101">
        <f>IF(OR(cMed=0,cMed2=0,1099&gt;nFilas),NA(),IF(AND(ISNUMBER(INDEX(rMed2,1099)),ISNUMBER(INDEX(rMed,1099))),INDEX(rMed,1099),NA()))</f>
        <v>5103280</v>
      </c>
    </row>
    <row r="1102">
      <c r="BX1102">
        <f>IF(OR(cMed=0,cMed2=0,1100&gt;nFilas),NA(),IF(AND(ISNUMBER(INDEX(rMed2,1100)),ISNUMBER(INDEX(rMed,1100))),INDEX(rMed2,1100),NA()))</f>
        <v>2</v>
      </c>
      <c r="BY1102">
        <f>IF(OR(cMed=0,cMed2=0,1100&gt;nFilas),NA(),IF(AND(ISNUMBER(INDEX(rMed2,1100)),ISNUMBER(INDEX(rMed,1100))),INDEX(rMed,1100),NA()))</f>
        <v>267960</v>
      </c>
    </row>
    <row r="1103">
      <c r="BX1103">
        <f>IF(OR(cMed=0,cMed2=0,1101&gt;nFilas),NA(),IF(AND(ISNUMBER(INDEX(rMed2,1101)),ISNUMBER(INDEX(rMed,1101))),INDEX(rMed2,1101),NA()))</f>
        <v>4</v>
      </c>
      <c r="BY1103">
        <f>IF(OR(cMed=0,cMed2=0,1101&gt;nFilas),NA(),IF(AND(ISNUMBER(INDEX(rMed2,1101)),ISNUMBER(INDEX(rMed,1101))),INDEX(rMed,1101),NA()))</f>
        <v>524160</v>
      </c>
    </row>
    <row r="1104">
      <c r="BX1104">
        <f>IF(OR(cMed=0,cMed2=0,1102&gt;nFilas),NA(),IF(AND(ISNUMBER(INDEX(rMed2,1102)),ISNUMBER(INDEX(rMed,1102))),INDEX(rMed2,1102),NA()))</f>
        <v>3</v>
      </c>
      <c r="BY1104">
        <f>IF(OR(cMed=0,cMed2=0,1102&gt;nFilas),NA(),IF(AND(ISNUMBER(INDEX(rMed2,1102)),ISNUMBER(INDEX(rMed,1102))),INDEX(rMed,1102),NA()))</f>
        <v>590100</v>
      </c>
    </row>
    <row r="1105">
      <c r="BX1105">
        <f>IF(OR(cMed=0,cMed2=0,1103&gt;nFilas),NA(),IF(AND(ISNUMBER(INDEX(rMed2,1103)),ISNUMBER(INDEX(rMed,1103))),INDEX(rMed2,1103),NA()))</f>
        <v>5</v>
      </c>
      <c r="BY1105">
        <f>IF(OR(cMed=0,cMed2=0,1103&gt;nFilas),NA(),IF(AND(ISNUMBER(INDEX(rMed2,1103)),ISNUMBER(INDEX(rMed,1103))),INDEX(rMed,1103),NA()))</f>
        <v>460600</v>
      </c>
    </row>
    <row r="1106">
      <c r="BX1106">
        <f>IF(OR(cMed=0,cMed2=0,1104&gt;nFilas),NA(),IF(AND(ISNUMBER(INDEX(rMed2,1104)),ISNUMBER(INDEX(rMed,1104))),INDEX(rMed2,1104),NA()))</f>
        <v>4</v>
      </c>
      <c r="BY1106">
        <f>IF(OR(cMed=0,cMed2=0,1104&gt;nFilas),NA(),IF(AND(ISNUMBER(INDEX(rMed2,1104)),ISNUMBER(INDEX(rMed,1104))),INDEX(rMed,1104),NA()))</f>
        <v>505680</v>
      </c>
    </row>
    <row r="1107">
      <c r="BX1107">
        <f>IF(OR(cMed=0,cMed2=0,1105&gt;nFilas),NA(),IF(AND(ISNUMBER(INDEX(rMed2,1105)),ISNUMBER(INDEX(rMed,1105))),INDEX(rMed2,1105),NA()))</f>
        <v>2</v>
      </c>
      <c r="BY1107">
        <f>IF(OR(cMed=0,cMed2=0,1105&gt;nFilas),NA(),IF(AND(ISNUMBER(INDEX(rMed2,1105)),ISNUMBER(INDEX(rMed,1105))),INDEX(rMed,1105),NA()))</f>
        <v>253120</v>
      </c>
    </row>
    <row r="1108">
      <c r="BX1108">
        <f>IF(OR(cMed=0,cMed2=0,1106&gt;nFilas),NA(),IF(AND(ISNUMBER(INDEX(rMed2,1106)),ISNUMBER(INDEX(rMed,1106))),INDEX(rMed2,1106),NA()))</f>
        <v>1</v>
      </c>
      <c r="BY1108">
        <f>IF(OR(cMed=0,cMed2=0,1106&gt;nFilas),NA(),IF(AND(ISNUMBER(INDEX(rMed2,1106)),ISNUMBER(INDEX(rMed,1106))),INDEX(rMed,1106),NA()))</f>
        <v>1094240</v>
      </c>
    </row>
    <row r="1109">
      <c r="BX1109">
        <f>IF(OR(cMed=0,cMed2=0,1107&gt;nFilas),NA(),IF(AND(ISNUMBER(INDEX(rMed2,1107)),ISNUMBER(INDEX(rMed,1107))),INDEX(rMed2,1107),NA()))</f>
        <v>5</v>
      </c>
      <c r="BY1109">
        <f>IF(OR(cMed=0,cMed2=0,1107&gt;nFilas),NA(),IF(AND(ISNUMBER(INDEX(rMed2,1107)),ISNUMBER(INDEX(rMed,1107))),INDEX(rMed,1107),NA()))</f>
        <v>679000</v>
      </c>
    </row>
    <row r="1110">
      <c r="BX1110">
        <f>IF(OR(cMed=0,cMed2=0,1108&gt;nFilas),NA(),IF(AND(ISNUMBER(INDEX(rMed2,1108)),ISNUMBER(INDEX(rMed,1108))),INDEX(rMed2,1108),NA()))</f>
        <v>4</v>
      </c>
      <c r="BY1110">
        <f>IF(OR(cMed=0,cMed2=0,1108&gt;nFilas),NA(),IF(AND(ISNUMBER(INDEX(rMed2,1108)),ISNUMBER(INDEX(rMed,1108))),INDEX(rMed,1108),NA()))</f>
        <v>744240</v>
      </c>
    </row>
    <row r="1111">
      <c r="BX1111">
        <f>IF(OR(cMed=0,cMed2=0,1109&gt;nFilas),NA(),IF(AND(ISNUMBER(INDEX(rMed2,1109)),ISNUMBER(INDEX(rMed,1109))),INDEX(rMed2,1109),NA()))</f>
        <v>1</v>
      </c>
      <c r="BY1111">
        <f>IF(OR(cMed=0,cMed2=0,1109&gt;nFilas),NA(),IF(AND(ISNUMBER(INDEX(rMed2,1109)),ISNUMBER(INDEX(rMed,1109))),INDEX(rMed,1109),NA()))</f>
        <v>80640</v>
      </c>
    </row>
    <row r="1112">
      <c r="BX1112">
        <f>IF(OR(cMed=0,cMed2=0,1110&gt;nFilas),NA(),IF(AND(ISNUMBER(INDEX(rMed2,1110)),ISNUMBER(INDEX(rMed,1110))),INDEX(rMed2,1110),NA()))</f>
        <v>3</v>
      </c>
      <c r="BY1112">
        <f>IF(OR(cMed=0,cMed2=0,1110&gt;nFilas),NA(),IF(AND(ISNUMBER(INDEX(rMed2,1110)),ISNUMBER(INDEX(rMed,1110))),INDEX(rMed,1110),NA()))</f>
        <v>1043280</v>
      </c>
    </row>
    <row r="1113">
      <c r="BX1113">
        <f>IF(OR(cMed=0,cMed2=0,1111&gt;nFilas),NA(),IF(AND(ISNUMBER(INDEX(rMed2,1111)),ISNUMBER(INDEX(rMed,1111))),INDEX(rMed2,1111),NA()))</f>
        <v>2</v>
      </c>
      <c r="BY1113">
        <f>IF(OR(cMed=0,cMed2=0,1111&gt;nFilas),NA(),IF(AND(ISNUMBER(INDEX(rMed2,1111)),ISNUMBER(INDEX(rMed,1111))),INDEX(rMed,1111),NA()))</f>
        <v>384720</v>
      </c>
    </row>
    <row r="1114">
      <c r="BX1114">
        <f>IF(OR(cMed=0,cMed2=0,1112&gt;nFilas),NA(),IF(AND(ISNUMBER(INDEX(rMed2,1112)),ISNUMBER(INDEX(rMed,1112))),INDEX(rMed2,1112),NA()))</f>
        <v>3</v>
      </c>
      <c r="BY1114">
        <f>IF(OR(cMed=0,cMed2=0,1112&gt;nFilas),NA(),IF(AND(ISNUMBER(INDEX(rMed2,1112)),ISNUMBER(INDEX(rMed,1112))),INDEX(rMed,1112),NA()))</f>
        <v>700140</v>
      </c>
    </row>
    <row r="1115">
      <c r="BX1115">
        <f>IF(OR(cMed=0,cMed2=0,1113&gt;nFilas),NA(),IF(AND(ISNUMBER(INDEX(rMed2,1113)),ISNUMBER(INDEX(rMed,1113))),INDEX(rMed2,1113),NA()))</f>
        <v>2</v>
      </c>
      <c r="BY1115">
        <f>IF(OR(cMed=0,cMed2=0,1113&gt;nFilas),NA(),IF(AND(ISNUMBER(INDEX(rMed2,1113)),ISNUMBER(INDEX(rMed,1113))),INDEX(rMed,1113),NA()))</f>
        <v>241640</v>
      </c>
    </row>
    <row r="1116">
      <c r="BX1116">
        <f>IF(OR(cMed=0,cMed2=0,1114&gt;nFilas),NA(),IF(AND(ISNUMBER(INDEX(rMed2,1114)),ISNUMBER(INDEX(rMed,1114))),INDEX(rMed2,1114),NA()))</f>
        <v>4</v>
      </c>
      <c r="BY1116">
        <f>IF(OR(cMed=0,cMed2=0,1114&gt;nFilas),NA(),IF(AND(ISNUMBER(INDEX(rMed2,1114)),ISNUMBER(INDEX(rMed,1114))),INDEX(rMed,1114),NA()))</f>
        <v>4192720</v>
      </c>
    </row>
    <row r="1117">
      <c r="BX1117">
        <f>IF(OR(cMed=0,cMed2=0,1115&gt;nFilas),NA(),IF(AND(ISNUMBER(INDEX(rMed2,1115)),ISNUMBER(INDEX(rMed,1115))),INDEX(rMed2,1115),NA()))</f>
        <v>3</v>
      </c>
      <c r="BY1117">
        <f>IF(OR(cMed=0,cMed2=0,1115&gt;nFilas),NA(),IF(AND(ISNUMBER(INDEX(rMed2,1115)),ISNUMBER(INDEX(rMed,1115))),INDEX(rMed,1115),NA()))</f>
        <v>1098720</v>
      </c>
    </row>
    <row r="1118">
      <c r="BX1118">
        <f>IF(OR(cMed=0,cMed2=0,1116&gt;nFilas),NA(),IF(AND(ISNUMBER(INDEX(rMed2,1116)),ISNUMBER(INDEX(rMed,1116))),INDEX(rMed2,1116),NA()))</f>
        <v>2</v>
      </c>
      <c r="BY1118">
        <f>IF(OR(cMed=0,cMed2=0,1116&gt;nFilas),NA(),IF(AND(ISNUMBER(INDEX(rMed2,1116)),ISNUMBER(INDEX(rMed,1116))),INDEX(rMed,1116),NA()))</f>
        <v>481040</v>
      </c>
    </row>
    <row r="1119">
      <c r="BX1119">
        <f>IF(OR(cMed=0,cMed2=0,1117&gt;nFilas),NA(),IF(AND(ISNUMBER(INDEX(rMed2,1117)),ISNUMBER(INDEX(rMed,1117))),INDEX(rMed2,1117),NA()))</f>
        <v>5</v>
      </c>
      <c r="BY1119">
        <f>IF(OR(cMed=0,cMed2=0,1117&gt;nFilas),NA(),IF(AND(ISNUMBER(INDEX(rMed2,1117)),ISNUMBER(INDEX(rMed,1117))),INDEX(rMed,1117),NA()))</f>
        <v>857150</v>
      </c>
    </row>
    <row r="1120">
      <c r="BX1120">
        <f>IF(OR(cMed=0,cMed2=0,1118&gt;nFilas),NA(),IF(AND(ISNUMBER(INDEX(rMed2,1118)),ISNUMBER(INDEX(rMed,1118))),INDEX(rMed2,1118),NA()))</f>
        <v>3</v>
      </c>
      <c r="BY1120">
        <f>IF(OR(cMed=0,cMed2=0,1118&gt;nFilas),NA(),IF(AND(ISNUMBER(INDEX(rMed2,1118)),ISNUMBER(INDEX(rMed,1118))),INDEX(rMed,1118),NA()))</f>
        <v>348750</v>
      </c>
    </row>
    <row r="1121">
      <c r="BX1121">
        <f>IF(OR(cMed=0,cMed2=0,1119&gt;nFilas),NA(),IF(AND(ISNUMBER(INDEX(rMed2,1119)),ISNUMBER(INDEX(rMed,1119))),INDEX(rMed2,1119),NA()))</f>
        <v>1</v>
      </c>
      <c r="BY1121">
        <f>IF(OR(cMed=0,cMed2=0,1119&gt;nFilas),NA(),IF(AND(ISNUMBER(INDEX(rMed2,1119)),ISNUMBER(INDEX(rMed,1119))),INDEX(rMed,1119),NA()))</f>
        <v>373085</v>
      </c>
    </row>
    <row r="1122">
      <c r="BX1122">
        <f>IF(OR(cMed=0,cMed2=0,1120&gt;nFilas),NA(),IF(AND(ISNUMBER(INDEX(rMed2,1120)),ISNUMBER(INDEX(rMed,1120))),INDEX(rMed2,1120),NA()))</f>
        <v>5</v>
      </c>
      <c r="BY1122">
        <f>IF(OR(cMed=0,cMed2=0,1120&gt;nFilas),NA(),IF(AND(ISNUMBER(INDEX(rMed2,1120)),ISNUMBER(INDEX(rMed,1120))),INDEX(rMed,1120),NA()))</f>
        <v>1608125</v>
      </c>
    </row>
    <row r="1123">
      <c r="BX1123">
        <f>IF(OR(cMed=0,cMed2=0,1121&gt;nFilas),NA(),IF(AND(ISNUMBER(INDEX(rMed2,1121)),ISNUMBER(INDEX(rMed,1121))),INDEX(rMed2,1121),NA()))</f>
        <v>1</v>
      </c>
      <c r="BY1123">
        <f>IF(OR(cMed=0,cMed2=0,1121&gt;nFilas),NA(),IF(AND(ISNUMBER(INDEX(rMed2,1121)),ISNUMBER(INDEX(rMed,1121))),INDEX(rMed,1121),NA()))</f>
        <v>1397480</v>
      </c>
    </row>
    <row r="1124">
      <c r="BX1124">
        <f>IF(OR(cMed=0,cMed2=0,1122&gt;nFilas),NA(),IF(AND(ISNUMBER(INDEX(rMed2,1122)),ISNUMBER(INDEX(rMed,1122))),INDEX(rMed2,1122),NA()))</f>
        <v>5</v>
      </c>
      <c r="BY1124">
        <f>IF(OR(cMed=0,cMed2=0,1122&gt;nFilas),NA(),IF(AND(ISNUMBER(INDEX(rMed2,1122)),ISNUMBER(INDEX(rMed,1122))),INDEX(rMed,1122),NA()))</f>
        <v>1611225</v>
      </c>
    </row>
    <row r="1125">
      <c r="BX1125">
        <f>IF(OR(cMed=0,cMed2=0,1123&gt;nFilas),NA(),IF(AND(ISNUMBER(INDEX(rMed2,1123)),ISNUMBER(INDEX(rMed,1123))),INDEX(rMed2,1123),NA()))</f>
        <v>1</v>
      </c>
      <c r="BY1125">
        <f>IF(OR(cMed=0,cMed2=0,1123&gt;nFilas),NA(),IF(AND(ISNUMBER(INDEX(rMed2,1123)),ISNUMBER(INDEX(rMed,1123))),INDEX(rMed,1123),NA()))</f>
        <v>131440</v>
      </c>
    </row>
    <row r="1126">
      <c r="BX1126">
        <f>IF(OR(cMed=0,cMed2=0,1124&gt;nFilas),NA(),IF(AND(ISNUMBER(INDEX(rMed2,1124)),ISNUMBER(INDEX(rMed,1124))),INDEX(rMed2,1124),NA()))</f>
        <v>4</v>
      </c>
      <c r="BY1126">
        <f>IF(OR(cMed=0,cMed2=0,1124&gt;nFilas),NA(),IF(AND(ISNUMBER(INDEX(rMed2,1124)),ISNUMBER(INDEX(rMed,1124))),INDEX(rMed,1124),NA()))</f>
        <v>842580</v>
      </c>
    </row>
    <row r="1127">
      <c r="BX1127">
        <f>IF(OR(cMed=0,cMed2=0,1125&gt;nFilas),NA(),IF(AND(ISNUMBER(INDEX(rMed2,1125)),ISNUMBER(INDEX(rMed,1125))),INDEX(rMed2,1125),NA()))</f>
        <v>4</v>
      </c>
      <c r="BY1127">
        <f>IF(OR(cMed=0,cMed2=0,1125&gt;nFilas),NA(),IF(AND(ISNUMBER(INDEX(rMed2,1125)),ISNUMBER(INDEX(rMed,1125))),INDEX(rMed,1125),NA()))</f>
        <v>338520</v>
      </c>
    </row>
    <row r="1128">
      <c r="BX1128">
        <f>IF(OR(cMed=0,cMed2=0,1126&gt;nFilas),NA(),IF(AND(ISNUMBER(INDEX(rMed2,1126)),ISNUMBER(INDEX(rMed,1126))),INDEX(rMed2,1126),NA()))</f>
        <v>3</v>
      </c>
      <c r="BY1128">
        <f>IF(OR(cMed=0,cMed2=0,1126&gt;nFilas),NA(),IF(AND(ISNUMBER(INDEX(rMed2,1126)),ISNUMBER(INDEX(rMed,1126))),INDEX(rMed,1126),NA()))</f>
        <v>324570</v>
      </c>
    </row>
    <row r="1129">
      <c r="BX1129">
        <f>IF(OR(cMed=0,cMed2=0,1127&gt;nFilas),NA(),IF(AND(ISNUMBER(INDEX(rMed2,1127)),ISNUMBER(INDEX(rMed,1127))),INDEX(rMed2,1127),NA()))</f>
        <v>3</v>
      </c>
      <c r="BY1129">
        <f>IF(OR(cMed=0,cMed2=0,1127&gt;nFilas),NA(),IF(AND(ISNUMBER(INDEX(rMed2,1127)),ISNUMBER(INDEX(rMed,1127))),INDEX(rMed,1127),NA()))</f>
        <v>413850</v>
      </c>
    </row>
    <row r="1130">
      <c r="BX1130">
        <f>IF(OR(cMed=0,cMed2=0,1128&gt;nFilas),NA(),IF(AND(ISNUMBER(INDEX(rMed2,1128)),ISNUMBER(INDEX(rMed,1128))),INDEX(rMed2,1128),NA()))</f>
        <v>4</v>
      </c>
      <c r="BY1130">
        <f>IF(OR(cMed=0,cMed2=0,1128&gt;nFilas),NA(),IF(AND(ISNUMBER(INDEX(rMed2,1128)),ISNUMBER(INDEX(rMed,1128))),INDEX(rMed,1128),NA()))</f>
        <v>1197840</v>
      </c>
    </row>
    <row r="1131">
      <c r="BX1131">
        <f>IF(OR(cMed=0,cMed2=0,1129&gt;nFilas),NA(),IF(AND(ISNUMBER(INDEX(rMed2,1129)),ISNUMBER(INDEX(rMed,1129))),INDEX(rMed2,1129),NA()))</f>
        <v>5</v>
      </c>
      <c r="BY1131">
        <f>IF(OR(cMed=0,cMed2=0,1129&gt;nFilas),NA(),IF(AND(ISNUMBER(INDEX(rMed2,1129)),ISNUMBER(INDEX(rMed,1129))),INDEX(rMed,1129),NA()))</f>
        <v>364700</v>
      </c>
    </row>
    <row r="1132">
      <c r="BX1132">
        <f>IF(OR(cMed=0,cMed2=0,1130&gt;nFilas),NA(),IF(AND(ISNUMBER(INDEX(rMed2,1130)),ISNUMBER(INDEX(rMed,1130))),INDEX(rMed2,1130),NA()))</f>
        <v>4</v>
      </c>
      <c r="BY1132">
        <f>IF(OR(cMed=0,cMed2=0,1130&gt;nFilas),NA(),IF(AND(ISNUMBER(INDEX(rMed2,1130)),ISNUMBER(INDEX(rMed,1130))),INDEX(rMed,1130),NA()))</f>
        <v>709520</v>
      </c>
    </row>
    <row r="1133">
      <c r="BX1133">
        <f>IF(OR(cMed=0,cMed2=0,1131&gt;nFilas),NA(),IF(AND(ISNUMBER(INDEX(rMed2,1131)),ISNUMBER(INDEX(rMed,1131))),INDEX(rMed2,1131),NA()))</f>
        <v>2</v>
      </c>
      <c r="BY1133">
        <f>IF(OR(cMed=0,cMed2=0,1131&gt;nFilas),NA(),IF(AND(ISNUMBER(INDEX(rMed2,1131)),ISNUMBER(INDEX(rMed,1131))),INDEX(rMed,1131),NA()))</f>
        <v>1957480</v>
      </c>
    </row>
    <row r="1134">
      <c r="BX1134">
        <f>IF(OR(cMed=0,cMed2=0,1132&gt;nFilas),NA(),IF(AND(ISNUMBER(INDEX(rMed2,1132)),ISNUMBER(INDEX(rMed,1132))),INDEX(rMed2,1132),NA()))</f>
        <v>4</v>
      </c>
      <c r="BY1134">
        <f>IF(OR(cMed=0,cMed2=0,1132&gt;nFilas),NA(),IF(AND(ISNUMBER(INDEX(rMed2,1132)),ISNUMBER(INDEX(rMed,1132))),INDEX(rMed,1132),NA()))</f>
        <v>561120</v>
      </c>
    </row>
    <row r="1135">
      <c r="BX1135">
        <f>IF(OR(cMed=0,cMed2=0,1133&gt;nFilas),NA(),IF(AND(ISNUMBER(INDEX(rMed2,1133)),ISNUMBER(INDEX(rMed,1133))),INDEX(rMed2,1133),NA()))</f>
        <v>3</v>
      </c>
      <c r="BY1135">
        <f>IF(OR(cMed=0,cMed2=0,1133&gt;nFilas),NA(),IF(AND(ISNUMBER(INDEX(rMed2,1133)),ISNUMBER(INDEX(rMed,1133))),INDEX(rMed,1133),NA()))</f>
        <v>253260</v>
      </c>
    </row>
    <row r="1136">
      <c r="BX1136">
        <f>IF(OR(cMed=0,cMed2=0,1134&gt;nFilas),NA(),IF(AND(ISNUMBER(INDEX(rMed2,1134)),ISNUMBER(INDEX(rMed,1134))),INDEX(rMed2,1134),NA()))</f>
        <v>3</v>
      </c>
      <c r="BY1136">
        <f>IF(OR(cMed=0,cMed2=0,1134&gt;nFilas),NA(),IF(AND(ISNUMBER(INDEX(rMed2,1134)),ISNUMBER(INDEX(rMed,1134))),INDEX(rMed,1134),NA()))</f>
        <v>290220</v>
      </c>
    </row>
    <row r="1137">
      <c r="BX1137">
        <f>IF(OR(cMed=0,cMed2=0,1135&gt;nFilas),NA(),IF(AND(ISNUMBER(INDEX(rMed2,1135)),ISNUMBER(INDEX(rMed,1135))),INDEX(rMed2,1135),NA()))</f>
        <v>1</v>
      </c>
      <c r="BY1137">
        <f>IF(OR(cMed=0,cMed2=0,1135&gt;nFilas),NA(),IF(AND(ISNUMBER(INDEX(rMed2,1135)),ISNUMBER(INDEX(rMed,1135))),INDEX(rMed,1135),NA()))</f>
        <v>323260</v>
      </c>
    </row>
    <row r="1138">
      <c r="BX1138">
        <f>IF(OR(cMed=0,cMed2=0,1136&gt;nFilas),NA(),IF(AND(ISNUMBER(INDEX(rMed2,1136)),ISNUMBER(INDEX(rMed,1136))),INDEX(rMed2,1136),NA()))</f>
        <v>3</v>
      </c>
      <c r="BY1138">
        <f>IF(OR(cMed=0,cMed2=0,1136&gt;nFilas),NA(),IF(AND(ISNUMBER(INDEX(rMed2,1136)),ISNUMBER(INDEX(rMed,1136))),INDEX(rMed,1136),NA()))</f>
        <v>799680</v>
      </c>
    </row>
    <row r="1139">
      <c r="BX1139">
        <f>IF(OR(cMed=0,cMed2=0,1137&gt;nFilas),NA(),IF(AND(ISNUMBER(INDEX(rMed2,1137)),ISNUMBER(INDEX(rMed,1137))),INDEX(rMed2,1137),NA()))</f>
        <v>3</v>
      </c>
      <c r="BY1139">
        <f>IF(OR(cMed=0,cMed2=0,1137&gt;nFilas),NA(),IF(AND(ISNUMBER(INDEX(rMed2,1137)),ISNUMBER(INDEX(rMed,1137))),INDEX(rMed,1137),NA()))</f>
        <v>705600</v>
      </c>
    </row>
    <row r="1140">
      <c r="BX1140">
        <f>IF(OR(cMed=0,cMed2=0,1138&gt;nFilas),NA(),IF(AND(ISNUMBER(INDEX(rMed2,1138)),ISNUMBER(INDEX(rMed,1138))),INDEX(rMed2,1138),NA()))</f>
        <v>3</v>
      </c>
      <c r="BY1140">
        <f>IF(OR(cMed=0,cMed2=0,1138&gt;nFilas),NA(),IF(AND(ISNUMBER(INDEX(rMed2,1138)),ISNUMBER(INDEX(rMed,1138))),INDEX(rMed,1138),NA()))</f>
        <v>324240</v>
      </c>
    </row>
    <row r="1141">
      <c r="BX1141">
        <f>IF(OR(cMed=0,cMed2=0,1139&gt;nFilas),NA(),IF(AND(ISNUMBER(INDEX(rMed2,1139)),ISNUMBER(INDEX(rMed,1139))),INDEX(rMed2,1139),NA()))</f>
        <v>1</v>
      </c>
      <c r="BY1141">
        <f>IF(OR(cMed=0,cMed2=0,1139&gt;nFilas),NA(),IF(AND(ISNUMBER(INDEX(rMed2,1139)),ISNUMBER(INDEX(rMed,1139))),INDEX(rMed,1139),NA()))</f>
        <v>266420</v>
      </c>
    </row>
    <row r="1142">
      <c r="BX1142">
        <f>IF(OR(cMed=0,cMed2=0,1140&gt;nFilas),NA(),IF(AND(ISNUMBER(INDEX(rMed2,1140)),ISNUMBER(INDEX(rMed,1140))),INDEX(rMed2,1140),NA()))</f>
        <v>4</v>
      </c>
      <c r="BY1142">
        <f>IF(OR(cMed=0,cMed2=0,1140&gt;nFilas),NA(),IF(AND(ISNUMBER(INDEX(rMed2,1140)),ISNUMBER(INDEX(rMed,1140))),INDEX(rMed,1140),NA()))</f>
        <v>676480</v>
      </c>
    </row>
    <row r="1143">
      <c r="BX1143">
        <f>IF(OR(cMed=0,cMed2=0,1141&gt;nFilas),NA(),IF(AND(ISNUMBER(INDEX(rMed2,1141)),ISNUMBER(INDEX(rMed,1141))),INDEX(rMed2,1141),NA()))</f>
        <v>1</v>
      </c>
      <c r="BY1143">
        <f>IF(OR(cMed=0,cMed2=0,1141&gt;nFilas),NA(),IF(AND(ISNUMBER(INDEX(rMed2,1141)),ISNUMBER(INDEX(rMed,1141))),INDEX(rMed,1141),NA()))</f>
        <v>112840</v>
      </c>
    </row>
    <row r="1144">
      <c r="BX1144">
        <f>IF(OR(cMed=0,cMed2=0,1142&gt;nFilas),NA(),IF(AND(ISNUMBER(INDEX(rMed2,1142)),ISNUMBER(INDEX(rMed,1142))),INDEX(rMed2,1142),NA()))</f>
        <v>2</v>
      </c>
      <c r="BY1144">
        <f>IF(OR(cMed=0,cMed2=0,1142&gt;nFilas),NA(),IF(AND(ISNUMBER(INDEX(rMed2,1142)),ISNUMBER(INDEX(rMed,1142))),INDEX(rMed,1142),NA()))</f>
        <v>164640</v>
      </c>
    </row>
    <row r="1145">
      <c r="BX1145">
        <f>IF(OR(cMed=0,cMed2=0,1143&gt;nFilas),NA(),IF(AND(ISNUMBER(INDEX(rMed2,1143)),ISNUMBER(INDEX(rMed,1143))),INDEX(rMed2,1143),NA()))</f>
        <v>2</v>
      </c>
      <c r="BY1145">
        <f>IF(OR(cMed=0,cMed2=0,1143&gt;nFilas),NA(),IF(AND(ISNUMBER(INDEX(rMed2,1143)),ISNUMBER(INDEX(rMed,1143))),INDEX(rMed,1143),NA()))</f>
        <v>2073400</v>
      </c>
    </row>
    <row r="1146">
      <c r="BX1146">
        <f>IF(OR(cMed=0,cMed2=0,1144&gt;nFilas),NA(),IF(AND(ISNUMBER(INDEX(rMed2,1144)),ISNUMBER(INDEX(rMed,1144))),INDEX(rMed2,1144),NA()))</f>
        <v>5</v>
      </c>
      <c r="BY1146">
        <f>IF(OR(cMed=0,cMed2=0,1144&gt;nFilas),NA(),IF(AND(ISNUMBER(INDEX(rMed2,1144)),ISNUMBER(INDEX(rMed,1144))),INDEX(rMed,1144),NA()))</f>
        <v>768800</v>
      </c>
    </row>
    <row r="1147">
      <c r="BX1147">
        <f>IF(OR(cMed=0,cMed2=0,1145&gt;nFilas),NA(),IF(AND(ISNUMBER(INDEX(rMed2,1145)),ISNUMBER(INDEX(rMed,1145))),INDEX(rMed2,1145),NA()))</f>
        <v>4</v>
      </c>
      <c r="BY1147">
        <f>IF(OR(cMed=0,cMed2=0,1145&gt;nFilas),NA(),IF(AND(ISNUMBER(INDEX(rMed2,1145)),ISNUMBER(INDEX(rMed,1145))),INDEX(rMed,1145),NA()))</f>
        <v>696260</v>
      </c>
    </row>
    <row r="1148">
      <c r="BX1148">
        <f>IF(OR(cMed=0,cMed2=0,1146&gt;nFilas),NA(),IF(AND(ISNUMBER(INDEX(rMed2,1146)),ISNUMBER(INDEX(rMed,1146))),INDEX(rMed2,1146),NA()))</f>
        <v>1</v>
      </c>
      <c r="BY1148">
        <f>IF(OR(cMed=0,cMed2=0,1146&gt;nFilas),NA(),IF(AND(ISNUMBER(INDEX(rMed2,1146)),ISNUMBER(INDEX(rMed,1146))),INDEX(rMed,1146),NA()))</f>
        <v>204755</v>
      </c>
    </row>
    <row r="1149">
      <c r="BX1149">
        <f>IF(OR(cMed=0,cMed2=0,1147&gt;nFilas),NA(),IF(AND(ISNUMBER(INDEX(rMed2,1147)),ISNUMBER(INDEX(rMed,1147))),INDEX(rMed2,1147),NA()))</f>
        <v>3</v>
      </c>
      <c r="BY1149">
        <f>IF(OR(cMed=0,cMed2=0,1147&gt;nFilas),NA(),IF(AND(ISNUMBER(INDEX(rMed2,1147)),ISNUMBER(INDEX(rMed,1147))),INDEX(rMed,1147),NA()))</f>
        <v>583110</v>
      </c>
    </row>
    <row r="1150">
      <c r="BX1150">
        <f>IF(OR(cMed=0,cMed2=0,1148&gt;nFilas),NA(),IF(AND(ISNUMBER(INDEX(rMed2,1148)),ISNUMBER(INDEX(rMed,1148))),INDEX(rMed2,1148),NA()))</f>
        <v>1</v>
      </c>
      <c r="BY1150">
        <f>IF(OR(cMed=0,cMed2=0,1148&gt;nFilas),NA(),IF(AND(ISNUMBER(INDEX(rMed2,1148)),ISNUMBER(INDEX(rMed,1148))),INDEX(rMed,1148),NA()))</f>
        <v>77500</v>
      </c>
    </row>
    <row r="1151">
      <c r="BX1151">
        <f>IF(OR(cMed=0,cMed2=0,1149&gt;nFilas),NA(),IF(AND(ISNUMBER(INDEX(rMed2,1149)),ISNUMBER(INDEX(rMed,1149))),INDEX(rMed2,1149),NA()))</f>
        <v>3</v>
      </c>
      <c r="BY1151">
        <f>IF(OR(cMed=0,cMed2=0,1149&gt;nFilas),NA(),IF(AND(ISNUMBER(INDEX(rMed2,1149)),ISNUMBER(INDEX(rMed,1149))),INDEX(rMed,1149),NA()))</f>
        <v>842115</v>
      </c>
    </row>
    <row r="1152">
      <c r="BX1152">
        <f>IF(OR(cMed=0,cMed2=0,1150&gt;nFilas),NA(),IF(AND(ISNUMBER(INDEX(rMed2,1150)),ISNUMBER(INDEX(rMed,1150))),INDEX(rMed2,1150),NA()))</f>
        <v>5</v>
      </c>
      <c r="BY1152">
        <f>IF(OR(cMed=0,cMed2=0,1150&gt;nFilas),NA(),IF(AND(ISNUMBER(INDEX(rMed2,1150)),ISNUMBER(INDEX(rMed,1150))),INDEX(rMed,1150),NA()))</f>
        <v>7030025</v>
      </c>
    </row>
    <row r="1153">
      <c r="BX1153">
        <f>IF(OR(cMed=0,cMed2=0,1151&gt;nFilas),NA(),IF(AND(ISNUMBER(INDEX(rMed2,1151)),ISNUMBER(INDEX(rMed,1151))),INDEX(rMed2,1151),NA()))</f>
        <v>4</v>
      </c>
      <c r="BY1153">
        <f>IF(OR(cMed=0,cMed2=0,1151&gt;nFilas),NA(),IF(AND(ISNUMBER(INDEX(rMed2,1151)),ISNUMBER(INDEX(rMed,1151))),INDEX(rMed,1151),NA()))</f>
        <v>597680</v>
      </c>
    </row>
    <row r="1154">
      <c r="BX1154">
        <f>IF(OR(cMed=0,cMed2=0,1152&gt;nFilas),NA(),IF(AND(ISNUMBER(INDEX(rMed2,1152)),ISNUMBER(INDEX(rMed,1152))),INDEX(rMed2,1152),NA()))</f>
        <v>3</v>
      </c>
      <c r="BY1154">
        <f>IF(OR(cMed=0,cMed2=0,1152&gt;nFilas),NA(),IF(AND(ISNUMBER(INDEX(rMed2,1152)),ISNUMBER(INDEX(rMed,1152))),INDEX(rMed,1152),NA()))</f>
        <v>368745</v>
      </c>
    </row>
    <row r="1155">
      <c r="BX1155">
        <f>IF(OR(cMed=0,cMed2=0,1153&gt;nFilas),NA(),IF(AND(ISNUMBER(INDEX(rMed2,1153)),ISNUMBER(INDEX(rMed,1153))),INDEX(rMed2,1153),NA()))</f>
        <v>2</v>
      </c>
      <c r="BY1155">
        <f>IF(OR(cMed=0,cMed2=0,1153&gt;nFilas),NA(),IF(AND(ISNUMBER(INDEX(rMed2,1153)),ISNUMBER(INDEX(rMed,1153))),INDEX(rMed,1153),NA()))</f>
        <v>274040</v>
      </c>
    </row>
    <row r="1156">
      <c r="BX1156">
        <f>IF(OR(cMed=0,cMed2=0,1154&gt;nFilas),NA(),IF(AND(ISNUMBER(INDEX(rMed2,1154)),ISNUMBER(INDEX(rMed,1154))),INDEX(rMed2,1154),NA()))</f>
        <v>2</v>
      </c>
      <c r="BY1156">
        <f>IF(OR(cMed=0,cMed2=0,1154&gt;nFilas),NA(),IF(AND(ISNUMBER(INDEX(rMed2,1154)),ISNUMBER(INDEX(rMed,1154))),INDEX(rMed,1154),NA()))</f>
        <v>455080</v>
      </c>
    </row>
    <row r="1157">
      <c r="BX1157">
        <f>IF(OR(cMed=0,cMed2=0,1155&gt;nFilas),NA(),IF(AND(ISNUMBER(INDEX(rMed2,1155)),ISNUMBER(INDEX(rMed,1155))),INDEX(rMed2,1155),NA()))</f>
        <v>2</v>
      </c>
      <c r="BY1157">
        <f>IF(OR(cMed=0,cMed2=0,1155&gt;nFilas),NA(),IF(AND(ISNUMBER(INDEX(rMed2,1155)),ISNUMBER(INDEX(rMed,1155))),INDEX(rMed,1155),NA()))</f>
        <v>186620</v>
      </c>
    </row>
    <row r="1158">
      <c r="BX1158">
        <f>IF(OR(cMed=0,cMed2=0,1156&gt;nFilas),NA(),IF(AND(ISNUMBER(INDEX(rMed2,1156)),ISNUMBER(INDEX(rMed,1156))),INDEX(rMed2,1156),NA()))</f>
        <v>5</v>
      </c>
      <c r="BY1158">
        <f>IF(OR(cMed=0,cMed2=0,1156&gt;nFilas),NA(),IF(AND(ISNUMBER(INDEX(rMed2,1156)),ISNUMBER(INDEX(rMed,1156))),INDEX(rMed,1156),NA()))</f>
        <v>1761575</v>
      </c>
    </row>
    <row r="1159">
      <c r="BX1159">
        <f>IF(OR(cMed=0,cMed2=0,1157&gt;nFilas),NA(),IF(AND(ISNUMBER(INDEX(rMed2,1157)),ISNUMBER(INDEX(rMed,1157))),INDEX(rMed2,1157),NA()))</f>
        <v>5</v>
      </c>
      <c r="BY1159">
        <f>IF(OR(cMed=0,cMed2=0,1157&gt;nFilas),NA(),IF(AND(ISNUMBER(INDEX(rMed2,1157)),ISNUMBER(INDEX(rMed,1157))),INDEX(rMed,1157),NA()))</f>
        <v>6846350</v>
      </c>
    </row>
    <row r="1160">
      <c r="BX1160">
        <f>IF(OR(cMed=0,cMed2=0,1158&gt;nFilas),NA(),IF(AND(ISNUMBER(INDEX(rMed2,1158)),ISNUMBER(INDEX(rMed,1158))),INDEX(rMed2,1158),NA()))</f>
        <v>1</v>
      </c>
      <c r="BY1160">
        <f>IF(OR(cMed=0,cMed2=0,1158&gt;nFilas),NA(),IF(AND(ISNUMBER(INDEX(rMed2,1158)),ISNUMBER(INDEX(rMed,1158))),INDEX(rMed,1158),NA()))</f>
        <v>1264335</v>
      </c>
    </row>
    <row r="1161">
      <c r="BX1161">
        <f>IF(OR(cMed=0,cMed2=0,1159&gt;nFilas),NA(),IF(AND(ISNUMBER(INDEX(rMed2,1159)),ISNUMBER(INDEX(rMed,1159))),INDEX(rMed2,1159),NA()))</f>
        <v>2</v>
      </c>
      <c r="BY1161">
        <f>IF(OR(cMed=0,cMed2=0,1159&gt;nFilas),NA(),IF(AND(ISNUMBER(INDEX(rMed2,1159)),ISNUMBER(INDEX(rMed,1159))),INDEX(rMed,1159),NA()))</f>
        <v>163370</v>
      </c>
    </row>
    <row r="1162">
      <c r="BX1162">
        <f>IF(OR(cMed=0,cMed2=0,1160&gt;nFilas),NA(),IF(AND(ISNUMBER(INDEX(rMed2,1160)),ISNUMBER(INDEX(rMed,1160))),INDEX(rMed2,1160),NA()))</f>
        <v>2</v>
      </c>
      <c r="BY1162">
        <f>IF(OR(cMed=0,cMed2=0,1160&gt;nFilas),NA(),IF(AND(ISNUMBER(INDEX(rMed2,1160)),ISNUMBER(INDEX(rMed,1160))),INDEX(rMed,1160),NA()))</f>
        <v>1868160</v>
      </c>
    </row>
    <row r="1163">
      <c r="BX1163">
        <f>IF(OR(cMed=0,cMed2=0,1161&gt;nFilas),NA(),IF(AND(ISNUMBER(INDEX(rMed2,1161)),ISNUMBER(INDEX(rMed,1161))),INDEX(rMed2,1161),NA()))</f>
        <v>1</v>
      </c>
      <c r="BY1163">
        <f>IF(OR(cMed=0,cMed2=0,1161&gt;nFilas),NA(),IF(AND(ISNUMBER(INDEX(rMed2,1161)),ISNUMBER(INDEX(rMed,1161))),INDEX(rMed,1161),NA()))</f>
        <v>907900</v>
      </c>
    </row>
    <row r="1164">
      <c r="BX1164">
        <f>IF(OR(cMed=0,cMed2=0,1162&gt;nFilas),NA(),IF(AND(ISNUMBER(INDEX(rMed2,1162)),ISNUMBER(INDEX(rMed,1162))),INDEX(rMed2,1162),NA()))</f>
        <v>2</v>
      </c>
      <c r="BY1164">
        <f>IF(OR(cMed=0,cMed2=0,1162&gt;nFilas),NA(),IF(AND(ISNUMBER(INDEX(rMed2,1162)),ISNUMBER(INDEX(rMed,1162))),INDEX(rMed,1162),NA()))</f>
        <v>220640</v>
      </c>
    </row>
    <row r="1165">
      <c r="BX1165">
        <f>IF(OR(cMed=0,cMed2=0,1163&gt;nFilas),NA(),IF(AND(ISNUMBER(INDEX(rMed2,1163)),ISNUMBER(INDEX(rMed,1163))),INDEX(rMed2,1163),NA()))</f>
        <v>2</v>
      </c>
      <c r="BY1165">
        <f>IF(OR(cMed=0,cMed2=0,1163&gt;nFilas),NA(),IF(AND(ISNUMBER(INDEX(rMed2,1163)),ISNUMBER(INDEX(rMed,1163))),INDEX(rMed,1163),NA()))</f>
        <v>405440</v>
      </c>
    </row>
    <row r="1166">
      <c r="BX1166">
        <f>IF(OR(cMed=0,cMed2=0,1164&gt;nFilas),NA(),IF(AND(ISNUMBER(INDEX(rMed2,1164)),ISNUMBER(INDEX(rMed,1164))),INDEX(rMed2,1164),NA()))</f>
        <v>1</v>
      </c>
      <c r="BY1166">
        <f>IF(OR(cMed=0,cMed2=0,1164&gt;nFilas),NA(),IF(AND(ISNUMBER(INDEX(rMed2,1164)),ISNUMBER(INDEX(rMed,1164))),INDEX(rMed,1164),NA()))</f>
        <v>1425200</v>
      </c>
    </row>
    <row r="1167">
      <c r="BX1167">
        <f>IF(OR(cMed=0,cMed2=0,1165&gt;nFilas),NA(),IF(AND(ISNUMBER(INDEX(rMed2,1165)),ISNUMBER(INDEX(rMed,1165))),INDEX(rMed2,1165),NA()))</f>
        <v>2</v>
      </c>
      <c r="BY1167">
        <f>IF(OR(cMed=0,cMed2=0,1165&gt;nFilas),NA(),IF(AND(ISNUMBER(INDEX(rMed2,1165)),ISNUMBER(INDEX(rMed,1165))),INDEX(rMed,1165),NA()))</f>
        <v>371560</v>
      </c>
    </row>
    <row r="1168">
      <c r="BX1168">
        <f>IF(OR(cMed=0,cMed2=0,1166&gt;nFilas),NA(),IF(AND(ISNUMBER(INDEX(rMed2,1166)),ISNUMBER(INDEX(rMed,1166))),INDEX(rMed2,1166),NA()))</f>
        <v>4</v>
      </c>
      <c r="BY1168">
        <f>IF(OR(cMed=0,cMed2=0,1166&gt;nFilas),NA(),IF(AND(ISNUMBER(INDEX(rMed2,1166)),ISNUMBER(INDEX(rMed,1166))),INDEX(rMed,1166),NA()))</f>
        <v>428960</v>
      </c>
    </row>
    <row r="1169">
      <c r="BX1169">
        <f>IF(OR(cMed=0,cMed2=0,1167&gt;nFilas),NA(),IF(AND(ISNUMBER(INDEX(rMed2,1167)),ISNUMBER(INDEX(rMed,1167))),INDEX(rMed2,1167),NA()))</f>
        <v>2</v>
      </c>
      <c r="BY1169">
        <f>IF(OR(cMed=0,cMed2=0,1167&gt;nFilas),NA(),IF(AND(ISNUMBER(INDEX(rMed2,1167)),ISNUMBER(INDEX(rMed,1167))),INDEX(rMed,1167),NA()))</f>
        <v>531720</v>
      </c>
    </row>
    <row r="1170">
      <c r="BX1170">
        <f>IF(OR(cMed=0,cMed2=0,1168&gt;nFilas),NA(),IF(AND(ISNUMBER(INDEX(rMed2,1168)),ISNUMBER(INDEX(rMed,1168))),INDEX(rMed2,1168),NA()))</f>
        <v>2</v>
      </c>
      <c r="BY1170">
        <f>IF(OR(cMed=0,cMed2=0,1168&gt;nFilas),NA(),IF(AND(ISNUMBER(INDEX(rMed2,1168)),ISNUMBER(INDEX(rMed,1168))),INDEX(rMed,1168),NA()))</f>
        <v>420280</v>
      </c>
    </row>
    <row r="1171">
      <c r="BX1171">
        <f>IF(OR(cMed=0,cMed2=0,1169&gt;nFilas),NA(),IF(AND(ISNUMBER(INDEX(rMed2,1169)),ISNUMBER(INDEX(rMed,1169))),INDEX(rMed2,1169),NA()))</f>
        <v>2</v>
      </c>
      <c r="BY1171">
        <f>IF(OR(cMed=0,cMed2=0,1169&gt;nFilas),NA(),IF(AND(ISNUMBER(INDEX(rMed2,1169)),ISNUMBER(INDEX(rMed,1169))),INDEX(rMed,1169),NA()))</f>
        <v>297920</v>
      </c>
    </row>
    <row r="1172">
      <c r="BX1172">
        <f>IF(OR(cMed=0,cMed2=0,1170&gt;nFilas),NA(),IF(AND(ISNUMBER(INDEX(rMed2,1170)),ISNUMBER(INDEX(rMed,1170))),INDEX(rMed2,1170),NA()))</f>
        <v>3</v>
      </c>
      <c r="BY1172">
        <f>IF(OR(cMed=0,cMed2=0,1170&gt;nFilas),NA(),IF(AND(ISNUMBER(INDEX(rMed2,1170)),ISNUMBER(INDEX(rMed,1170))),INDEX(rMed,1170),NA()))</f>
        <v>496440</v>
      </c>
    </row>
    <row r="1173">
      <c r="BX1173">
        <f>IF(OR(cMed=0,cMed2=0,1171&gt;nFilas),NA(),IF(AND(ISNUMBER(INDEX(rMed2,1171)),ISNUMBER(INDEX(rMed,1171))),INDEX(rMed2,1171),NA()))</f>
        <v>2</v>
      </c>
      <c r="BY1173">
        <f>IF(OR(cMed=0,cMed2=0,1171&gt;nFilas),NA(),IF(AND(ISNUMBER(INDEX(rMed2,1171)),ISNUMBER(INDEX(rMed,1171))),INDEX(rMed,1171),NA()))</f>
        <v>504000</v>
      </c>
    </row>
    <row r="1174">
      <c r="BX1174">
        <f>IF(OR(cMed=0,cMed2=0,1172&gt;nFilas),NA(),IF(AND(ISNUMBER(INDEX(rMed2,1172)),ISNUMBER(INDEX(rMed,1172))),INDEX(rMed2,1172),NA()))</f>
        <v>3</v>
      </c>
      <c r="BY1174">
        <f>IF(OR(cMed=0,cMed2=0,1172&gt;nFilas),NA(),IF(AND(ISNUMBER(INDEX(rMed2,1172)),ISNUMBER(INDEX(rMed,1172))),INDEX(rMed,1172),NA()))</f>
        <v>411180</v>
      </c>
    </row>
    <row r="1175">
      <c r="BX1175">
        <f>IF(OR(cMed=0,cMed2=0,1173&gt;nFilas),NA(),IF(AND(ISNUMBER(INDEX(rMed2,1173)),ISNUMBER(INDEX(rMed,1173))),INDEX(rMed2,1173),NA()))</f>
        <v>2</v>
      </c>
      <c r="BY1175">
        <f>IF(OR(cMed=0,cMed2=0,1173&gt;nFilas),NA(),IF(AND(ISNUMBER(INDEX(rMed2,1173)),ISNUMBER(INDEX(rMed,1173))),INDEX(rMed,1173),NA()))</f>
        <v>501760</v>
      </c>
    </row>
    <row r="1176">
      <c r="BX1176">
        <f>IF(OR(cMed=0,cMed2=0,1174&gt;nFilas),NA(),IF(AND(ISNUMBER(INDEX(rMed2,1174)),ISNUMBER(INDEX(rMed,1174))),INDEX(rMed2,1174),NA()))</f>
        <v>2</v>
      </c>
      <c r="BY1176">
        <f>IF(OR(cMed=0,cMed2=0,1174&gt;nFilas),NA(),IF(AND(ISNUMBER(INDEX(rMed2,1174)),ISNUMBER(INDEX(rMed,1174))),INDEX(rMed,1174),NA()))</f>
        <v>381360</v>
      </c>
    </row>
    <row r="1177">
      <c r="BX1177">
        <f>IF(OR(cMed=0,cMed2=0,1175&gt;nFilas),NA(),IF(AND(ISNUMBER(INDEX(rMed2,1175)),ISNUMBER(INDEX(rMed,1175))),INDEX(rMed2,1175),NA()))</f>
        <v>4</v>
      </c>
      <c r="BY1177">
        <f>IF(OR(cMed=0,cMed2=0,1175&gt;nFilas),NA(),IF(AND(ISNUMBER(INDEX(rMed2,1175)),ISNUMBER(INDEX(rMed,1175))),INDEX(rMed,1175),NA()))</f>
        <v>1018640</v>
      </c>
    </row>
    <row r="1178">
      <c r="BX1178">
        <f>IF(OR(cMed=0,cMed2=0,1176&gt;nFilas),NA(),IF(AND(ISNUMBER(INDEX(rMed2,1176)),ISNUMBER(INDEX(rMed,1176))),INDEX(rMed2,1176),NA()))</f>
        <v>2</v>
      </c>
      <c r="BY1178">
        <f>IF(OR(cMed=0,cMed2=0,1176&gt;nFilas),NA(),IF(AND(ISNUMBER(INDEX(rMed2,1176)),ISNUMBER(INDEX(rMed,1176))),INDEX(rMed,1176),NA()))</f>
        <v>605080</v>
      </c>
    </row>
    <row r="1179">
      <c r="BX1179">
        <f>IF(OR(cMed=0,cMed2=0,1177&gt;nFilas),NA(),IF(AND(ISNUMBER(INDEX(rMed2,1177)),ISNUMBER(INDEX(rMed,1177))),INDEX(rMed2,1177),NA()))</f>
        <v>5</v>
      </c>
      <c r="BY1179">
        <f>IF(OR(cMed=0,cMed2=0,1177&gt;nFilas),NA(),IF(AND(ISNUMBER(INDEX(rMed2,1177)),ISNUMBER(INDEX(rMed,1177))),INDEX(rMed,1177),NA()))</f>
        <v>1339800</v>
      </c>
    </row>
    <row r="1180">
      <c r="BX1180">
        <f>IF(OR(cMed=0,cMed2=0,1178&gt;nFilas),NA(),IF(AND(ISNUMBER(INDEX(rMed2,1178)),ISNUMBER(INDEX(rMed,1178))),INDEX(rMed2,1178),NA()))</f>
        <v>5</v>
      </c>
      <c r="BY1180">
        <f>IF(OR(cMed=0,cMed2=0,1178&gt;nFilas),NA(),IF(AND(ISNUMBER(INDEX(rMed2,1178)),ISNUMBER(INDEX(rMed,1178))),INDEX(rMed,1178),NA()))</f>
        <v>789600</v>
      </c>
    </row>
    <row r="1181">
      <c r="BX1181">
        <f>IF(OR(cMed=0,cMed2=0,1179&gt;nFilas),NA(),IF(AND(ISNUMBER(INDEX(rMed2,1179)),ISNUMBER(INDEX(rMed,1179))),INDEX(rMed2,1179),NA()))</f>
        <v>1</v>
      </c>
      <c r="BY1181">
        <f>IF(OR(cMed=0,cMed2=0,1179&gt;nFilas),NA(),IF(AND(ISNUMBER(INDEX(rMed2,1179)),ISNUMBER(INDEX(rMed,1179))),INDEX(rMed,1179),NA()))</f>
        <v>242265</v>
      </c>
    </row>
    <row r="1182">
      <c r="BX1182">
        <f>IF(OR(cMed=0,cMed2=0,1180&gt;nFilas),NA(),IF(AND(ISNUMBER(INDEX(rMed2,1180)),ISNUMBER(INDEX(rMed,1180))),INDEX(rMed2,1180),NA()))</f>
        <v>4</v>
      </c>
      <c r="BY1182">
        <f>IF(OR(cMed=0,cMed2=0,1180&gt;nFilas),NA(),IF(AND(ISNUMBER(INDEX(rMed2,1180)),ISNUMBER(INDEX(rMed,1180))),INDEX(rMed,1180),NA()))</f>
        <v>513360</v>
      </c>
    </row>
    <row r="1183">
      <c r="BX1183">
        <f>IF(OR(cMed=0,cMed2=0,1181&gt;nFilas),NA(),IF(AND(ISNUMBER(INDEX(rMed2,1181)),ISNUMBER(INDEX(rMed,1181))),INDEX(rMed2,1181),NA()))</f>
        <v>4</v>
      </c>
      <c r="BY1183">
        <f>IF(OR(cMed=0,cMed2=0,1181&gt;nFilas),NA(),IF(AND(ISNUMBER(INDEX(rMed2,1181)),ISNUMBER(INDEX(rMed,1181))),INDEX(rMed,1181),NA()))</f>
        <v>598300</v>
      </c>
    </row>
    <row r="1184">
      <c r="BX1184">
        <f>IF(OR(cMed=0,cMed2=0,1182&gt;nFilas),NA(),IF(AND(ISNUMBER(INDEX(rMed2,1182)),ISNUMBER(INDEX(rMed,1182))),INDEX(rMed2,1182),NA()))</f>
        <v>1</v>
      </c>
      <c r="BY1184">
        <f>IF(OR(cMed=0,cMed2=0,1182&gt;nFilas),NA(),IF(AND(ISNUMBER(INDEX(rMed2,1182)),ISNUMBER(INDEX(rMed,1182))),INDEX(rMed,1182),NA()))</f>
        <v>99200</v>
      </c>
    </row>
    <row r="1185">
      <c r="BX1185">
        <f>IF(OR(cMed=0,cMed2=0,1183&gt;nFilas),NA(),IF(AND(ISNUMBER(INDEX(rMed2,1183)),ISNUMBER(INDEX(rMed,1183))),INDEX(rMed2,1183),NA()))</f>
        <v>3</v>
      </c>
      <c r="BY1185">
        <f>IF(OR(cMed=0,cMed2=0,1183&gt;nFilas),NA(),IF(AND(ISNUMBER(INDEX(rMed2,1183)),ISNUMBER(INDEX(rMed,1183))),INDEX(rMed,1183),NA()))</f>
        <v>3030870</v>
      </c>
    </row>
    <row r="1186">
      <c r="BX1186">
        <f>IF(OR(cMed=0,cMed2=0,1184&gt;nFilas),NA(),IF(AND(ISNUMBER(INDEX(rMed2,1184)),ISNUMBER(INDEX(rMed,1184))),INDEX(rMed2,1184),NA()))</f>
        <v>4</v>
      </c>
      <c r="BY1186">
        <f>IF(OR(cMed=0,cMed2=0,1184&gt;nFilas),NA(),IF(AND(ISNUMBER(INDEX(rMed2,1184)),ISNUMBER(INDEX(rMed,1184))),INDEX(rMed,1184),NA()))</f>
        <v>1232560</v>
      </c>
    </row>
    <row r="1187">
      <c r="BX1187">
        <f>IF(OR(cMed=0,cMed2=0,1185&gt;nFilas),NA(),IF(AND(ISNUMBER(INDEX(rMed2,1185)),ISNUMBER(INDEX(rMed,1185))),INDEX(rMed2,1185),NA()))</f>
        <v>5</v>
      </c>
      <c r="BY1187">
        <f>IF(OR(cMed=0,cMed2=0,1185&gt;nFilas),NA(),IF(AND(ISNUMBER(INDEX(rMed2,1185)),ISNUMBER(INDEX(rMed,1185))),INDEX(rMed,1185),NA()))</f>
        <v>648675</v>
      </c>
    </row>
    <row r="1188">
      <c r="BX1188">
        <f>IF(OR(cMed=0,cMed2=0,1186&gt;nFilas),NA(),IF(AND(ISNUMBER(INDEX(rMed2,1186)),ISNUMBER(INDEX(rMed,1186))),INDEX(rMed2,1186),NA()))</f>
        <v>2</v>
      </c>
      <c r="BY1188">
        <f>IF(OR(cMed=0,cMed2=0,1186&gt;nFilas),NA(),IF(AND(ISNUMBER(INDEX(rMed2,1186)),ISNUMBER(INDEX(rMed,1186))),INDEX(rMed,1186),NA()))</f>
        <v>506230</v>
      </c>
    </row>
    <row r="1189">
      <c r="BX1189">
        <f>IF(OR(cMed=0,cMed2=0,1187&gt;nFilas),NA(),IF(AND(ISNUMBER(INDEX(rMed2,1187)),ISNUMBER(INDEX(rMed,1187))),INDEX(rMed2,1187),NA()))</f>
        <v>2</v>
      </c>
      <c r="BY1189">
        <f>IF(OR(cMed=0,cMed2=0,1187&gt;nFilas),NA(),IF(AND(ISNUMBER(INDEX(rMed2,1187)),ISNUMBER(INDEX(rMed,1187))),INDEX(rMed,1187),NA()))</f>
        <v>527310</v>
      </c>
    </row>
    <row r="1190">
      <c r="BX1190">
        <f>IF(OR(cMed=0,cMed2=0,1188&gt;nFilas),NA(),IF(AND(ISNUMBER(INDEX(rMed2,1188)),ISNUMBER(INDEX(rMed,1188))),INDEX(rMed2,1188),NA()))</f>
        <v>1</v>
      </c>
      <c r="BY1190">
        <f>IF(OR(cMed=0,cMed2=0,1188&gt;nFilas),NA(),IF(AND(ISNUMBER(INDEX(rMed2,1188)),ISNUMBER(INDEX(rMed,1188))),INDEX(rMed,1188),NA()))</f>
        <v>172825</v>
      </c>
    </row>
    <row r="1191">
      <c r="BX1191">
        <f>IF(OR(cMed=0,cMed2=0,1189&gt;nFilas),NA(),IF(AND(ISNUMBER(INDEX(rMed2,1189)),ISNUMBER(INDEX(rMed,1189))),INDEX(rMed2,1189),NA()))</f>
        <v>2</v>
      </c>
      <c r="BY1191">
        <f>IF(OR(cMed=0,cMed2=0,1189&gt;nFilas),NA(),IF(AND(ISNUMBER(INDEX(rMed2,1189)),ISNUMBER(INDEX(rMed,1189))),INDEX(rMed,1189),NA()))</f>
        <v>268150</v>
      </c>
    </row>
    <row r="1192">
      <c r="BX1192">
        <f>IF(OR(cMed=0,cMed2=0,1190&gt;nFilas),NA(),IF(AND(ISNUMBER(INDEX(rMed2,1190)),ISNUMBER(INDEX(rMed,1190))),INDEX(rMed2,1190),NA()))</f>
        <v>2</v>
      </c>
      <c r="BY1192">
        <f>IF(OR(cMed=0,cMed2=0,1190&gt;nFilas),NA(),IF(AND(ISNUMBER(INDEX(rMed2,1190)),ISNUMBER(INDEX(rMed,1190))),INDEX(rMed,1190),NA()))</f>
        <v>477090</v>
      </c>
    </row>
    <row r="1193">
      <c r="BX1193">
        <f>IF(OR(cMed=0,cMed2=0,1191&gt;nFilas),NA(),IF(AND(ISNUMBER(INDEX(rMed2,1191)),ISNUMBER(INDEX(rMed,1191))),INDEX(rMed2,1191),NA()))</f>
        <v>3</v>
      </c>
      <c r="BY1193">
        <f>IF(OR(cMed=0,cMed2=0,1191&gt;nFilas),NA(),IF(AND(ISNUMBER(INDEX(rMed2,1191)),ISNUMBER(INDEX(rMed,1191))),INDEX(rMed,1191),NA()))</f>
        <v>337125</v>
      </c>
    </row>
    <row r="1194">
      <c r="BX1194">
        <f>IF(OR(cMed=0,cMed2=0,1192&gt;nFilas),NA(),IF(AND(ISNUMBER(INDEX(rMed2,1192)),ISNUMBER(INDEX(rMed,1192))),INDEX(rMed2,1192),NA()))</f>
        <v>1</v>
      </c>
      <c r="BY1194">
        <f>IF(OR(cMed=0,cMed2=0,1192&gt;nFilas),NA(),IF(AND(ISNUMBER(INDEX(rMed2,1192)),ISNUMBER(INDEX(rMed,1192))),INDEX(rMed,1192),NA()))</f>
        <v>143840</v>
      </c>
    </row>
    <row r="1195">
      <c r="BX1195">
        <f>IF(OR(cMed=0,cMed2=0,1193&gt;nFilas),NA(),IF(AND(ISNUMBER(INDEX(rMed2,1193)),ISNUMBER(INDEX(rMed,1193))),INDEX(rMed2,1193),NA()))</f>
        <v>1</v>
      </c>
      <c r="BY1195">
        <f>IF(OR(cMed=0,cMed2=0,1193&gt;nFilas),NA(),IF(AND(ISNUMBER(INDEX(rMed2,1193)),ISNUMBER(INDEX(rMed,1193))),INDEX(rMed,1193),NA()))</f>
        <v>186310</v>
      </c>
    </row>
    <row r="1196">
      <c r="BX1196">
        <f>IF(OR(cMed=0,cMed2=0,1194&gt;nFilas),NA(),IF(AND(ISNUMBER(INDEX(rMed2,1194)),ISNUMBER(INDEX(rMed,1194))),INDEX(rMed2,1194),NA()))</f>
        <v>2</v>
      </c>
      <c r="BY1196">
        <f>IF(OR(cMed=0,cMed2=0,1194&gt;nFilas),NA(),IF(AND(ISNUMBER(INDEX(rMed2,1194)),ISNUMBER(INDEX(rMed,1194))),INDEX(rMed,1194),NA()))</f>
        <v>323950</v>
      </c>
    </row>
    <row r="1197">
      <c r="BX1197">
        <f>IF(OR(cMed=0,cMed2=0,1195&gt;nFilas),NA(),IF(AND(ISNUMBER(INDEX(rMed2,1195)),ISNUMBER(INDEX(rMed,1195))),INDEX(rMed2,1195),NA()))</f>
        <v>5</v>
      </c>
      <c r="BY1197">
        <f>IF(OR(cMed=0,cMed2=0,1195&gt;nFilas),NA(),IF(AND(ISNUMBER(INDEX(rMed2,1195)),ISNUMBER(INDEX(rMed,1195))),INDEX(rMed,1195),NA()))</f>
        <v>347200</v>
      </c>
    </row>
    <row r="1198">
      <c r="BX1198">
        <f>IF(OR(cMed=0,cMed2=0,1196&gt;nFilas),NA(),IF(AND(ISNUMBER(INDEX(rMed2,1196)),ISNUMBER(INDEX(rMed,1196))),INDEX(rMed2,1196),NA()))</f>
        <v>2</v>
      </c>
      <c r="BY1198">
        <f>IF(OR(cMed=0,cMed2=0,1196&gt;nFilas),NA(),IF(AND(ISNUMBER(INDEX(rMed2,1196)),ISNUMBER(INDEX(rMed,1196))),INDEX(rMed,1196),NA()))</f>
        <v>353360</v>
      </c>
    </row>
    <row r="1199">
      <c r="BX1199">
        <f>IF(OR(cMed=0,cMed2=0,1197&gt;nFilas),NA(),IF(AND(ISNUMBER(INDEX(rMed2,1197)),ISNUMBER(INDEX(rMed,1197))),INDEX(rMed2,1197),NA()))</f>
        <v>1</v>
      </c>
      <c r="BY1199">
        <f>IF(OR(cMed=0,cMed2=0,1197&gt;nFilas),NA(),IF(AND(ISNUMBER(INDEX(rMed2,1197)),ISNUMBER(INDEX(rMed,1197))),INDEX(rMed,1197),NA()))</f>
        <v>131880</v>
      </c>
    </row>
    <row r="1200">
      <c r="BX1200">
        <f>IF(OR(cMed=0,cMed2=0,1198&gt;nFilas),NA(),IF(AND(ISNUMBER(INDEX(rMed2,1198)),ISNUMBER(INDEX(rMed,1198))),INDEX(rMed2,1198),NA()))</f>
        <v>1</v>
      </c>
      <c r="BY1200">
        <f>IF(OR(cMed=0,cMed2=0,1198&gt;nFilas),NA(),IF(AND(ISNUMBER(INDEX(rMed2,1198)),ISNUMBER(INDEX(rMed,1198))),INDEX(rMed,1198),NA()))</f>
        <v>1316420</v>
      </c>
    </row>
    <row r="1201">
      <c r="BX1201">
        <f>IF(OR(cMed=0,cMed2=0,1199&gt;nFilas),NA(),IF(AND(ISNUMBER(INDEX(rMed2,1199)),ISNUMBER(INDEX(rMed,1199))),INDEX(rMed2,1199),NA()))</f>
        <v>5</v>
      </c>
      <c r="BY1201">
        <f>IF(OR(cMed=0,cMed2=0,1199&gt;nFilas),NA(),IF(AND(ISNUMBER(INDEX(rMed2,1199)),ISNUMBER(INDEX(rMed,1199))),INDEX(rMed,1199),NA()))</f>
        <v>614600</v>
      </c>
    </row>
    <row r="1202">
      <c r="BX1202">
        <f>IF(OR(cMed=0,cMed2=0,1200&gt;nFilas),NA(),IF(AND(ISNUMBER(INDEX(rMed2,1200)),ISNUMBER(INDEX(rMed,1200))),INDEX(rMed2,1200),NA()))</f>
        <v>1</v>
      </c>
      <c r="BY1202">
        <f>IF(OR(cMed=0,cMed2=0,1200&gt;nFilas),NA(),IF(AND(ISNUMBER(INDEX(rMed2,1200)),ISNUMBER(INDEX(rMed,1200))),INDEX(rMed,1200),NA()))</f>
        <v>216580</v>
      </c>
    </row>
    <row r="1203">
      <c r="BX1203">
        <f>IF(OR(cMed=0,cMed2=0,1201&gt;nFilas),NA(),IF(AND(ISNUMBER(INDEX(rMed2,1201)),ISNUMBER(INDEX(rMed,1201))),INDEX(rMed2,1201),NA()))</f>
        <v>5</v>
      </c>
      <c r="BY1203">
        <f>IF(OR(cMed=0,cMed2=0,1201&gt;nFilas),NA(),IF(AND(ISNUMBER(INDEX(rMed2,1201)),ISNUMBER(INDEX(rMed,1201))),INDEX(rMed,1201),NA()))</f>
        <v>894600</v>
      </c>
    </row>
    <row r="1204">
      <c r="BX1204">
        <f>IF(OR(cMed=0,cMed2=0,1202&gt;nFilas),NA(),IF(AND(ISNUMBER(INDEX(rMed2,1202)),ISNUMBER(INDEX(rMed,1202))),INDEX(rMed2,1202),NA()))</f>
        <v>2</v>
      </c>
      <c r="BY1204">
        <f>IF(OR(cMed=0,cMed2=0,1202&gt;nFilas),NA(),IF(AND(ISNUMBER(INDEX(rMed2,1202)),ISNUMBER(INDEX(rMed,1202))),INDEX(rMed,1202),NA()))</f>
        <v>317520</v>
      </c>
    </row>
    <row r="1205">
      <c r="BX1205">
        <f>IF(OR(cMed=0,cMed2=0,1203&gt;nFilas),NA(),IF(AND(ISNUMBER(INDEX(rMed2,1203)),ISNUMBER(INDEX(rMed,1203))),INDEX(rMed2,1203),NA()))</f>
        <v>3</v>
      </c>
      <c r="BY1205">
        <f>IF(OR(cMed=0,cMed2=0,1203&gt;nFilas),NA(),IF(AND(ISNUMBER(INDEX(rMed2,1203)),ISNUMBER(INDEX(rMed,1203))),INDEX(rMed,1203),NA()))</f>
        <v>528360</v>
      </c>
    </row>
    <row r="1206">
      <c r="BX1206">
        <f>IF(OR(cMed=0,cMed2=0,1204&gt;nFilas),NA(),IF(AND(ISNUMBER(INDEX(rMed2,1204)),ISNUMBER(INDEX(rMed,1204))),INDEX(rMed2,1204),NA()))</f>
        <v>2</v>
      </c>
      <c r="BY1206">
        <f>IF(OR(cMed=0,cMed2=0,1204&gt;nFilas),NA(),IF(AND(ISNUMBER(INDEX(rMed2,1204)),ISNUMBER(INDEX(rMed,1204))),INDEX(rMed,1204),NA()))</f>
        <v>278320</v>
      </c>
    </row>
    <row r="1207">
      <c r="BX1207">
        <f>IF(OR(cMed=0,cMed2=0,1205&gt;nFilas),NA(),IF(AND(ISNUMBER(INDEX(rMed2,1205)),ISNUMBER(INDEX(rMed,1205))),INDEX(rMed2,1205),NA()))</f>
        <v>3</v>
      </c>
      <c r="BY1207">
        <f>IF(OR(cMed=0,cMed2=0,1205&gt;nFilas),NA(),IF(AND(ISNUMBER(INDEX(rMed2,1205)),ISNUMBER(INDEX(rMed,1205))),INDEX(rMed,1205),NA()))</f>
        <v>488040</v>
      </c>
    </row>
    <row r="1208">
      <c r="BX1208">
        <f>IF(OR(cMed=0,cMed2=0,1206&gt;nFilas),NA(),IF(AND(ISNUMBER(INDEX(rMed2,1206)),ISNUMBER(INDEX(rMed,1206))),INDEX(rMed2,1206),NA()))</f>
        <v>3</v>
      </c>
      <c r="BY1208">
        <f>IF(OR(cMed=0,cMed2=0,1206&gt;nFilas),NA(),IF(AND(ISNUMBER(INDEX(rMed2,1206)),ISNUMBER(INDEX(rMed,1206))),INDEX(rMed,1206),NA()))</f>
        <v>594720</v>
      </c>
    </row>
    <row r="1209">
      <c r="BX1209">
        <f>IF(OR(cMed=0,cMed2=0,1207&gt;nFilas),NA(),IF(AND(ISNUMBER(INDEX(rMed2,1207)),ISNUMBER(INDEX(rMed,1207))),INDEX(rMed2,1207),NA()))</f>
        <v>2</v>
      </c>
      <c r="BY1209">
        <f>IF(OR(cMed=0,cMed2=0,1207&gt;nFilas),NA(),IF(AND(ISNUMBER(INDEX(rMed2,1207)),ISNUMBER(INDEX(rMed,1207))),INDEX(rMed,1207),NA()))</f>
        <v>220080</v>
      </c>
    </row>
    <row r="1210">
      <c r="BX1210">
        <f>IF(OR(cMed=0,cMed2=0,1208&gt;nFilas),NA(),IF(AND(ISNUMBER(INDEX(rMed2,1208)),ISNUMBER(INDEX(rMed,1208))),INDEX(rMed2,1208),NA()))</f>
        <v>5</v>
      </c>
      <c r="BY1210">
        <f>IF(OR(cMed=0,cMed2=0,1208&gt;nFilas),NA(),IF(AND(ISNUMBER(INDEX(rMed2,1208)),ISNUMBER(INDEX(rMed,1208))),INDEX(rMed,1208),NA()))</f>
        <v>854000</v>
      </c>
    </row>
    <row r="1211">
      <c r="BX1211">
        <f>IF(OR(cMed=0,cMed2=0,1209&gt;nFilas),NA(),IF(AND(ISNUMBER(INDEX(rMed2,1209)),ISNUMBER(INDEX(rMed,1209))),INDEX(rMed2,1209),NA()))</f>
        <v>2</v>
      </c>
      <c r="BY1211">
        <f>IF(OR(cMed=0,cMed2=0,1209&gt;nFilas),NA(),IF(AND(ISNUMBER(INDEX(rMed2,1209)),ISNUMBER(INDEX(rMed,1209))),INDEX(rMed,1209),NA()))</f>
        <v>284760</v>
      </c>
    </row>
    <row r="1212">
      <c r="BX1212">
        <f>IF(OR(cMed=0,cMed2=0,1210&gt;nFilas),NA(),IF(AND(ISNUMBER(INDEX(rMed2,1210)),ISNUMBER(INDEX(rMed,1210))),INDEX(rMed2,1210),NA()))</f>
        <v>4</v>
      </c>
      <c r="BY1212">
        <f>IF(OR(cMed=0,cMed2=0,1210&gt;nFilas),NA(),IF(AND(ISNUMBER(INDEX(rMed2,1210)),ISNUMBER(INDEX(rMed,1210))),INDEX(rMed,1210),NA()))</f>
        <v>670320</v>
      </c>
    </row>
    <row r="1213">
      <c r="BX1213">
        <f>IF(OR(cMed=0,cMed2=0,1211&gt;nFilas),NA(),IF(AND(ISNUMBER(INDEX(rMed2,1211)),ISNUMBER(INDEX(rMed,1211))),INDEX(rMed2,1211),NA()))</f>
        <v>3</v>
      </c>
      <c r="BY1213">
        <f>IF(OR(cMed=0,cMed2=0,1211&gt;nFilas),NA(),IF(AND(ISNUMBER(INDEX(rMed2,1211)),ISNUMBER(INDEX(rMed,1211))),INDEX(rMed,1211),NA()))</f>
        <v>947940</v>
      </c>
    </row>
    <row r="1214">
      <c r="BX1214">
        <f>IF(OR(cMed=0,cMed2=0,1212&gt;nFilas),NA(),IF(AND(ISNUMBER(INDEX(rMed2,1212)),ISNUMBER(INDEX(rMed,1212))),INDEX(rMed2,1212),NA()))</f>
        <v>3</v>
      </c>
      <c r="BY1214">
        <f>IF(OR(cMed=0,cMed2=0,1212&gt;nFilas),NA(),IF(AND(ISNUMBER(INDEX(rMed2,1212)),ISNUMBER(INDEX(rMed,1212))),INDEX(rMed,1212),NA()))</f>
        <v>628320</v>
      </c>
    </row>
    <row r="1215">
      <c r="BX1215">
        <f>IF(OR(cMed=0,cMed2=0,1213&gt;nFilas),NA(),IF(AND(ISNUMBER(INDEX(rMed2,1213)),ISNUMBER(INDEX(rMed,1213))),INDEX(rMed2,1213),NA()))</f>
        <v>1</v>
      </c>
      <c r="BY1215">
        <f>IF(OR(cMed=0,cMed2=0,1213&gt;nFilas),NA(),IF(AND(ISNUMBER(INDEX(rMed2,1213)),ISNUMBER(INDEX(rMed,1213))),INDEX(rMed,1213),NA()))</f>
        <v>118020</v>
      </c>
    </row>
    <row r="1216">
      <c r="BX1216">
        <f>IF(OR(cMed=0,cMed2=0,1214&gt;nFilas),NA(),IF(AND(ISNUMBER(INDEX(rMed2,1214)),ISNUMBER(INDEX(rMed,1214))),INDEX(rMed2,1214),NA()))</f>
        <v>5</v>
      </c>
      <c r="BY1216">
        <f>IF(OR(cMed=0,cMed2=0,1214&gt;nFilas),NA(),IF(AND(ISNUMBER(INDEX(rMed2,1214)),ISNUMBER(INDEX(rMed,1214))),INDEX(rMed,1214),NA()))</f>
        <v>620200</v>
      </c>
    </row>
    <row r="1217">
      <c r="BX1217">
        <f>IF(OR(cMed=0,cMed2=0,1215&gt;nFilas),NA(),IF(AND(ISNUMBER(INDEX(rMed2,1215)),ISNUMBER(INDEX(rMed,1215))),INDEX(rMed2,1215),NA()))</f>
        <v>2</v>
      </c>
      <c r="BY1217">
        <f>IF(OR(cMed=0,cMed2=0,1215&gt;nFilas),NA(),IF(AND(ISNUMBER(INDEX(rMed2,1215)),ISNUMBER(INDEX(rMed,1215))),INDEX(rMed,1215),NA()))</f>
        <v>577360</v>
      </c>
    </row>
    <row r="1218">
      <c r="BX1218">
        <f>IF(OR(cMed=0,cMed2=0,1216&gt;nFilas),NA(),IF(AND(ISNUMBER(INDEX(rMed2,1216)),ISNUMBER(INDEX(rMed,1216))),INDEX(rMed2,1216),NA()))</f>
        <v>5</v>
      </c>
      <c r="BY1218">
        <f>IF(OR(cMed=0,cMed2=0,1216&gt;nFilas),NA(),IF(AND(ISNUMBER(INDEX(rMed2,1216)),ISNUMBER(INDEX(rMed,1216))),INDEX(rMed,1216),NA()))</f>
        <v>1877400</v>
      </c>
    </row>
    <row r="1219">
      <c r="BX1219">
        <f>IF(OR(cMed=0,cMed2=0,1217&gt;nFilas),NA(),IF(AND(ISNUMBER(INDEX(rMed2,1217)),ISNUMBER(INDEX(rMed,1217))),INDEX(rMed2,1217),NA()))</f>
        <v>2</v>
      </c>
      <c r="BY1219">
        <f>IF(OR(cMed=0,cMed2=0,1217&gt;nFilas),NA(),IF(AND(ISNUMBER(INDEX(rMed2,1217)),ISNUMBER(INDEX(rMed,1217))),INDEX(rMed,1217),NA()))</f>
        <v>377720</v>
      </c>
    </row>
    <row r="1220">
      <c r="BX1220">
        <f>IF(OR(cMed=0,cMed2=0,1218&gt;nFilas),NA(),IF(AND(ISNUMBER(INDEX(rMed2,1218)),ISNUMBER(INDEX(rMed,1218))),INDEX(rMed2,1218),NA()))</f>
        <v>5</v>
      </c>
      <c r="BY1220">
        <f>IF(OR(cMed=0,cMed2=0,1218&gt;nFilas),NA(),IF(AND(ISNUMBER(INDEX(rMed2,1218)),ISNUMBER(INDEX(rMed,1218))),INDEX(rMed,1218),NA()))</f>
        <v>900900</v>
      </c>
    </row>
    <row r="1221">
      <c r="BX1221">
        <f>IF(OR(cMed=0,cMed2=0,1219&gt;nFilas),NA(),IF(AND(ISNUMBER(INDEX(rMed2,1219)),ISNUMBER(INDEX(rMed,1219))),INDEX(rMed2,1219),NA()))</f>
        <v>3</v>
      </c>
      <c r="BY1221">
        <f>IF(OR(cMed=0,cMed2=0,1219&gt;nFilas),NA(),IF(AND(ISNUMBER(INDEX(rMed2,1219)),ISNUMBER(INDEX(rMed,1219))),INDEX(rMed,1219),NA()))</f>
        <v>4620000</v>
      </c>
    </row>
    <row r="1222">
      <c r="BX1222">
        <f>IF(OR(cMed=0,cMed2=0,1220&gt;nFilas),NA(),IF(AND(ISNUMBER(INDEX(rMed2,1220)),ISNUMBER(INDEX(rMed,1220))),INDEX(rMed2,1220),NA()))</f>
        <v>1</v>
      </c>
      <c r="BY1222">
        <f>IF(OR(cMed=0,cMed2=0,1220&gt;nFilas),NA(),IF(AND(ISNUMBER(INDEX(rMed2,1220)),ISNUMBER(INDEX(rMed,1220))),INDEX(rMed,1220),NA()))</f>
        <v>150350</v>
      </c>
    </row>
    <row r="1223">
      <c r="BX1223">
        <f>IF(OR(cMed=0,cMed2=0,1221&gt;nFilas),NA(),IF(AND(ISNUMBER(INDEX(rMed2,1221)),ISNUMBER(INDEX(rMed,1221))),INDEX(rMed2,1221),NA()))</f>
        <v>2</v>
      </c>
      <c r="BY1223">
        <f>IF(OR(cMed=0,cMed2=0,1221&gt;nFilas),NA(),IF(AND(ISNUMBER(INDEX(rMed2,1221)),ISNUMBER(INDEX(rMed,1221))),INDEX(rMed,1221),NA()))</f>
        <v>422220</v>
      </c>
    </row>
    <row r="1224">
      <c r="BX1224">
        <f>IF(OR(cMed=0,cMed2=0,1222&gt;nFilas),NA(),IF(AND(ISNUMBER(INDEX(rMed2,1222)),ISNUMBER(INDEX(rMed,1222))),INDEX(rMed2,1222),NA()))</f>
        <v>3</v>
      </c>
      <c r="BY1224">
        <f>IF(OR(cMed=0,cMed2=0,1222&gt;nFilas),NA(),IF(AND(ISNUMBER(INDEX(rMed2,1222)),ISNUMBER(INDEX(rMed,1222))),INDEX(rMed,1222),NA()))</f>
        <v>519405</v>
      </c>
    </row>
    <row r="1225">
      <c r="BX1225">
        <f>IF(OR(cMed=0,cMed2=0,1223&gt;nFilas),NA(),IF(AND(ISNUMBER(INDEX(rMed2,1223)),ISNUMBER(INDEX(rMed,1223))),INDEX(rMed2,1223),NA()))</f>
        <v>2</v>
      </c>
      <c r="BY1225">
        <f>IF(OR(cMed=0,cMed2=0,1223&gt;nFilas),NA(),IF(AND(ISNUMBER(INDEX(rMed2,1223)),ISNUMBER(INDEX(rMed,1223))),INDEX(rMed,1223),NA()))</f>
        <v>2783800</v>
      </c>
    </row>
    <row r="1226">
      <c r="BX1226">
        <f>IF(OR(cMed=0,cMed2=0,1224&gt;nFilas),NA(),IF(AND(ISNUMBER(INDEX(rMed2,1224)),ISNUMBER(INDEX(rMed,1224))),INDEX(rMed2,1224),NA()))</f>
        <v>4</v>
      </c>
      <c r="BY1226">
        <f>IF(OR(cMed=0,cMed2=0,1224&gt;nFilas),NA(),IF(AND(ISNUMBER(INDEX(rMed2,1224)),ISNUMBER(INDEX(rMed,1224))),INDEX(rMed,1224),NA()))</f>
        <v>618760</v>
      </c>
    </row>
    <row r="1227">
      <c r="BX1227">
        <f>IF(OR(cMed=0,cMed2=0,1225&gt;nFilas),NA(),IF(AND(ISNUMBER(INDEX(rMed2,1225)),ISNUMBER(INDEX(rMed,1225))),INDEX(rMed2,1225),NA()))</f>
        <v>2</v>
      </c>
      <c r="BY1227">
        <f>IF(OR(cMed=0,cMed2=0,1225&gt;nFilas),NA(),IF(AND(ISNUMBER(INDEX(rMed2,1225)),ISNUMBER(INDEX(rMed,1225))),INDEX(rMed,1225),NA()))</f>
        <v>215140</v>
      </c>
    </row>
    <row r="1228">
      <c r="BX1228">
        <f>IF(OR(cMed=0,cMed2=0,1226&gt;nFilas),NA(),IF(AND(ISNUMBER(INDEX(rMed2,1226)),ISNUMBER(INDEX(rMed,1226))),INDEX(rMed2,1226),NA()))</f>
        <v>4</v>
      </c>
      <c r="BY1228">
        <f>IF(OR(cMed=0,cMed2=0,1226&gt;nFilas),NA(),IF(AND(ISNUMBER(INDEX(rMed2,1226)),ISNUMBER(INDEX(rMed,1226))),INDEX(rMed,1226),NA()))</f>
        <v>544980</v>
      </c>
    </row>
    <row r="1229">
      <c r="BX1229">
        <f>IF(OR(cMed=0,cMed2=0,1227&gt;nFilas),NA(),IF(AND(ISNUMBER(INDEX(rMed2,1227)),ISNUMBER(INDEX(rMed,1227))),INDEX(rMed2,1227),NA()))</f>
        <v>2</v>
      </c>
      <c r="BY1229">
        <f>IF(OR(cMed=0,cMed2=0,1227&gt;nFilas),NA(),IF(AND(ISNUMBER(INDEX(rMed2,1227)),ISNUMBER(INDEX(rMed,1227))),INDEX(rMed,1227),NA()))</f>
        <v>321780</v>
      </c>
    </row>
    <row r="1230">
      <c r="BX1230">
        <f>IF(OR(cMed=0,cMed2=0,1228&gt;nFilas),NA(),IF(AND(ISNUMBER(INDEX(rMed2,1228)),ISNUMBER(INDEX(rMed,1228))),INDEX(rMed2,1228),NA()))</f>
        <v>2</v>
      </c>
      <c r="BY1230">
        <f>IF(OR(cMed=0,cMed2=0,1228&gt;nFilas),NA(),IF(AND(ISNUMBER(INDEX(rMed2,1228)),ISNUMBER(INDEX(rMed,1228))),INDEX(rMed,1228),NA()))</f>
        <v>292020</v>
      </c>
    </row>
    <row r="1231">
      <c r="BX1231">
        <f>IF(OR(cMed=0,cMed2=0,1229&gt;nFilas),NA(),IF(AND(ISNUMBER(INDEX(rMed2,1229)),ISNUMBER(INDEX(rMed,1229))),INDEX(rMed2,1229),NA()))</f>
        <v>5</v>
      </c>
      <c r="BY1231">
        <f>IF(OR(cMed=0,cMed2=0,1229&gt;nFilas),NA(),IF(AND(ISNUMBER(INDEX(rMed2,1229)),ISNUMBER(INDEX(rMed,1229))),INDEX(rMed,1229),NA()))</f>
        <v>5403300</v>
      </c>
    </row>
    <row r="1232">
      <c r="BX1232">
        <f>IF(OR(cMed=0,cMed2=0,1230&gt;nFilas),NA(),IF(AND(ISNUMBER(INDEX(rMed2,1230)),ISNUMBER(INDEX(rMed,1230))),INDEX(rMed2,1230),NA()))</f>
        <v>3</v>
      </c>
      <c r="BY1232">
        <f>IF(OR(cMed=0,cMed2=0,1230&gt;nFilas),NA(),IF(AND(ISNUMBER(INDEX(rMed2,1230)),ISNUMBER(INDEX(rMed,1230))),INDEX(rMed,1230),NA()))</f>
        <v>345660</v>
      </c>
    </row>
    <row r="1233">
      <c r="BX1233">
        <f>IF(OR(cMed=0,cMed2=0,1231&gt;nFilas),NA(),IF(AND(ISNUMBER(INDEX(rMed2,1231)),ISNUMBER(INDEX(rMed,1231))),INDEX(rMed2,1231),NA()))</f>
        <v>1</v>
      </c>
      <c r="BY1233">
        <f>IF(OR(cMed=0,cMed2=0,1231&gt;nFilas),NA(),IF(AND(ISNUMBER(INDEX(rMed2,1231)),ISNUMBER(INDEX(rMed,1231))),INDEX(rMed,1231),NA()))</f>
        <v>124180</v>
      </c>
    </row>
    <row r="1234">
      <c r="BX1234">
        <f>IF(OR(cMed=0,cMed2=0,1232&gt;nFilas),NA(),IF(AND(ISNUMBER(INDEX(rMed2,1232)),ISNUMBER(INDEX(rMed,1232))),INDEX(rMed2,1232),NA()))</f>
        <v>2</v>
      </c>
      <c r="BY1234">
        <f>IF(OR(cMed=0,cMed2=0,1232&gt;nFilas),NA(),IF(AND(ISNUMBER(INDEX(rMed2,1232)),ISNUMBER(INDEX(rMed,1232))),INDEX(rMed,1232),NA()))</f>
        <v>328440</v>
      </c>
    </row>
    <row r="1235">
      <c r="BX1235">
        <f>IF(OR(cMed=0,cMed2=0,1233&gt;nFilas),NA(),IF(AND(ISNUMBER(INDEX(rMed2,1233)),ISNUMBER(INDEX(rMed,1233))),INDEX(rMed2,1233),NA()))</f>
        <v>5</v>
      </c>
      <c r="BY1235">
        <f>IF(OR(cMed=0,cMed2=0,1233&gt;nFilas),NA(),IF(AND(ISNUMBER(INDEX(rMed2,1233)),ISNUMBER(INDEX(rMed,1233))),INDEX(rMed,1233),NA()))</f>
        <v>487200</v>
      </c>
    </row>
    <row r="1236">
      <c r="BX1236">
        <f>IF(OR(cMed=0,cMed2=0,1234&gt;nFilas),NA(),IF(AND(ISNUMBER(INDEX(rMed2,1234)),ISNUMBER(INDEX(rMed,1234))),INDEX(rMed2,1234),NA()))</f>
        <v>5</v>
      </c>
      <c r="BY1236">
        <f>IF(OR(cMed=0,cMed2=0,1234&gt;nFilas),NA(),IF(AND(ISNUMBER(INDEX(rMed2,1234)),ISNUMBER(INDEX(rMed,1234))),INDEX(rMed,1234),NA()))</f>
        <v>1275400</v>
      </c>
    </row>
    <row r="1237">
      <c r="BX1237">
        <f>IF(OR(cMed=0,cMed2=0,1235&gt;nFilas),NA(),IF(AND(ISNUMBER(INDEX(rMed2,1235)),ISNUMBER(INDEX(rMed,1235))),INDEX(rMed2,1235),NA()))</f>
        <v>4</v>
      </c>
      <c r="BY1237">
        <f>IF(OR(cMed=0,cMed2=0,1235&gt;nFilas),NA(),IF(AND(ISNUMBER(INDEX(rMed2,1235)),ISNUMBER(INDEX(rMed,1235))),INDEX(rMed,1235),NA()))</f>
        <v>341600</v>
      </c>
    </row>
    <row r="1238">
      <c r="BX1238">
        <f>IF(OR(cMed=0,cMed2=0,1236&gt;nFilas),NA(),IF(AND(ISNUMBER(INDEX(rMed2,1236)),ISNUMBER(INDEX(rMed,1236))),INDEX(rMed2,1236),NA()))</f>
        <v>1</v>
      </c>
      <c r="BY1238">
        <f>IF(OR(cMed=0,cMed2=0,1236&gt;nFilas),NA(),IF(AND(ISNUMBER(INDEX(rMed2,1236)),ISNUMBER(INDEX(rMed,1236))),INDEX(rMed,1236),NA()))</f>
        <v>160020</v>
      </c>
    </row>
    <row r="1239">
      <c r="BX1239">
        <f>IF(OR(cMed=0,cMed2=0,1237&gt;nFilas),NA(),IF(AND(ISNUMBER(INDEX(rMed2,1237)),ISNUMBER(INDEX(rMed,1237))),INDEX(rMed2,1237),NA()))</f>
        <v>2</v>
      </c>
      <c r="BY1239">
        <f>IF(OR(cMed=0,cMed2=0,1237&gt;nFilas),NA(),IF(AND(ISNUMBER(INDEX(rMed2,1237)),ISNUMBER(INDEX(rMed,1237))),INDEX(rMed,1237),NA()))</f>
        <v>311920</v>
      </c>
    </row>
    <row r="1240">
      <c r="BX1240">
        <f>IF(OR(cMed=0,cMed2=0,1238&gt;nFilas),NA(),IF(AND(ISNUMBER(INDEX(rMed2,1238)),ISNUMBER(INDEX(rMed,1238))),INDEX(rMed2,1238),NA()))</f>
        <v>1</v>
      </c>
      <c r="BY1240">
        <f>IF(OR(cMed=0,cMed2=0,1238&gt;nFilas),NA(),IF(AND(ISNUMBER(INDEX(rMed2,1238)),ISNUMBER(INDEX(rMed,1238))),INDEX(rMed,1238),NA()))</f>
        <v>904680</v>
      </c>
    </row>
    <row r="1241">
      <c r="BX1241">
        <f>IF(OR(cMed=0,cMed2=0,1239&gt;nFilas),NA(),IF(AND(ISNUMBER(INDEX(rMed2,1239)),ISNUMBER(INDEX(rMed,1239))),INDEX(rMed2,1239),NA()))</f>
        <v>3</v>
      </c>
      <c r="BY1241">
        <f>IF(OR(cMed=0,cMed2=0,1239&gt;nFilas),NA(),IF(AND(ISNUMBER(INDEX(rMed2,1239)),ISNUMBER(INDEX(rMed,1239))),INDEX(rMed,1239),NA()))</f>
        <v>604380</v>
      </c>
    </row>
    <row r="1242">
      <c r="BX1242">
        <f>IF(OR(cMed=0,cMed2=0,1240&gt;nFilas),NA(),IF(AND(ISNUMBER(INDEX(rMed2,1240)),ISNUMBER(INDEX(rMed,1240))),INDEX(rMed2,1240),NA()))</f>
        <v>1</v>
      </c>
      <c r="BY1242">
        <f>IF(OR(cMed=0,cMed2=0,1240&gt;nFilas),NA(),IF(AND(ISNUMBER(INDEX(rMed2,1240)),ISNUMBER(INDEX(rMed,1240))),INDEX(rMed,1240),NA()))</f>
        <v>1518160</v>
      </c>
    </row>
    <row r="1243">
      <c r="BX1243">
        <f>IF(OR(cMed=0,cMed2=0,1241&gt;nFilas),NA(),IF(AND(ISNUMBER(INDEX(rMed2,1241)),ISNUMBER(INDEX(rMed,1241))),INDEX(rMed2,1241),NA()))</f>
        <v>2</v>
      </c>
      <c r="BY1243">
        <f>IF(OR(cMed=0,cMed2=0,1241&gt;nFilas),NA(),IF(AND(ISNUMBER(INDEX(rMed2,1241)),ISNUMBER(INDEX(rMed,1241))),INDEX(rMed,1241),NA()))</f>
        <v>514360</v>
      </c>
    </row>
    <row r="1244">
      <c r="BX1244">
        <f>IF(OR(cMed=0,cMed2=0,1242&gt;nFilas),NA(),IF(AND(ISNUMBER(INDEX(rMed2,1242)),ISNUMBER(INDEX(rMed,1242))),INDEX(rMed2,1242),NA()))</f>
        <v>4</v>
      </c>
      <c r="BY1244">
        <f>IF(OR(cMed=0,cMed2=0,1242&gt;nFilas),NA(),IF(AND(ISNUMBER(INDEX(rMed2,1242)),ISNUMBER(INDEX(rMed,1242))),INDEX(rMed,1242),NA()))</f>
        <v>627440</v>
      </c>
    </row>
    <row r="1245">
      <c r="BX1245">
        <f>IF(OR(cMed=0,cMed2=0,1243&gt;nFilas),NA(),IF(AND(ISNUMBER(INDEX(rMed2,1243)),ISNUMBER(INDEX(rMed,1243))),INDEX(rMed2,1243),NA()))</f>
        <v>2</v>
      </c>
      <c r="BY1245">
        <f>IF(OR(cMed=0,cMed2=0,1243&gt;nFilas),NA(),IF(AND(ISNUMBER(INDEX(rMed2,1243)),ISNUMBER(INDEX(rMed,1243))),INDEX(rMed,1243),NA()))</f>
        <v>504060</v>
      </c>
    </row>
    <row r="1246">
      <c r="BX1246">
        <f>IF(OR(cMed=0,cMed2=0,1244&gt;nFilas),NA(),IF(AND(ISNUMBER(INDEX(rMed2,1244)),ISNUMBER(INDEX(rMed,1244))),INDEX(rMed2,1244),NA()))</f>
        <v>2</v>
      </c>
      <c r="BY1246">
        <f>IF(OR(cMed=0,cMed2=0,1244&gt;nFilas),NA(),IF(AND(ISNUMBER(INDEX(rMed2,1244)),ISNUMBER(INDEX(rMed,1244))),INDEX(rMed,1244),NA()))</f>
        <v>310620</v>
      </c>
    </row>
    <row r="1247">
      <c r="BX1247">
        <f>IF(OR(cMed=0,cMed2=0,1245&gt;nFilas),NA(),IF(AND(ISNUMBER(INDEX(rMed2,1245)),ISNUMBER(INDEX(rMed,1245))),INDEX(rMed2,1245),NA()))</f>
        <v>2</v>
      </c>
      <c r="BY1247">
        <f>IF(OR(cMed=0,cMed2=0,1245&gt;nFilas),NA(),IF(AND(ISNUMBER(INDEX(rMed2,1245)),ISNUMBER(INDEX(rMed,1245))),INDEX(rMed,1245),NA()))</f>
        <v>356190</v>
      </c>
    </row>
    <row r="1248">
      <c r="BX1248">
        <f>IF(OR(cMed=0,cMed2=0,1246&gt;nFilas),NA(),IF(AND(ISNUMBER(INDEX(rMed2,1246)),ISNUMBER(INDEX(rMed,1246))),INDEX(rMed2,1246),NA()))</f>
        <v>1</v>
      </c>
      <c r="BY1248">
        <f>IF(OR(cMed=0,cMed2=0,1246&gt;nFilas),NA(),IF(AND(ISNUMBER(INDEX(rMed2,1246)),ISNUMBER(INDEX(rMed,1246))),INDEX(rMed,1246),NA()))</f>
        <v>1496525</v>
      </c>
    </row>
    <row r="1249">
      <c r="BX1249">
        <f>IF(OR(cMed=0,cMed2=0,1247&gt;nFilas),NA(),IF(AND(ISNUMBER(INDEX(rMed2,1247)),ISNUMBER(INDEX(rMed,1247))),INDEX(rMed2,1247),NA()))</f>
        <v>5</v>
      </c>
      <c r="BY1249">
        <f>IF(OR(cMed=0,cMed2=0,1247&gt;nFilas),NA(),IF(AND(ISNUMBER(INDEX(rMed2,1247)),ISNUMBER(INDEX(rMed,1247))),INDEX(rMed,1247),NA()))</f>
        <v>1229150</v>
      </c>
    </row>
    <row r="1250">
      <c r="BX1250">
        <f>IF(OR(cMed=0,cMed2=0,1248&gt;nFilas),NA(),IF(AND(ISNUMBER(INDEX(rMed2,1248)),ISNUMBER(INDEX(rMed,1248))),INDEX(rMed2,1248),NA()))</f>
        <v>2</v>
      </c>
      <c r="BY1250">
        <f>IF(OR(cMed=0,cMed2=0,1248&gt;nFilas),NA(),IF(AND(ISNUMBER(INDEX(rMed2,1248)),ISNUMBER(INDEX(rMed,1248))),INDEX(rMed,1248),NA()))</f>
        <v>700910</v>
      </c>
    </row>
    <row r="1251">
      <c r="BX1251">
        <f>IF(OR(cMed=0,cMed2=0,1249&gt;nFilas),NA(),IF(AND(ISNUMBER(INDEX(rMed2,1249)),ISNUMBER(INDEX(rMed,1249))),INDEX(rMed2,1249),NA()))</f>
        <v>2</v>
      </c>
      <c r="BY1251">
        <f>IF(OR(cMed=0,cMed2=0,1249&gt;nFilas),NA(),IF(AND(ISNUMBER(INDEX(rMed2,1249)),ISNUMBER(INDEX(rMed,1249))),INDEX(rMed,1249),NA()))</f>
        <v>360840</v>
      </c>
    </row>
    <row r="1252">
      <c r="BX1252">
        <f>IF(OR(cMed=0,cMed2=0,1250&gt;nFilas),NA(),IF(AND(ISNUMBER(INDEX(rMed2,1250)),ISNUMBER(INDEX(rMed,1250))),INDEX(rMed2,1250),NA()))</f>
        <v>2</v>
      </c>
      <c r="BY1252">
        <f>IF(OR(cMed=0,cMed2=0,1250&gt;nFilas),NA(),IF(AND(ISNUMBER(INDEX(rMed2,1250)),ISNUMBER(INDEX(rMed,1250))),INDEX(rMed,1250),NA()))</f>
        <v>335730</v>
      </c>
    </row>
    <row r="1253">
      <c r="BX1253">
        <f>IF(OR(cMed=0,cMed2=0,1251&gt;nFilas),NA(),IF(AND(ISNUMBER(INDEX(rMed2,1251)),ISNUMBER(INDEX(rMed,1251))),INDEX(rMed2,1251),NA()))</f>
        <v>1</v>
      </c>
      <c r="BY1253">
        <f>IF(OR(cMed=0,cMed2=0,1251&gt;nFilas),NA(),IF(AND(ISNUMBER(INDEX(rMed2,1251)),ISNUMBER(INDEX(rMed,1251))),INDEX(rMed,1251),NA()))</f>
        <v>287525</v>
      </c>
    </row>
    <row r="1254">
      <c r="BX1254">
        <f>IF(OR(cMed=0,cMed2=0,1252&gt;nFilas),NA(),IF(AND(ISNUMBER(INDEX(rMed2,1252)),ISNUMBER(INDEX(rMed,1252))),INDEX(rMed2,1252),NA()))</f>
        <v>5</v>
      </c>
      <c r="BY1254">
        <f>IF(OR(cMed=0,cMed2=0,1252&gt;nFilas),NA(),IF(AND(ISNUMBER(INDEX(rMed2,1252)),ISNUMBER(INDEX(rMed,1252))),INDEX(rMed,1252),NA()))</f>
        <v>883500</v>
      </c>
    </row>
    <row r="1255">
      <c r="BX1255">
        <f>IF(OR(cMed=0,cMed2=0,1253&gt;nFilas),NA(),IF(AND(ISNUMBER(INDEX(rMed2,1253)),ISNUMBER(INDEX(rMed,1253))),INDEX(rMed2,1253),NA()))</f>
        <v>1</v>
      </c>
      <c r="BY1255">
        <f>IF(OR(cMed=0,cMed2=0,1253&gt;nFilas),NA(),IF(AND(ISNUMBER(INDEX(rMed2,1253)),ISNUMBER(INDEX(rMed,1253))),INDEX(rMed,1253),NA()))</f>
        <v>115785</v>
      </c>
    </row>
    <row r="1256">
      <c r="BX1256">
        <f>IF(OR(cMed=0,cMed2=0,1254&gt;nFilas),NA(),IF(AND(ISNUMBER(INDEX(rMed2,1254)),ISNUMBER(INDEX(rMed,1254))),INDEX(rMed2,1254),NA()))</f>
        <v>2</v>
      </c>
      <c r="BY1256">
        <f>IF(OR(cMed=0,cMed2=0,1254&gt;nFilas),NA(),IF(AND(ISNUMBER(INDEX(rMed2,1254)),ISNUMBER(INDEX(rMed,1254))),INDEX(rMed,1254),NA()))</f>
        <v>779960</v>
      </c>
    </row>
    <row r="1257">
      <c r="BX1257">
        <f>IF(OR(cMed=0,cMed2=0,1255&gt;nFilas),NA(),IF(AND(ISNUMBER(INDEX(rMed2,1255)),ISNUMBER(INDEX(rMed,1255))),INDEX(rMed2,1255),NA()))</f>
        <v>4</v>
      </c>
      <c r="BY1257">
        <f>IF(OR(cMed=0,cMed2=0,1255&gt;nFilas),NA(),IF(AND(ISNUMBER(INDEX(rMed2,1255)),ISNUMBER(INDEX(rMed,1255))),INDEX(rMed,1255),NA()))</f>
        <v>5414460</v>
      </c>
    </row>
    <row r="1258">
      <c r="BX1258">
        <f>IF(OR(cMed=0,cMed2=0,1256&gt;nFilas),NA(),IF(AND(ISNUMBER(INDEX(rMed2,1256)),ISNUMBER(INDEX(rMed,1256))),INDEX(rMed2,1256),NA()))</f>
        <v>3</v>
      </c>
      <c r="BY1258">
        <f>IF(OR(cMed=0,cMed2=0,1256&gt;nFilas),NA(),IF(AND(ISNUMBER(INDEX(rMed2,1256)),ISNUMBER(INDEX(rMed,1256))),INDEX(rMed,1256),NA()))</f>
        <v>882105</v>
      </c>
    </row>
    <row r="1259">
      <c r="BX1259">
        <f>IF(OR(cMed=0,cMed2=0,1257&gt;nFilas),NA(),IF(AND(ISNUMBER(INDEX(rMed2,1257)),ISNUMBER(INDEX(rMed,1257))),INDEX(rMed2,1257),NA()))</f>
        <v>4</v>
      </c>
      <c r="BY1259">
        <f>IF(OR(cMed=0,cMed2=0,1257&gt;nFilas),NA(),IF(AND(ISNUMBER(INDEX(rMed2,1257)),ISNUMBER(INDEX(rMed,1257))),INDEX(rMed,1257),NA()))</f>
        <v>540400</v>
      </c>
    </row>
    <row r="1260">
      <c r="BX1260">
        <f>IF(OR(cMed=0,cMed2=0,1258&gt;nFilas),NA(),IF(AND(ISNUMBER(INDEX(rMed2,1258)),ISNUMBER(INDEX(rMed,1258))),INDEX(rMed2,1258),NA()))</f>
        <v>3</v>
      </c>
      <c r="BY1260">
        <f>IF(OR(cMed=0,cMed2=0,1258&gt;nFilas),NA(),IF(AND(ISNUMBER(INDEX(rMed2,1258)),ISNUMBER(INDEX(rMed,1258))),INDEX(rMed,1258),NA()))</f>
        <v>1137360</v>
      </c>
    </row>
    <row r="1261">
      <c r="BX1261">
        <f>IF(OR(cMed=0,cMed2=0,1259&gt;nFilas),NA(),IF(AND(ISNUMBER(INDEX(rMed2,1259)),ISNUMBER(INDEX(rMed,1259))),INDEX(rMed2,1259),NA()))</f>
        <v>3</v>
      </c>
      <c r="BY1261">
        <f>IF(OR(cMed=0,cMed2=0,1259&gt;nFilas),NA(),IF(AND(ISNUMBER(INDEX(rMed2,1259)),ISNUMBER(INDEX(rMed,1259))),INDEX(rMed,1259),NA()))</f>
        <v>924000</v>
      </c>
    </row>
    <row r="1262">
      <c r="BX1262">
        <f>IF(OR(cMed=0,cMed2=0,1260&gt;nFilas),NA(),IF(AND(ISNUMBER(INDEX(rMed2,1260)),ISNUMBER(INDEX(rMed,1260))),INDEX(rMed2,1260),NA()))</f>
        <v>1</v>
      </c>
      <c r="BY1262">
        <f>IF(OR(cMed=0,cMed2=0,1260&gt;nFilas),NA(),IF(AND(ISNUMBER(INDEX(rMed2,1260)),ISNUMBER(INDEX(rMed,1260))),INDEX(rMed,1260),NA()))</f>
        <v>1189440</v>
      </c>
    </row>
    <row r="1263">
      <c r="BX1263">
        <f>IF(OR(cMed=0,cMed2=0,1261&gt;nFilas),NA(),IF(AND(ISNUMBER(INDEX(rMed2,1261)),ISNUMBER(INDEX(rMed,1261))),INDEX(rMed2,1261),NA()))</f>
        <v>5</v>
      </c>
      <c r="BY1263">
        <f>IF(OR(cMed=0,cMed2=0,1261&gt;nFilas),NA(),IF(AND(ISNUMBER(INDEX(rMed2,1261)),ISNUMBER(INDEX(rMed,1261))),INDEX(rMed,1261),NA()))</f>
        <v>930000</v>
      </c>
    </row>
    <row r="1264">
      <c r="BX1264">
        <f>IF(OR(cMed=0,cMed2=0,1262&gt;nFilas),NA(),IF(AND(ISNUMBER(INDEX(rMed2,1262)),ISNUMBER(INDEX(rMed,1262))),INDEX(rMed2,1262),NA()))</f>
        <v>4</v>
      </c>
      <c r="BY1264">
        <f>IF(OR(cMed=0,cMed2=0,1262&gt;nFilas),NA(),IF(AND(ISNUMBER(INDEX(rMed2,1262)),ISNUMBER(INDEX(rMed,1262))),INDEX(rMed,1262),NA()))</f>
        <v>375600</v>
      </c>
    </row>
    <row r="1265">
      <c r="BX1265">
        <f>IF(OR(cMed=0,cMed2=0,1263&gt;nFilas),NA(),IF(AND(ISNUMBER(INDEX(rMed2,1263)),ISNUMBER(INDEX(rMed,1263))),INDEX(rMed2,1263),NA()))</f>
        <v>3</v>
      </c>
      <c r="BY1265">
        <f>IF(OR(cMed=0,cMed2=0,1263&gt;nFilas),NA(),IF(AND(ISNUMBER(INDEX(rMed2,1263)),ISNUMBER(INDEX(rMed,1263))),INDEX(rMed,1263),NA()))</f>
        <v>375900</v>
      </c>
    </row>
    <row r="1266">
      <c r="BX1266">
        <f>IF(OR(cMed=0,cMed2=0,1264&gt;nFilas),NA(),IF(AND(ISNUMBER(INDEX(rMed2,1264)),ISNUMBER(INDEX(rMed,1264))),INDEX(rMed2,1264),NA()))</f>
        <v>3</v>
      </c>
      <c r="BY1266">
        <f>IF(OR(cMed=0,cMed2=0,1264&gt;nFilas),NA(),IF(AND(ISNUMBER(INDEX(rMed2,1264)),ISNUMBER(INDEX(rMed,1264))),INDEX(rMed,1264),NA()))</f>
        <v>414000</v>
      </c>
    </row>
    <row r="1267">
      <c r="BX1267">
        <f>IF(OR(cMed=0,cMed2=0,1265&gt;nFilas),NA(),IF(AND(ISNUMBER(INDEX(rMed2,1265)),ISNUMBER(INDEX(rMed,1265))),INDEX(rMed2,1265),NA()))</f>
        <v>5</v>
      </c>
      <c r="BY1267">
        <f>IF(OR(cMed=0,cMed2=0,1265&gt;nFilas),NA(),IF(AND(ISNUMBER(INDEX(rMed2,1265)),ISNUMBER(INDEX(rMed,1265))),INDEX(rMed,1265),NA()))</f>
        <v>956000</v>
      </c>
    </row>
    <row r="1268">
      <c r="BX1268">
        <f>IF(OR(cMed=0,cMed2=0,1266&gt;nFilas),NA(),IF(AND(ISNUMBER(INDEX(rMed2,1266)),ISNUMBER(INDEX(rMed,1266))),INDEX(rMed2,1266),NA()))</f>
        <v>1</v>
      </c>
      <c r="BY1268">
        <f>IF(OR(cMed=0,cMed2=0,1266&gt;nFilas),NA(),IF(AND(ISNUMBER(INDEX(rMed2,1266)),ISNUMBER(INDEX(rMed,1266))),INDEX(rMed,1266),NA()))</f>
        <v>122900</v>
      </c>
    </row>
    <row r="1269">
      <c r="BX1269">
        <f>IF(OR(cMed=0,cMed2=0,1267&gt;nFilas),NA(),IF(AND(ISNUMBER(INDEX(rMed2,1267)),ISNUMBER(INDEX(rMed,1267))),INDEX(rMed2,1267),NA()))</f>
        <v>3</v>
      </c>
      <c r="BY1269">
        <f>IF(OR(cMed=0,cMed2=0,1267&gt;nFilas),NA(),IF(AND(ISNUMBER(INDEX(rMed2,1267)),ISNUMBER(INDEX(rMed,1267))),INDEX(rMed,1267),NA()))</f>
        <v>610800</v>
      </c>
    </row>
    <row r="1270">
      <c r="BX1270">
        <f>IF(OR(cMed=0,cMed2=0,1268&gt;nFilas),NA(),IF(AND(ISNUMBER(INDEX(rMed2,1268)),ISNUMBER(INDEX(rMed,1268))),INDEX(rMed2,1268),NA()))</f>
        <v>4</v>
      </c>
      <c r="BY1270">
        <f>IF(OR(cMed=0,cMed2=0,1268&gt;nFilas),NA(),IF(AND(ISNUMBER(INDEX(rMed2,1268)),ISNUMBER(INDEX(rMed,1268))),INDEX(rMed,1268),NA()))</f>
        <v>377660</v>
      </c>
    </row>
    <row r="1271">
      <c r="BX1271">
        <f>IF(OR(cMed=0,cMed2=0,1269&gt;nFilas),NA(),IF(AND(ISNUMBER(INDEX(rMed2,1269)),ISNUMBER(INDEX(rMed,1269))),INDEX(rMed2,1269),NA()))</f>
        <v>3</v>
      </c>
      <c r="BY1271">
        <f>IF(OR(cMed=0,cMed2=0,1269&gt;nFilas),NA(),IF(AND(ISNUMBER(INDEX(rMed2,1269)),ISNUMBER(INDEX(rMed,1269))),INDEX(rMed,1269),NA()))</f>
        <v>369840</v>
      </c>
    </row>
    <row r="1272">
      <c r="BX1272">
        <f>IF(OR(cMed=0,cMed2=0,1270&gt;nFilas),NA(),IF(AND(ISNUMBER(INDEX(rMed2,1270)),ISNUMBER(INDEX(rMed,1270))),INDEX(rMed2,1270),NA()))</f>
        <v>3</v>
      </c>
      <c r="BY1272">
        <f>IF(OR(cMed=0,cMed2=0,1270&gt;nFilas),NA(),IF(AND(ISNUMBER(INDEX(rMed2,1270)),ISNUMBER(INDEX(rMed,1270))),INDEX(rMed,1270),NA()))</f>
        <v>248400</v>
      </c>
    </row>
    <row r="1273">
      <c r="BX1273">
        <f>IF(OR(cMed=0,cMed2=0,1271&gt;nFilas),NA(),IF(AND(ISNUMBER(INDEX(rMed2,1271)),ISNUMBER(INDEX(rMed,1271))),INDEX(rMed2,1271),NA()))</f>
        <v>5</v>
      </c>
      <c r="BY1273">
        <f>IF(OR(cMed=0,cMed2=0,1271&gt;nFilas),NA(),IF(AND(ISNUMBER(INDEX(rMed2,1271)),ISNUMBER(INDEX(rMed,1271))),INDEX(rMed,1271),NA()))</f>
        <v>3700125</v>
      </c>
    </row>
    <row r="1274">
      <c r="BX1274">
        <f>IF(OR(cMed=0,cMed2=0,1272&gt;nFilas),NA(),IF(AND(ISNUMBER(INDEX(rMed2,1272)),ISNUMBER(INDEX(rMed,1272))),INDEX(rMed2,1272),NA()))</f>
        <v>3</v>
      </c>
      <c r="BY1274">
        <f>IF(OR(cMed=0,cMed2=0,1272&gt;nFilas),NA(),IF(AND(ISNUMBER(INDEX(rMed2,1272)),ISNUMBER(INDEX(rMed,1272))),INDEX(rMed,1272),NA()))</f>
        <v>329475</v>
      </c>
    </row>
    <row r="1275">
      <c r="BX1275">
        <f>IF(OR(cMed=0,cMed2=0,1273&gt;nFilas),NA(),IF(AND(ISNUMBER(INDEX(rMed2,1273)),ISNUMBER(INDEX(rMed,1273))),INDEX(rMed2,1273),NA()))</f>
        <v>3</v>
      </c>
      <c r="BY1275">
        <f>IF(OR(cMed=0,cMed2=0,1273&gt;nFilas),NA(),IF(AND(ISNUMBER(INDEX(rMed2,1273)),ISNUMBER(INDEX(rMed,1273))),INDEX(rMed,1273),NA()))</f>
        <v>2571285</v>
      </c>
    </row>
    <row r="1276">
      <c r="BX1276">
        <f>IF(OR(cMed=0,cMed2=0,1274&gt;nFilas),NA(),IF(AND(ISNUMBER(INDEX(rMed2,1274)),ISNUMBER(INDEX(rMed,1274))),INDEX(rMed2,1274),NA()))</f>
        <v>4</v>
      </c>
      <c r="BY1276">
        <f>IF(OR(cMed=0,cMed2=0,1274&gt;nFilas),NA(),IF(AND(ISNUMBER(INDEX(rMed2,1274)),ISNUMBER(INDEX(rMed,1274))),INDEX(rMed,1274),NA()))</f>
        <v>3002420</v>
      </c>
    </row>
    <row r="1277">
      <c r="BX1277">
        <f>IF(OR(cMed=0,cMed2=0,1275&gt;nFilas),NA(),IF(AND(ISNUMBER(INDEX(rMed2,1275)),ISNUMBER(INDEX(rMed,1275))),INDEX(rMed2,1275),NA()))</f>
        <v>3</v>
      </c>
      <c r="BY1277">
        <f>IF(OR(cMed=0,cMed2=0,1275&gt;nFilas),NA(),IF(AND(ISNUMBER(INDEX(rMed2,1275)),ISNUMBER(INDEX(rMed,1275))),INDEX(rMed,1275),NA()))</f>
        <v>399165</v>
      </c>
    </row>
    <row r="1278">
      <c r="BX1278">
        <f>IF(OR(cMed=0,cMed2=0,1276&gt;nFilas),NA(),IF(AND(ISNUMBER(INDEX(rMed2,1276)),ISNUMBER(INDEX(rMed,1276))),INDEX(rMed2,1276),NA()))</f>
        <v>5</v>
      </c>
      <c r="BY1278">
        <f>IF(OR(cMed=0,cMed2=0,1276&gt;nFilas),NA(),IF(AND(ISNUMBER(INDEX(rMed2,1276)),ISNUMBER(INDEX(rMed,1276))),INDEX(rMed,1276),NA()))</f>
        <v>669875</v>
      </c>
    </row>
    <row r="1279">
      <c r="BX1279">
        <f>IF(OR(cMed=0,cMed2=0,1277&gt;nFilas),NA(),IF(AND(ISNUMBER(INDEX(rMed2,1277)),ISNUMBER(INDEX(rMed,1277))),INDEX(rMed2,1277),NA()))</f>
        <v>4</v>
      </c>
      <c r="BY1279">
        <f>IF(OR(cMed=0,cMed2=0,1277&gt;nFilas),NA(),IF(AND(ISNUMBER(INDEX(rMed2,1277)),ISNUMBER(INDEX(rMed,1277))),INDEX(rMed,1277),NA()))</f>
        <v>493120</v>
      </c>
    </row>
    <row r="1280">
      <c r="BX1280">
        <f>IF(OR(cMed=0,cMed2=0,1278&gt;nFilas),NA(),IF(AND(ISNUMBER(INDEX(rMed2,1278)),ISNUMBER(INDEX(rMed,1278))),INDEX(rMed2,1278),NA()))</f>
        <v>2</v>
      </c>
      <c r="BY1280">
        <f>IF(OR(cMed=0,cMed2=0,1278&gt;nFilas),NA(),IF(AND(ISNUMBER(INDEX(rMed2,1278)),ISNUMBER(INDEX(rMed,1278))),INDEX(rMed,1278),NA()))</f>
        <v>159850</v>
      </c>
    </row>
    <row r="1281">
      <c r="BX1281">
        <f>IF(OR(cMed=0,cMed2=0,1279&gt;nFilas),NA(),IF(AND(ISNUMBER(INDEX(rMed2,1279)),ISNUMBER(INDEX(rMed,1279))),INDEX(rMed2,1279),NA()))</f>
        <v>4</v>
      </c>
      <c r="BY1281">
        <f>IF(OR(cMed=0,cMed2=0,1279&gt;nFilas),NA(),IF(AND(ISNUMBER(INDEX(rMed2,1279)),ISNUMBER(INDEX(rMed,1279))),INDEX(rMed,1279),NA()))</f>
        <v>784300</v>
      </c>
    </row>
    <row r="1282">
      <c r="BX1282">
        <f>IF(OR(cMed=0,cMed2=0,1280&gt;nFilas),NA(),IF(AND(ISNUMBER(INDEX(rMed2,1280)),ISNUMBER(INDEX(rMed,1280))),INDEX(rMed2,1280),NA()))</f>
        <v>5</v>
      </c>
      <c r="BY1282">
        <f>IF(OR(cMed=0,cMed2=0,1280&gt;nFilas),NA(),IF(AND(ISNUMBER(INDEX(rMed2,1280)),ISNUMBER(INDEX(rMed,1280))),INDEX(rMed,1280),NA()))</f>
        <v>456550</v>
      </c>
    </row>
    <row r="1283">
      <c r="BX1283">
        <f>IF(OR(cMed=0,cMed2=0,1281&gt;nFilas),NA(),IF(AND(ISNUMBER(INDEX(rMed2,1281)),ISNUMBER(INDEX(rMed,1281))),INDEX(rMed2,1281),NA()))</f>
        <v>5</v>
      </c>
      <c r="BY1283">
        <f>IF(OR(cMed=0,cMed2=0,1281&gt;nFilas),NA(),IF(AND(ISNUMBER(INDEX(rMed2,1281)),ISNUMBER(INDEX(rMed,1281))),INDEX(rMed,1281),NA()))</f>
        <v>331500</v>
      </c>
    </row>
    <row r="1284">
      <c r="BX1284">
        <f>IF(OR(cMed=0,cMed2=0,1282&gt;nFilas),NA(),IF(AND(ISNUMBER(INDEX(rMed2,1282)),ISNUMBER(INDEX(rMed,1282))),INDEX(rMed2,1282),NA()))</f>
        <v>4</v>
      </c>
      <c r="BY1284">
        <f>IF(OR(cMed=0,cMed2=0,1282&gt;nFilas),NA(),IF(AND(ISNUMBER(INDEX(rMed2,1282)),ISNUMBER(INDEX(rMed,1282))),INDEX(rMed,1282),NA()))</f>
        <v>976000</v>
      </c>
    </row>
    <row r="1285">
      <c r="BX1285">
        <f>IF(OR(cMed=0,cMed2=0,1283&gt;nFilas),NA(),IF(AND(ISNUMBER(INDEX(rMed2,1283)),ISNUMBER(INDEX(rMed,1283))),INDEX(rMed2,1283),NA()))</f>
        <v>1</v>
      </c>
      <c r="BY1285">
        <f>IF(OR(cMed=0,cMed2=0,1283&gt;nFilas),NA(),IF(AND(ISNUMBER(INDEX(rMed2,1283)),ISNUMBER(INDEX(rMed,1283))),INDEX(rMed,1283),NA()))</f>
        <v>855400</v>
      </c>
    </row>
    <row r="1286">
      <c r="BX1286">
        <f>IF(OR(cMed=0,cMed2=0,1284&gt;nFilas),NA(),IF(AND(ISNUMBER(INDEX(rMed2,1284)),ISNUMBER(INDEX(rMed,1284))),INDEX(rMed2,1284),NA()))</f>
        <v>4</v>
      </c>
      <c r="BY1286">
        <f>IF(OR(cMed=0,cMed2=0,1284&gt;nFilas),NA(),IF(AND(ISNUMBER(INDEX(rMed2,1284)),ISNUMBER(INDEX(rMed,1284))),INDEX(rMed,1284),NA()))</f>
        <v>725200</v>
      </c>
    </row>
    <row r="1287">
      <c r="BX1287">
        <f>IF(OR(cMed=0,cMed2=0,1285&gt;nFilas),NA(),IF(AND(ISNUMBER(INDEX(rMed2,1285)),ISNUMBER(INDEX(rMed,1285))),INDEX(rMed2,1285),NA()))</f>
        <v>1</v>
      </c>
      <c r="BY1287">
        <f>IF(OR(cMed=0,cMed2=0,1285&gt;nFilas),NA(),IF(AND(ISNUMBER(INDEX(rMed2,1285)),ISNUMBER(INDEX(rMed,1285))),INDEX(rMed,1285),NA()))</f>
        <v>831600</v>
      </c>
    </row>
    <row r="1288">
      <c r="BX1288">
        <f>IF(OR(cMed=0,cMed2=0,1286&gt;nFilas),NA(),IF(AND(ISNUMBER(INDEX(rMed2,1286)),ISNUMBER(INDEX(rMed,1286))),INDEX(rMed2,1286),NA()))</f>
        <v>5</v>
      </c>
      <c r="BY1288">
        <f>IF(OR(cMed=0,cMed2=0,1286&gt;nFilas),NA(),IF(AND(ISNUMBER(INDEX(rMed2,1286)),ISNUMBER(INDEX(rMed,1286))),INDEX(rMed,1286),NA()))</f>
        <v>689000</v>
      </c>
    </row>
    <row r="1289">
      <c r="BX1289">
        <f>IF(OR(cMed=0,cMed2=0,1287&gt;nFilas),NA(),IF(AND(ISNUMBER(INDEX(rMed2,1287)),ISNUMBER(INDEX(rMed,1287))),INDEX(rMed2,1287),NA()))</f>
        <v>1</v>
      </c>
      <c r="BY1289">
        <f>IF(OR(cMed=0,cMed2=0,1287&gt;nFilas),NA(),IF(AND(ISNUMBER(INDEX(rMed2,1287)),ISNUMBER(INDEX(rMed,1287))),INDEX(rMed,1287),NA()))</f>
        <v>88600</v>
      </c>
    </row>
    <row r="1290">
      <c r="BX1290">
        <f>IF(OR(cMed=0,cMed2=0,1288&gt;nFilas),NA(),IF(AND(ISNUMBER(INDEX(rMed2,1288)),ISNUMBER(INDEX(rMed,1288))),INDEX(rMed2,1288),NA()))</f>
        <v>3</v>
      </c>
      <c r="BY1290">
        <f>IF(OR(cMed=0,cMed2=0,1288&gt;nFilas),NA(),IF(AND(ISNUMBER(INDEX(rMed2,1288)),ISNUMBER(INDEX(rMed,1288))),INDEX(rMed,1288),NA()))</f>
        <v>168600</v>
      </c>
    </row>
    <row r="1291">
      <c r="BX1291">
        <f>IF(OR(cMed=0,cMed2=0,1289&gt;nFilas),NA(),IF(AND(ISNUMBER(INDEX(rMed2,1289)),ISNUMBER(INDEX(rMed,1289))),INDEX(rMed2,1289),NA()))</f>
        <v>2</v>
      </c>
      <c r="BY1291">
        <f>IF(OR(cMed=0,cMed2=0,1289&gt;nFilas),NA(),IF(AND(ISNUMBER(INDEX(rMed2,1289)),ISNUMBER(INDEX(rMed,1289))),INDEX(rMed,1289),NA()))</f>
        <v>359800</v>
      </c>
    </row>
    <row r="1292">
      <c r="BX1292">
        <f>IF(OR(cMed=0,cMed2=0,1290&gt;nFilas),NA(),IF(AND(ISNUMBER(INDEX(rMed2,1290)),ISNUMBER(INDEX(rMed,1290))),INDEX(rMed2,1290),NA()))</f>
        <v>4</v>
      </c>
      <c r="BY1292">
        <f>IF(OR(cMed=0,cMed2=0,1290&gt;nFilas),NA(),IF(AND(ISNUMBER(INDEX(rMed2,1290)),ISNUMBER(INDEX(rMed,1290))),INDEX(rMed,1290),NA()))</f>
        <v>256400</v>
      </c>
    </row>
    <row r="1293">
      <c r="BX1293">
        <f>IF(OR(cMed=0,cMed2=0,1291&gt;nFilas),NA(),IF(AND(ISNUMBER(INDEX(rMed2,1291)),ISNUMBER(INDEX(rMed,1291))),INDEX(rMed2,1291),NA()))</f>
        <v>3</v>
      </c>
      <c r="BY1293">
        <f>IF(OR(cMed=0,cMed2=0,1291&gt;nFilas),NA(),IF(AND(ISNUMBER(INDEX(rMed2,1291)),ISNUMBER(INDEX(rMed,1291))),INDEX(rMed,1291),NA()))</f>
        <v>565800</v>
      </c>
    </row>
    <row r="1294">
      <c r="BX1294">
        <f>IF(OR(cMed=0,cMed2=0,1292&gt;nFilas),NA(),IF(AND(ISNUMBER(INDEX(rMed2,1292)),ISNUMBER(INDEX(rMed,1292))),INDEX(rMed2,1292),NA()))</f>
        <v>4</v>
      </c>
      <c r="BY1294">
        <f>IF(OR(cMed=0,cMed2=0,1292&gt;nFilas),NA(),IF(AND(ISNUMBER(INDEX(rMed2,1292)),ISNUMBER(INDEX(rMed,1292))),INDEX(rMed,1292),NA()))</f>
        <v>238400</v>
      </c>
    </row>
    <row r="1295">
      <c r="BX1295">
        <f>IF(OR(cMed=0,cMed2=0,1293&gt;nFilas),NA(),IF(AND(ISNUMBER(INDEX(rMed2,1293)),ISNUMBER(INDEX(rMed,1293))),INDEX(rMed2,1293),NA()))</f>
        <v>3</v>
      </c>
      <c r="BY1295">
        <f>IF(OR(cMed=0,cMed2=0,1293&gt;nFilas),NA(),IF(AND(ISNUMBER(INDEX(rMed2,1293)),ISNUMBER(INDEX(rMed,1293))),INDEX(rMed,1293),NA()))</f>
        <v>192300</v>
      </c>
    </row>
    <row r="1296">
      <c r="BX1296">
        <f>IF(OR(cMed=0,cMed2=0,1294&gt;nFilas),NA(),IF(AND(ISNUMBER(INDEX(rMed2,1294)),ISNUMBER(INDEX(rMed,1294))),INDEX(rMed2,1294),NA()))</f>
        <v>2</v>
      </c>
      <c r="BY1296">
        <f>IF(OR(cMed=0,cMed2=0,1294&gt;nFilas),NA(),IF(AND(ISNUMBER(INDEX(rMed2,1294)),ISNUMBER(INDEX(rMed,1294))),INDEX(rMed,1294),NA()))</f>
        <v>389400</v>
      </c>
    </row>
    <row r="1297">
      <c r="BX1297">
        <f>IF(OR(cMed=0,cMed2=0,1295&gt;nFilas),NA(),IF(AND(ISNUMBER(INDEX(rMed2,1295)),ISNUMBER(INDEX(rMed,1295))),INDEX(rMed2,1295),NA()))</f>
        <v>1</v>
      </c>
      <c r="BY1297">
        <f>IF(OR(cMed=0,cMed2=0,1295&gt;nFilas),NA(),IF(AND(ISNUMBER(INDEX(rMed2,1295)),ISNUMBER(INDEX(rMed,1295))),INDEX(rMed,1295),NA()))</f>
        <v>1028900</v>
      </c>
    </row>
    <row r="1298">
      <c r="BX1298">
        <f>IF(OR(cMed=0,cMed2=0,1296&gt;nFilas),NA(),IF(AND(ISNUMBER(INDEX(rMed2,1296)),ISNUMBER(INDEX(rMed,1296))),INDEX(rMed2,1296),NA()))</f>
        <v>3</v>
      </c>
      <c r="BY1298">
        <f>IF(OR(cMed=0,cMed2=0,1296&gt;nFilas),NA(),IF(AND(ISNUMBER(INDEX(rMed2,1296)),ISNUMBER(INDEX(rMed,1296))),INDEX(rMed,1296),NA()))</f>
        <v>187200</v>
      </c>
    </row>
    <row r="1299">
      <c r="BX1299">
        <f>IF(OR(cMed=0,cMed2=0,1297&gt;nFilas),NA(),IF(AND(ISNUMBER(INDEX(rMed2,1297)),ISNUMBER(INDEX(rMed,1297))),INDEX(rMed2,1297),NA()))</f>
        <v>5</v>
      </c>
      <c r="BY1299">
        <f>IF(OR(cMed=0,cMed2=0,1297&gt;nFilas),NA(),IF(AND(ISNUMBER(INDEX(rMed2,1297)),ISNUMBER(INDEX(rMed,1297))),INDEX(rMed,1297),NA()))</f>
        <v>283500</v>
      </c>
    </row>
    <row r="1300">
      <c r="BX1300">
        <f>IF(OR(cMed=0,cMed2=0,1298&gt;nFilas),NA(),IF(AND(ISNUMBER(INDEX(rMed2,1298)),ISNUMBER(INDEX(rMed,1298))),INDEX(rMed2,1298),NA()))</f>
        <v>4</v>
      </c>
      <c r="BY1300">
        <f>IF(OR(cMed=0,cMed2=0,1298&gt;nFilas),NA(),IF(AND(ISNUMBER(INDEX(rMed2,1298)),ISNUMBER(INDEX(rMed,1298))),INDEX(rMed,1298),NA()))</f>
        <v>420440</v>
      </c>
    </row>
    <row r="1301">
      <c r="BX1301">
        <f>IF(OR(cMed=0,cMed2=0,1299&gt;nFilas),NA(),IF(AND(ISNUMBER(INDEX(rMed2,1299)),ISNUMBER(INDEX(rMed,1299))),INDEX(rMed2,1299),NA()))</f>
        <v>1</v>
      </c>
      <c r="BY1301">
        <f>IF(OR(cMed=0,cMed2=0,1299&gt;nFilas),NA(),IF(AND(ISNUMBER(INDEX(rMed2,1299)),ISNUMBER(INDEX(rMed,1299))),INDEX(rMed,1299),NA()))</f>
        <v>69115</v>
      </c>
    </row>
    <row r="1302">
      <c r="BX1302">
        <f>IF(OR(cMed=0,cMed2=0,1300&gt;nFilas),NA(),IF(AND(ISNUMBER(INDEX(rMed2,1300)),ISNUMBER(INDEX(rMed,1300))),INDEX(rMed2,1300),NA()))</f>
        <v>1</v>
      </c>
      <c r="BY1302">
        <f>IF(OR(cMed=0,cMed2=0,1300&gt;nFilas),NA(),IF(AND(ISNUMBER(INDEX(rMed2,1300)),ISNUMBER(INDEX(rMed,1300))),INDEX(rMed,1300),NA()))</f>
        <v>284395</v>
      </c>
    </row>
    <row r="1303">
      <c r="BX1303">
        <f>IF(OR(cMed=0,cMed2=0,1301&gt;nFilas),NA(),IF(AND(ISNUMBER(INDEX(rMed2,1301)),ISNUMBER(INDEX(rMed,1301))),INDEX(rMed2,1301),NA()))</f>
        <v>5</v>
      </c>
      <c r="BY1303">
        <f>IF(OR(cMed=0,cMed2=0,1301&gt;nFilas),NA(),IF(AND(ISNUMBER(INDEX(rMed2,1301)),ISNUMBER(INDEX(rMed,1301))),INDEX(rMed,1301),NA()))</f>
        <v>937250</v>
      </c>
    </row>
    <row r="1304">
      <c r="BX1304">
        <f>IF(OR(cMed=0,cMed2=0,1302&gt;nFilas),NA(),IF(AND(ISNUMBER(INDEX(rMed2,1302)),ISNUMBER(INDEX(rMed,1302))),INDEX(rMed2,1302),NA()))</f>
        <v>2</v>
      </c>
      <c r="BY1304">
        <f>IF(OR(cMed=0,cMed2=0,1302&gt;nFilas),NA(),IF(AND(ISNUMBER(INDEX(rMed2,1302)),ISNUMBER(INDEX(rMed,1302))),INDEX(rMed,1302),NA()))</f>
        <v>204240</v>
      </c>
    </row>
    <row r="1305">
      <c r="BX1305">
        <f>IF(OR(cMed=0,cMed2=0,1303&gt;nFilas),NA(),IF(AND(ISNUMBER(INDEX(rMed2,1303)),ISNUMBER(INDEX(rMed,1303))),INDEX(rMed2,1303),NA()))</f>
        <v>1</v>
      </c>
      <c r="BY1305">
        <f>IF(OR(cMed=0,cMed2=0,1303&gt;nFilas),NA(),IF(AND(ISNUMBER(INDEX(rMed2,1303)),ISNUMBER(INDEX(rMed,1303))),INDEX(rMed,1303),NA()))</f>
        <v>83145</v>
      </c>
    </row>
    <row r="1306">
      <c r="BX1306">
        <f>IF(OR(cMed=0,cMed2=0,1304&gt;nFilas),NA(),IF(AND(ISNUMBER(INDEX(rMed2,1304)),ISNUMBER(INDEX(rMed,1304))),INDEX(rMed2,1304),NA()))</f>
        <v>2</v>
      </c>
      <c r="BY1306">
        <f>IF(OR(cMed=0,cMed2=0,1304&gt;nFilas),NA(),IF(AND(ISNUMBER(INDEX(rMed2,1304)),ISNUMBER(INDEX(rMed,1304))),INDEX(rMed,1304),NA()))</f>
        <v>114080</v>
      </c>
    </row>
    <row r="1307">
      <c r="BX1307">
        <f>IF(OR(cMed=0,cMed2=0,1305&gt;nFilas),NA(),IF(AND(ISNUMBER(INDEX(rMed2,1305)),ISNUMBER(INDEX(rMed,1305))),INDEX(rMed2,1305),NA()))</f>
        <v>2</v>
      </c>
      <c r="BY1307">
        <f>IF(OR(cMed=0,cMed2=0,1305&gt;nFilas),NA(),IF(AND(ISNUMBER(INDEX(rMed2,1305)),ISNUMBER(INDEX(rMed,1305))),INDEX(rMed,1305),NA()))</f>
        <v>170430</v>
      </c>
    </row>
    <row r="1308">
      <c r="BX1308">
        <f>IF(OR(cMed=0,cMed2=0,1306&gt;nFilas),NA(),IF(AND(ISNUMBER(INDEX(rMed2,1306)),ISNUMBER(INDEX(rMed,1306))),INDEX(rMed2,1306),NA()))</f>
        <v>2</v>
      </c>
      <c r="BY1308">
        <f>IF(OR(cMed=0,cMed2=0,1306&gt;nFilas),NA(),IF(AND(ISNUMBER(INDEX(rMed2,1306)),ISNUMBER(INDEX(rMed,1306))),INDEX(rMed,1306),NA()))</f>
        <v>203780</v>
      </c>
    </row>
    <row r="1309">
      <c r="BX1309">
        <f>IF(OR(cMed=0,cMed2=0,1307&gt;nFilas),NA(),IF(AND(ISNUMBER(INDEX(rMed2,1307)),ISNUMBER(INDEX(rMed,1307))),INDEX(rMed2,1307),NA()))</f>
        <v>4</v>
      </c>
      <c r="BY1309">
        <f>IF(OR(cMed=0,cMed2=0,1307&gt;nFilas),NA(),IF(AND(ISNUMBER(INDEX(rMed2,1307)),ISNUMBER(INDEX(rMed,1307))),INDEX(rMed,1307),NA()))</f>
        <v>1043280</v>
      </c>
    </row>
    <row r="1310">
      <c r="BX1310">
        <f>IF(OR(cMed=0,cMed2=0,1308&gt;nFilas),NA(),IF(AND(ISNUMBER(INDEX(rMed2,1308)),ISNUMBER(INDEX(rMed,1308))),INDEX(rMed2,1308),NA()))</f>
        <v>3</v>
      </c>
      <c r="BY1310">
        <f>IF(OR(cMed=0,cMed2=0,1308&gt;nFilas),NA(),IF(AND(ISNUMBER(INDEX(rMed2,1308)),ISNUMBER(INDEX(rMed,1308))),INDEX(rMed,1308),NA()))</f>
        <v>291870</v>
      </c>
    </row>
    <row r="1311">
      <c r="BX1311">
        <f>IF(OR(cMed=0,cMed2=0,1309&gt;nFilas),NA(),IF(AND(ISNUMBER(INDEX(rMed2,1309)),ISNUMBER(INDEX(rMed,1309))),INDEX(rMed2,1309),NA()))</f>
        <v>1</v>
      </c>
      <c r="BY1311">
        <f>IF(OR(cMed=0,cMed2=0,1309&gt;nFilas),NA(),IF(AND(ISNUMBER(INDEX(rMed2,1309)),ISNUMBER(INDEX(rMed,1309))),INDEX(rMed,1309),NA()))</f>
        <v>135200</v>
      </c>
    </row>
    <row r="1312">
      <c r="BX1312">
        <f>IF(OR(cMed=0,cMed2=0,1310&gt;nFilas),NA(),IF(AND(ISNUMBER(INDEX(rMed2,1310)),ISNUMBER(INDEX(rMed,1310))),INDEX(rMed2,1310),NA()))</f>
        <v>1</v>
      </c>
      <c r="BY1312">
        <f>IF(OR(cMed=0,cMed2=0,1310&gt;nFilas),NA(),IF(AND(ISNUMBER(INDEX(rMed2,1310)),ISNUMBER(INDEX(rMed,1310))),INDEX(rMed,1310),NA()))</f>
        <v>189000</v>
      </c>
    </row>
    <row r="1313">
      <c r="BX1313">
        <f>IF(OR(cMed=0,cMed2=0,1311&gt;nFilas),NA(),IF(AND(ISNUMBER(INDEX(rMed2,1311)),ISNUMBER(INDEX(rMed,1311))),INDEX(rMed2,1311),NA()))</f>
        <v>4</v>
      </c>
      <c r="BY1313">
        <f>IF(OR(cMed=0,cMed2=0,1311&gt;nFilas),NA(),IF(AND(ISNUMBER(INDEX(rMed2,1311)),ISNUMBER(INDEX(rMed,1311))),INDEX(rMed,1311),NA()))</f>
        <v>691200</v>
      </c>
    </row>
    <row r="1314">
      <c r="BX1314">
        <f>IF(OR(cMed=0,cMed2=0,1312&gt;nFilas),NA(),IF(AND(ISNUMBER(INDEX(rMed2,1312)),ISNUMBER(INDEX(rMed,1312))),INDEX(rMed2,1312),NA()))</f>
        <v>5</v>
      </c>
      <c r="BY1314">
        <f>IF(OR(cMed=0,cMed2=0,1312&gt;nFilas),NA(),IF(AND(ISNUMBER(INDEX(rMed2,1312)),ISNUMBER(INDEX(rMed,1312))),INDEX(rMed,1312),NA()))</f>
        <v>1215000</v>
      </c>
    </row>
    <row r="1315">
      <c r="BX1315">
        <f>IF(OR(cMed=0,cMed2=0,1313&gt;nFilas),NA(),IF(AND(ISNUMBER(INDEX(rMed2,1313)),ISNUMBER(INDEX(rMed,1313))),INDEX(rMed2,1313),NA()))</f>
        <v>4</v>
      </c>
      <c r="BY1315">
        <f>IF(OR(cMed=0,cMed2=0,1313&gt;nFilas),NA(),IF(AND(ISNUMBER(INDEX(rMed2,1313)),ISNUMBER(INDEX(rMed,1313))),INDEX(rMed,1313),NA()))</f>
        <v>218000</v>
      </c>
    </row>
    <row r="1316">
      <c r="BX1316">
        <f>IF(OR(cMed=0,cMed2=0,1314&gt;nFilas),NA(),IF(AND(ISNUMBER(INDEX(rMed2,1314)),ISNUMBER(INDEX(rMed,1314))),INDEX(rMed2,1314),NA()))</f>
        <v>5</v>
      </c>
      <c r="BY1316">
        <f>IF(OR(cMed=0,cMed2=0,1314&gt;nFilas),NA(),IF(AND(ISNUMBER(INDEX(rMed2,1314)),ISNUMBER(INDEX(rMed,1314))),INDEX(rMed,1314),NA()))</f>
        <v>3663500</v>
      </c>
    </row>
    <row r="1317">
      <c r="BX1317">
        <f>IF(OR(cMed=0,cMed2=0,1315&gt;nFilas),NA(),IF(AND(ISNUMBER(INDEX(rMed2,1315)),ISNUMBER(INDEX(rMed,1315))),INDEX(rMed2,1315),NA()))</f>
        <v>5</v>
      </c>
      <c r="BY1317">
        <f>IF(OR(cMed=0,cMed2=0,1315&gt;nFilas),NA(),IF(AND(ISNUMBER(INDEX(rMed2,1315)),ISNUMBER(INDEX(rMed,1315))),INDEX(rMed,1315),NA()))</f>
        <v>3120500</v>
      </c>
    </row>
    <row r="1318">
      <c r="BX1318">
        <f>IF(OR(cMed=0,cMed2=0,1316&gt;nFilas),NA(),IF(AND(ISNUMBER(INDEX(rMed2,1316)),ISNUMBER(INDEX(rMed,1316))),INDEX(rMed2,1316),NA()))</f>
        <v>3</v>
      </c>
      <c r="BY1318">
        <f>IF(OR(cMed=0,cMed2=0,1316&gt;nFilas),NA(),IF(AND(ISNUMBER(INDEX(rMed2,1316)),ISNUMBER(INDEX(rMed,1316))),INDEX(rMed,1316),NA()))</f>
        <v>2421300</v>
      </c>
    </row>
    <row r="1319">
      <c r="BX1319">
        <f>IF(OR(cMed=0,cMed2=0,1317&gt;nFilas),NA(),IF(AND(ISNUMBER(INDEX(rMed2,1317)),ISNUMBER(INDEX(rMed,1317))),INDEX(rMed2,1317),NA()))</f>
        <v>2</v>
      </c>
      <c r="BY1319">
        <f>IF(OR(cMed=0,cMed2=0,1317&gt;nFilas),NA(),IF(AND(ISNUMBER(INDEX(rMed2,1317)),ISNUMBER(INDEX(rMed,1317))),INDEX(rMed,1317),NA()))</f>
        <v>322200</v>
      </c>
    </row>
    <row r="1320">
      <c r="BX1320">
        <f>IF(OR(cMed=0,cMed2=0,1318&gt;nFilas),NA(),IF(AND(ISNUMBER(INDEX(rMed2,1318)),ISNUMBER(INDEX(rMed,1318))),INDEX(rMed2,1318),NA()))</f>
        <v>1</v>
      </c>
      <c r="BY1320">
        <f>IF(OR(cMed=0,cMed2=0,1318&gt;nFilas),NA(),IF(AND(ISNUMBER(INDEX(rMed2,1318)),ISNUMBER(INDEX(rMed,1318))),INDEX(rMed,1318),NA()))</f>
        <v>954100</v>
      </c>
    </row>
    <row r="1321">
      <c r="BX1321">
        <f>IF(OR(cMed=0,cMed2=0,1319&gt;nFilas),NA(),IF(AND(ISNUMBER(INDEX(rMed2,1319)),ISNUMBER(INDEX(rMed,1319))),INDEX(rMed2,1319),NA()))</f>
        <v>3</v>
      </c>
      <c r="BY1321">
        <f>IF(OR(cMed=0,cMed2=0,1319&gt;nFilas),NA(),IF(AND(ISNUMBER(INDEX(rMed2,1319)),ISNUMBER(INDEX(rMed,1319))),INDEX(rMed,1319),NA()))</f>
        <v>369900</v>
      </c>
    </row>
    <row r="1322">
      <c r="BX1322">
        <f>IF(OR(cMed=0,cMed2=0,1320&gt;nFilas),NA(),IF(AND(ISNUMBER(INDEX(rMed2,1320)),ISNUMBER(INDEX(rMed,1320))),INDEX(rMed2,1320),NA()))</f>
        <v>5</v>
      </c>
      <c r="BY1322">
        <f>IF(OR(cMed=0,cMed2=0,1320&gt;nFilas),NA(),IF(AND(ISNUMBER(INDEX(rMed2,1320)),ISNUMBER(INDEX(rMed,1320))),INDEX(rMed,1320),NA()))</f>
        <v>765000</v>
      </c>
    </row>
    <row r="1323">
      <c r="BX1323">
        <f>IF(OR(cMed=0,cMed2=0,1321&gt;nFilas),NA(),IF(AND(ISNUMBER(INDEX(rMed2,1321)),ISNUMBER(INDEX(rMed,1321))),INDEX(rMed2,1321),NA()))</f>
        <v>1</v>
      </c>
      <c r="BY1323">
        <f>IF(OR(cMed=0,cMed2=0,1321&gt;nFilas),NA(),IF(AND(ISNUMBER(INDEX(rMed2,1321)),ISNUMBER(INDEX(rMed,1321))),INDEX(rMed,1321),NA()))</f>
        <v>147000</v>
      </c>
    </row>
    <row r="1324">
      <c r="BX1324">
        <f>IF(OR(cMed=0,cMed2=0,1322&gt;nFilas),NA(),IF(AND(ISNUMBER(INDEX(rMed2,1322)),ISNUMBER(INDEX(rMed,1322))),INDEX(rMed2,1322),NA()))</f>
        <v>4</v>
      </c>
      <c r="BY1324">
        <f>IF(OR(cMed=0,cMed2=0,1322&gt;nFilas),NA(),IF(AND(ISNUMBER(INDEX(rMed2,1322)),ISNUMBER(INDEX(rMed,1322))),INDEX(rMed,1322),NA()))</f>
        <v>331600</v>
      </c>
    </row>
    <row r="1325">
      <c r="BX1325">
        <f>IF(OR(cMed=0,cMed2=0,1323&gt;nFilas),NA(),IF(AND(ISNUMBER(INDEX(rMed2,1323)),ISNUMBER(INDEX(rMed,1323))),INDEX(rMed2,1323),NA()))</f>
        <v>4</v>
      </c>
      <c r="BY1325">
        <f>IF(OR(cMed=0,cMed2=0,1323&gt;nFilas),NA(),IF(AND(ISNUMBER(INDEX(rMed2,1323)),ISNUMBER(INDEX(rMed,1323))),INDEX(rMed,1323),NA()))</f>
        <v>3228800</v>
      </c>
    </row>
    <row r="1326">
      <c r="BX1326">
        <f>IF(OR(cMed=0,cMed2=0,1324&gt;nFilas),NA(),IF(AND(ISNUMBER(INDEX(rMed2,1324)),ISNUMBER(INDEX(rMed,1324))),INDEX(rMed2,1324),NA()))</f>
        <v>4</v>
      </c>
      <c r="BY1326">
        <f>IF(OR(cMed=0,cMed2=0,1324&gt;nFilas),NA(),IF(AND(ISNUMBER(INDEX(rMed2,1324)),ISNUMBER(INDEX(rMed,1324))),INDEX(rMed,1324),NA()))</f>
        <v>463600</v>
      </c>
    </row>
    <row r="1327">
      <c r="BX1327">
        <f>IF(OR(cMed=0,cMed2=0,1325&gt;nFilas),NA(),IF(AND(ISNUMBER(INDEX(rMed2,1325)),ISNUMBER(INDEX(rMed,1325))),INDEX(rMed2,1325),NA()))</f>
        <v>5</v>
      </c>
      <c r="BY1327">
        <f>IF(OR(cMed=0,cMed2=0,1325&gt;nFilas),NA(),IF(AND(ISNUMBER(INDEX(rMed2,1325)),ISNUMBER(INDEX(rMed,1325))),INDEX(rMed,1325),NA()))</f>
        <v>439500</v>
      </c>
    </row>
    <row r="1328">
      <c r="BX1328">
        <f>IF(OR(cMed=0,cMed2=0,1326&gt;nFilas),NA(),IF(AND(ISNUMBER(INDEX(rMed2,1326)),ISNUMBER(INDEX(rMed,1326))),INDEX(rMed2,1326),NA()))</f>
        <v>2</v>
      </c>
      <c r="BY1328">
        <f>IF(OR(cMed=0,cMed2=0,1326&gt;nFilas),NA(),IF(AND(ISNUMBER(INDEX(rMed2,1326)),ISNUMBER(INDEX(rMed,1326))),INDEX(rMed,1326),NA()))</f>
        <v>300400</v>
      </c>
    </row>
    <row r="1329">
      <c r="BX1329">
        <f>IF(OR(cMed=0,cMed2=0,1327&gt;nFilas),NA(),IF(AND(ISNUMBER(INDEX(rMed2,1327)),ISNUMBER(INDEX(rMed,1327))),INDEX(rMed2,1327),NA()))</f>
        <v>1</v>
      </c>
      <c r="BY1329">
        <f>IF(OR(cMed=0,cMed2=0,1327&gt;nFilas),NA(),IF(AND(ISNUMBER(INDEX(rMed2,1327)),ISNUMBER(INDEX(rMed,1327))),INDEX(rMed,1327),NA()))</f>
        <v>1060600</v>
      </c>
    </row>
    <row r="1330">
      <c r="BX1330">
        <f>IF(OR(cMed=0,cMed2=0,1328&gt;nFilas),NA(),IF(AND(ISNUMBER(INDEX(rMed2,1328)),ISNUMBER(INDEX(rMed,1328))),INDEX(rMed2,1328),NA()))</f>
        <v>3</v>
      </c>
      <c r="BY1330">
        <f>IF(OR(cMed=0,cMed2=0,1328&gt;nFilas),NA(),IF(AND(ISNUMBER(INDEX(rMed2,1328)),ISNUMBER(INDEX(rMed,1328))),INDEX(rMed,1328),NA()))</f>
        <v>286350</v>
      </c>
    </row>
    <row r="1331">
      <c r="BX1331">
        <f>IF(OR(cMed=0,cMed2=0,1329&gt;nFilas),NA(),IF(AND(ISNUMBER(INDEX(rMed2,1329)),ISNUMBER(INDEX(rMed,1329))),INDEX(rMed2,1329),NA()))</f>
        <v>3</v>
      </c>
      <c r="BY1331">
        <f>IF(OR(cMed=0,cMed2=0,1329&gt;nFilas),NA(),IF(AND(ISNUMBER(INDEX(rMed2,1329)),ISNUMBER(INDEX(rMed,1329))),INDEX(rMed,1329),NA()))</f>
        <v>328095</v>
      </c>
    </row>
    <row r="1332">
      <c r="BX1332">
        <f>IF(OR(cMed=0,cMed2=0,1330&gt;nFilas),NA(),IF(AND(ISNUMBER(INDEX(rMed2,1330)),ISNUMBER(INDEX(rMed,1330))),INDEX(rMed2,1330),NA()))</f>
        <v>4</v>
      </c>
      <c r="BY1332">
        <f>IF(OR(cMed=0,cMed2=0,1330&gt;nFilas),NA(),IF(AND(ISNUMBER(INDEX(rMed2,1330)),ISNUMBER(INDEX(rMed,1330))),INDEX(rMed,1330),NA()))</f>
        <v>1086060</v>
      </c>
    </row>
    <row r="1333">
      <c r="BX1333">
        <f>IF(OR(cMed=0,cMed2=0,1331&gt;nFilas),NA(),IF(AND(ISNUMBER(INDEX(rMed2,1331)),ISNUMBER(INDEX(rMed,1331))),INDEX(rMed2,1331),NA()))</f>
        <v>3</v>
      </c>
      <c r="BY1333">
        <f>IF(OR(cMed=0,cMed2=0,1331&gt;nFilas),NA(),IF(AND(ISNUMBER(INDEX(rMed2,1331)),ISNUMBER(INDEX(rMed,1331))),INDEX(rMed,1331),NA()))</f>
        <v>241155</v>
      </c>
    </row>
    <row r="1334">
      <c r="BX1334">
        <f>IF(OR(cMed=0,cMed2=0,1332&gt;nFilas),NA(),IF(AND(ISNUMBER(INDEX(rMed2,1332)),ISNUMBER(INDEX(rMed,1332))),INDEX(rMed2,1332),NA()))</f>
        <v>1</v>
      </c>
      <c r="BY1334">
        <f>IF(OR(cMed=0,cMed2=0,1332&gt;nFilas),NA(),IF(AND(ISNUMBER(INDEX(rMed2,1332)),ISNUMBER(INDEX(rMed,1332))),INDEX(rMed,1332),NA()))</f>
        <v>230690</v>
      </c>
    </row>
    <row r="1335">
      <c r="BX1335">
        <f>IF(OR(cMed=0,cMed2=0,1333&gt;nFilas),NA(),IF(AND(ISNUMBER(INDEX(rMed2,1333)),ISNUMBER(INDEX(rMed,1333))),INDEX(rMed2,1333),NA()))</f>
        <v>5</v>
      </c>
      <c r="BY1335">
        <f>IF(OR(cMed=0,cMed2=0,1333&gt;nFilas),NA(),IF(AND(ISNUMBER(INDEX(rMed2,1333)),ISNUMBER(INDEX(rMed,1333))),INDEX(rMed,1333),NA()))</f>
        <v>631925</v>
      </c>
    </row>
    <row r="1336">
      <c r="BX1336">
        <f>IF(OR(cMed=0,cMed2=0,1334&gt;nFilas),NA(),IF(AND(ISNUMBER(INDEX(rMed2,1334)),ISNUMBER(INDEX(rMed,1334))),INDEX(rMed2,1334),NA()))</f>
        <v>3</v>
      </c>
      <c r="BY1336">
        <f>IF(OR(cMed=0,cMed2=0,1334&gt;nFilas),NA(),IF(AND(ISNUMBER(INDEX(rMed2,1334)),ISNUMBER(INDEX(rMed,1334))),INDEX(rMed,1334),NA()))</f>
        <v>436770</v>
      </c>
    </row>
    <row r="1337">
      <c r="BX1337">
        <f>IF(OR(cMed=0,cMed2=0,1335&gt;nFilas),NA(),IF(AND(ISNUMBER(INDEX(rMed2,1335)),ISNUMBER(INDEX(rMed,1335))),INDEX(rMed2,1335),NA()))</f>
        <v>3</v>
      </c>
      <c r="BY1337">
        <f>IF(OR(cMed=0,cMed2=0,1335&gt;nFilas),NA(),IF(AND(ISNUMBER(INDEX(rMed2,1335)),ISNUMBER(INDEX(rMed,1335))),INDEX(rMed,1335),NA()))</f>
        <v>291180</v>
      </c>
    </row>
    <row r="1338">
      <c r="BX1338">
        <f>IF(OR(cMed=0,cMed2=0,1336&gt;nFilas),NA(),IF(AND(ISNUMBER(INDEX(rMed2,1336)),ISNUMBER(INDEX(rMed,1336))),INDEX(rMed2,1336),NA()))</f>
        <v>1</v>
      </c>
      <c r="BY1338">
        <f>IF(OR(cMed=0,cMed2=0,1336&gt;nFilas),NA(),IF(AND(ISNUMBER(INDEX(rMed2,1336)),ISNUMBER(INDEX(rMed,1336))),INDEX(rMed,1336),NA()))</f>
        <v>102465</v>
      </c>
    </row>
    <row r="1339">
      <c r="BX1339">
        <f>IF(OR(cMed=0,cMed2=0,1337&gt;nFilas),NA(),IF(AND(ISNUMBER(INDEX(rMed2,1337)),ISNUMBER(INDEX(rMed,1337))),INDEX(rMed2,1337),NA()))</f>
        <v>5</v>
      </c>
      <c r="BY1339">
        <f>IF(OR(cMed=0,cMed2=0,1337&gt;nFilas),NA(),IF(AND(ISNUMBER(INDEX(rMed2,1337)),ISNUMBER(INDEX(rMed,1337))),INDEX(rMed,1337),NA()))</f>
        <v>312225</v>
      </c>
    </row>
    <row r="1340">
      <c r="BX1340">
        <f>IF(OR(cMed=0,cMed2=0,1338&gt;nFilas),NA(),IF(AND(ISNUMBER(INDEX(rMed2,1338)),ISNUMBER(INDEX(rMed,1338))),INDEX(rMed2,1338),NA()))</f>
        <v>4</v>
      </c>
      <c r="BY1340">
        <f>IF(OR(cMed=0,cMed2=0,1338&gt;nFilas),NA(),IF(AND(ISNUMBER(INDEX(rMed2,1338)),ISNUMBER(INDEX(rMed,1338))),INDEX(rMed,1338),NA()))</f>
        <v>628820</v>
      </c>
    </row>
    <row r="1341">
      <c r="BX1341">
        <f>IF(OR(cMed=0,cMed2=0,1339&gt;nFilas),NA(),IF(AND(ISNUMBER(INDEX(rMed2,1339)),ISNUMBER(INDEX(rMed,1339))),INDEX(rMed2,1339),NA()))</f>
        <v>5</v>
      </c>
      <c r="BY1341">
        <f>IF(OR(cMed=0,cMed2=0,1339&gt;nFilas),NA(),IF(AND(ISNUMBER(INDEX(rMed2,1339)),ISNUMBER(INDEX(rMed,1339))),INDEX(rMed,1339),NA()))</f>
        <v>350175</v>
      </c>
    </row>
    <row r="1342">
      <c r="BX1342">
        <f>IF(OR(cMed=0,cMed2=0,1340&gt;nFilas),NA(),IF(AND(ISNUMBER(INDEX(rMed2,1340)),ISNUMBER(INDEX(rMed,1340))),INDEX(rMed2,1340),NA()))</f>
        <v>3</v>
      </c>
      <c r="BY1342">
        <f>IF(OR(cMed=0,cMed2=0,1340&gt;nFilas),NA(),IF(AND(ISNUMBER(INDEX(rMed2,1340)),ISNUMBER(INDEX(rMed,1340))),INDEX(rMed,1340),NA()))</f>
        <v>310500</v>
      </c>
    </row>
    <row r="1343">
      <c r="BX1343">
        <f>IF(OR(cMed=0,cMed2=0,1341&gt;nFilas),NA(),IF(AND(ISNUMBER(INDEX(rMed2,1341)),ISNUMBER(INDEX(rMed,1341))),INDEX(rMed2,1341),NA()))</f>
        <v>2</v>
      </c>
      <c r="BY1343">
        <f>IF(OR(cMed=0,cMed2=0,1341&gt;nFilas),NA(),IF(AND(ISNUMBER(INDEX(rMed2,1341)),ISNUMBER(INDEX(rMed,1341))),INDEX(rMed,1341),NA()))</f>
        <v>1670720</v>
      </c>
    </row>
    <row r="1344">
      <c r="BX1344">
        <f>IF(OR(cMed=0,cMed2=0,1342&gt;nFilas),NA(),IF(AND(ISNUMBER(INDEX(rMed2,1342)),ISNUMBER(INDEX(rMed,1342))),INDEX(rMed2,1342),NA()))</f>
        <v>2</v>
      </c>
      <c r="BY1344">
        <f>IF(OR(cMed=0,cMed2=0,1342&gt;nFilas),NA(),IF(AND(ISNUMBER(INDEX(rMed2,1342)),ISNUMBER(INDEX(rMed,1342))),INDEX(rMed,1342),NA()))</f>
        <v>230600</v>
      </c>
    </row>
    <row r="1345">
      <c r="BX1345">
        <f>IF(OR(cMed=0,cMed2=0,1343&gt;nFilas),NA(),IF(AND(ISNUMBER(INDEX(rMed2,1343)),ISNUMBER(INDEX(rMed,1343))),INDEX(rMed2,1343),NA()))</f>
        <v>4</v>
      </c>
      <c r="BY1345">
        <f>IF(OR(cMed=0,cMed2=0,1343&gt;nFilas),NA(),IF(AND(ISNUMBER(INDEX(rMed2,1343)),ISNUMBER(INDEX(rMed,1343))),INDEX(rMed,1343),NA()))</f>
        <v>792400</v>
      </c>
    </row>
    <row r="1346">
      <c r="BX1346">
        <f>IF(OR(cMed=0,cMed2=0,1344&gt;nFilas),NA(),IF(AND(ISNUMBER(INDEX(rMed2,1344)),ISNUMBER(INDEX(rMed,1344))),INDEX(rMed2,1344),NA()))</f>
        <v>4</v>
      </c>
      <c r="BY1346">
        <f>IF(OR(cMed=0,cMed2=0,1344&gt;nFilas),NA(),IF(AND(ISNUMBER(INDEX(rMed2,1344)),ISNUMBER(INDEX(rMed,1344))),INDEX(rMed,1344),NA()))</f>
        <v>329200</v>
      </c>
    </row>
    <row r="1347">
      <c r="BX1347">
        <f>IF(OR(cMed=0,cMed2=0,1345&gt;nFilas),NA(),IF(AND(ISNUMBER(INDEX(rMed2,1345)),ISNUMBER(INDEX(rMed,1345))),INDEX(rMed2,1345),NA()))</f>
        <v>2</v>
      </c>
      <c r="BY1347">
        <f>IF(OR(cMed=0,cMed2=0,1345&gt;nFilas),NA(),IF(AND(ISNUMBER(INDEX(rMed2,1345)),ISNUMBER(INDEX(rMed,1345))),INDEX(rMed,1345),NA()))</f>
        <v>358000</v>
      </c>
    </row>
    <row r="1348">
      <c r="BX1348">
        <f>IF(OR(cMed=0,cMed2=0,1346&gt;nFilas),NA(),IF(AND(ISNUMBER(INDEX(rMed2,1346)),ISNUMBER(INDEX(rMed,1346))),INDEX(rMed2,1346),NA()))</f>
        <v>3</v>
      </c>
      <c r="BY1348">
        <f>IF(OR(cMed=0,cMed2=0,1346&gt;nFilas),NA(),IF(AND(ISNUMBER(INDEX(rMed2,1346)),ISNUMBER(INDEX(rMed,1346))),INDEX(rMed,1346),NA()))</f>
        <v>449700</v>
      </c>
    </row>
    <row r="1349">
      <c r="BX1349">
        <f>IF(OR(cMed=0,cMed2=0,1347&gt;nFilas),NA(),IF(AND(ISNUMBER(INDEX(rMed2,1347)),ISNUMBER(INDEX(rMed,1347))),INDEX(rMed2,1347),NA()))</f>
        <v>5</v>
      </c>
      <c r="BY1349">
        <f>IF(OR(cMed=0,cMed2=0,1347&gt;nFilas),NA(),IF(AND(ISNUMBER(INDEX(rMed2,1347)),ISNUMBER(INDEX(rMed,1347))),INDEX(rMed,1347),NA()))</f>
        <v>3560500</v>
      </c>
    </row>
    <row r="1350">
      <c r="BX1350">
        <f>IF(OR(cMed=0,cMed2=0,1348&gt;nFilas),NA(),IF(AND(ISNUMBER(INDEX(rMed2,1348)),ISNUMBER(INDEX(rMed,1348))),INDEX(rMed2,1348),NA()))</f>
        <v>1</v>
      </c>
      <c r="BY1350">
        <f>IF(OR(cMed=0,cMed2=0,1348&gt;nFilas),NA(),IF(AND(ISNUMBER(INDEX(rMed2,1348)),ISNUMBER(INDEX(rMed,1348))),INDEX(rMed,1348),NA()))</f>
        <v>52400</v>
      </c>
    </row>
    <row r="1351">
      <c r="BX1351">
        <f>IF(OR(cMed=0,cMed2=0,1349&gt;nFilas),NA(),IF(AND(ISNUMBER(INDEX(rMed2,1349)),ISNUMBER(INDEX(rMed,1349))),INDEX(rMed2,1349),NA()))</f>
        <v>1</v>
      </c>
      <c r="BY1351">
        <f>IF(OR(cMed=0,cMed2=0,1349&gt;nFilas),NA(),IF(AND(ISNUMBER(INDEX(rMed2,1349)),ISNUMBER(INDEX(rMed,1349))),INDEX(rMed,1349),NA()))</f>
        <v>73500</v>
      </c>
    </row>
    <row r="1352">
      <c r="BX1352">
        <f>IF(OR(cMed=0,cMed2=0,1350&gt;nFilas),NA(),IF(AND(ISNUMBER(INDEX(rMed2,1350)),ISNUMBER(INDEX(rMed,1350))),INDEX(rMed2,1350),NA()))</f>
        <v>4</v>
      </c>
      <c r="BY1352">
        <f>IF(OR(cMed=0,cMed2=0,1350&gt;nFilas),NA(),IF(AND(ISNUMBER(INDEX(rMed2,1350)),ISNUMBER(INDEX(rMed,1350))),INDEX(rMed,1350),NA()))</f>
        <v>814800</v>
      </c>
    </row>
    <row r="1353">
      <c r="BX1353">
        <f>IF(OR(cMed=0,cMed2=0,1351&gt;nFilas),NA(),IF(AND(ISNUMBER(INDEX(rMed2,1351)),ISNUMBER(INDEX(rMed,1351))),INDEX(rMed2,1351),NA()))</f>
        <v>4</v>
      </c>
      <c r="BY1353">
        <f>IF(OR(cMed=0,cMed2=0,1351&gt;nFilas),NA(),IF(AND(ISNUMBER(INDEX(rMed2,1351)),ISNUMBER(INDEX(rMed,1351))),INDEX(rMed,1351),NA()))</f>
        <v>239600</v>
      </c>
    </row>
    <row r="1354">
      <c r="BX1354">
        <f>IF(OR(cMed=0,cMed2=0,1352&gt;nFilas),NA(),IF(AND(ISNUMBER(INDEX(rMed2,1352)),ISNUMBER(INDEX(rMed,1352))),INDEX(rMed2,1352),NA()))</f>
        <v>3</v>
      </c>
      <c r="BY1354">
        <f>IF(OR(cMed=0,cMed2=0,1352&gt;nFilas),NA(),IF(AND(ISNUMBER(INDEX(rMed2,1352)),ISNUMBER(INDEX(rMed,1352))),INDEX(rMed,1352),NA()))</f>
        <v>252000</v>
      </c>
    </row>
    <row r="1355">
      <c r="BX1355">
        <f>IF(OR(cMed=0,cMed2=0,1353&gt;nFilas),NA(),IF(AND(ISNUMBER(INDEX(rMed2,1353)),ISNUMBER(INDEX(rMed,1353))),INDEX(rMed2,1353),NA()))</f>
        <v>2</v>
      </c>
      <c r="BY1355">
        <f>IF(OR(cMed=0,cMed2=0,1353&gt;nFilas),NA(),IF(AND(ISNUMBER(INDEX(rMed2,1353)),ISNUMBER(INDEX(rMed,1353))),INDEX(rMed,1353),NA()))</f>
        <v>1200000</v>
      </c>
    </row>
    <row r="1356">
      <c r="BX1356">
        <f>IF(OR(cMed=0,cMed2=0,1354&gt;nFilas),NA(),IF(AND(ISNUMBER(INDEX(rMed2,1354)),ISNUMBER(INDEX(rMed,1354))),INDEX(rMed2,1354),NA()))</f>
        <v>1</v>
      </c>
      <c r="BY1356">
        <f>IF(OR(cMed=0,cMed2=0,1354&gt;nFilas),NA(),IF(AND(ISNUMBER(INDEX(rMed2,1354)),ISNUMBER(INDEX(rMed,1354))),INDEX(rMed,1354),NA()))</f>
        <v>116500</v>
      </c>
    </row>
    <row r="1357">
      <c r="BX1357">
        <f>IF(OR(cMed=0,cMed2=0,1355&gt;nFilas),NA(),IF(AND(ISNUMBER(INDEX(rMed2,1355)),ISNUMBER(INDEX(rMed,1355))),INDEX(rMed2,1355),NA()))</f>
        <v>4</v>
      </c>
      <c r="BY1357">
        <f>IF(OR(cMed=0,cMed2=0,1355&gt;nFilas),NA(),IF(AND(ISNUMBER(INDEX(rMed2,1355)),ISNUMBER(INDEX(rMed,1355))),INDEX(rMed,1355),NA()))</f>
        <v>3088400</v>
      </c>
    </row>
    <row r="1358">
      <c r="BX1358">
        <f>IF(OR(cMed=0,cMed2=0,1356&gt;nFilas),NA(),IF(AND(ISNUMBER(INDEX(rMed2,1356)),ISNUMBER(INDEX(rMed,1356))),INDEX(rMed2,1356),NA()))</f>
        <v>1</v>
      </c>
      <c r="BY1358">
        <f>IF(OR(cMed=0,cMed2=0,1356&gt;nFilas),NA(),IF(AND(ISNUMBER(INDEX(rMed2,1356)),ISNUMBER(INDEX(rMed,1356))),INDEX(rMed,1356),NA()))</f>
        <v>671900</v>
      </c>
    </row>
    <row r="1359">
      <c r="BX1359">
        <f>IF(OR(cMed=0,cMed2=0,1357&gt;nFilas),NA(),IF(AND(ISNUMBER(INDEX(rMed2,1357)),ISNUMBER(INDEX(rMed,1357))),INDEX(rMed2,1357),NA()))</f>
        <v>2</v>
      </c>
      <c r="BY1359">
        <f>IF(OR(cMed=0,cMed2=0,1357&gt;nFilas),NA(),IF(AND(ISNUMBER(INDEX(rMed2,1357)),ISNUMBER(INDEX(rMed,1357))),INDEX(rMed,1357),NA()))</f>
        <v>214600</v>
      </c>
    </row>
    <row r="1360">
      <c r="BX1360">
        <f>IF(OR(cMed=0,cMed2=0,1358&gt;nFilas),NA(),IF(AND(ISNUMBER(INDEX(rMed2,1358)),ISNUMBER(INDEX(rMed,1358))),INDEX(rMed2,1358),NA()))</f>
        <v>4</v>
      </c>
      <c r="BY1360">
        <f>IF(OR(cMed=0,cMed2=0,1358&gt;nFilas),NA(),IF(AND(ISNUMBER(INDEX(rMed2,1358)),ISNUMBER(INDEX(rMed,1358))),INDEX(rMed,1358),NA()))</f>
        <v>507200</v>
      </c>
    </row>
    <row r="1361">
      <c r="BX1361">
        <f>IF(OR(cMed=0,cMed2=0,1359&gt;nFilas),NA(),IF(AND(ISNUMBER(INDEX(rMed2,1359)),ISNUMBER(INDEX(rMed,1359))),INDEX(rMed2,1359),NA()))</f>
        <v>4</v>
      </c>
      <c r="BY1361">
        <f>IF(OR(cMed=0,cMed2=0,1359&gt;nFilas),NA(),IF(AND(ISNUMBER(INDEX(rMed2,1359)),ISNUMBER(INDEX(rMed,1359))),INDEX(rMed,1359),NA()))</f>
        <v>891200</v>
      </c>
    </row>
    <row r="1362">
      <c r="BX1362">
        <f>IF(OR(cMed=0,cMed2=0,1360&gt;nFilas),NA(),IF(AND(ISNUMBER(INDEX(rMed2,1360)),ISNUMBER(INDEX(rMed,1360))),INDEX(rMed2,1360),NA()))</f>
        <v>4</v>
      </c>
      <c r="BY1362">
        <f>IF(OR(cMed=0,cMed2=0,1360&gt;nFilas),NA(),IF(AND(ISNUMBER(INDEX(rMed2,1360)),ISNUMBER(INDEX(rMed,1360))),INDEX(rMed,1360),NA()))</f>
        <v>3602800</v>
      </c>
    </row>
    <row r="1363">
      <c r="BX1363">
        <f>IF(OR(cMed=0,cMed2=0,1361&gt;nFilas),NA(),IF(AND(ISNUMBER(INDEX(rMed2,1361)),ISNUMBER(INDEX(rMed,1361))),INDEX(rMed2,1361),NA()))</f>
        <v>4</v>
      </c>
      <c r="BY1363">
        <f>IF(OR(cMed=0,cMed2=0,1361&gt;nFilas),NA(),IF(AND(ISNUMBER(INDEX(rMed2,1361)),ISNUMBER(INDEX(rMed,1361))),INDEX(rMed,1361),NA()))</f>
        <v>418800</v>
      </c>
    </row>
    <row r="1364">
      <c r="BX1364">
        <f>IF(OR(cMed=0,cMed2=0,1362&gt;nFilas),NA(),IF(AND(ISNUMBER(INDEX(rMed2,1362)),ISNUMBER(INDEX(rMed,1362))),INDEX(rMed2,1362),NA()))</f>
        <v>1</v>
      </c>
      <c r="BY1364">
        <f>IF(OR(cMed=0,cMed2=0,1362&gt;nFilas),NA(),IF(AND(ISNUMBER(INDEX(rMed2,1362)),ISNUMBER(INDEX(rMed,1362))),INDEX(rMed,1362),NA()))</f>
        <v>199800</v>
      </c>
    </row>
    <row r="1365">
      <c r="BX1365">
        <f>IF(OR(cMed=0,cMed2=0,1363&gt;nFilas),NA(),IF(AND(ISNUMBER(INDEX(rMed2,1363)),ISNUMBER(INDEX(rMed,1363))),INDEX(rMed2,1363),NA()))</f>
        <v>1</v>
      </c>
      <c r="BY1365">
        <f>IF(OR(cMed=0,cMed2=0,1363&gt;nFilas),NA(),IF(AND(ISNUMBER(INDEX(rMed2,1363)),ISNUMBER(INDEX(rMed,1363))),INDEX(rMed,1363),NA()))</f>
        <v>92400</v>
      </c>
    </row>
    <row r="1366">
      <c r="BX1366">
        <f>IF(OR(cMed=0,cMed2=0,1364&gt;nFilas),NA(),IF(AND(ISNUMBER(INDEX(rMed2,1364)),ISNUMBER(INDEX(rMed,1364))),INDEX(rMed2,1364),NA()))</f>
        <v>3</v>
      </c>
      <c r="BY1366">
        <f>IF(OR(cMed=0,cMed2=0,1364&gt;nFilas),NA(),IF(AND(ISNUMBER(INDEX(rMed2,1364)),ISNUMBER(INDEX(rMed,1364))),INDEX(rMed,1364),NA()))</f>
        <v>437700</v>
      </c>
    </row>
    <row r="1367">
      <c r="BX1367">
        <f>IF(OR(cMed=0,cMed2=0,1365&gt;nFilas),NA(),IF(AND(ISNUMBER(INDEX(rMed2,1365)),ISNUMBER(INDEX(rMed,1365))),INDEX(rMed2,1365),NA()))</f>
        <v>1</v>
      </c>
      <c r="BY1367">
        <f>IF(OR(cMed=0,cMed2=0,1365&gt;nFilas),NA(),IF(AND(ISNUMBER(INDEX(rMed2,1365)),ISNUMBER(INDEX(rMed,1365))),INDEX(rMed,1365),NA()))</f>
        <v>118300</v>
      </c>
    </row>
    <row r="1368">
      <c r="BX1368">
        <f>IF(OR(cMed=0,cMed2=0,1366&gt;nFilas),NA(),IF(AND(ISNUMBER(INDEX(rMed2,1366)),ISNUMBER(INDEX(rMed,1366))),INDEX(rMed2,1366),NA()))</f>
        <v>4</v>
      </c>
      <c r="BY1368">
        <f>IF(OR(cMed=0,cMed2=0,1366&gt;nFilas),NA(),IF(AND(ISNUMBER(INDEX(rMed2,1366)),ISNUMBER(INDEX(rMed,1366))),INDEX(rMed,1366),NA()))</f>
        <v>303200</v>
      </c>
    </row>
    <row r="1369">
      <c r="BX1369">
        <f>IF(OR(cMed=0,cMed2=0,1367&gt;nFilas),NA(),IF(AND(ISNUMBER(INDEX(rMed2,1367)),ISNUMBER(INDEX(rMed,1367))),INDEX(rMed2,1367),NA()))</f>
        <v>4</v>
      </c>
      <c r="BY1369">
        <f>IF(OR(cMed=0,cMed2=0,1367&gt;nFilas),NA(),IF(AND(ISNUMBER(INDEX(rMed2,1367)),ISNUMBER(INDEX(rMed,1367))),INDEX(rMed,1367),NA()))</f>
        <v>645840</v>
      </c>
    </row>
    <row r="1370">
      <c r="BX1370">
        <f>IF(OR(cMed=0,cMed2=0,1368&gt;nFilas),NA(),IF(AND(ISNUMBER(INDEX(rMed2,1368)),ISNUMBER(INDEX(rMed,1368))),INDEX(rMed2,1368),NA()))</f>
        <v>2</v>
      </c>
      <c r="BY1370">
        <f>IF(OR(cMed=0,cMed2=0,1368&gt;nFilas),NA(),IF(AND(ISNUMBER(INDEX(rMed2,1368)),ISNUMBER(INDEX(rMed,1368))),INDEX(rMed,1368),NA()))</f>
        <v>355120</v>
      </c>
    </row>
    <row r="1371">
      <c r="BX1371">
        <f>IF(OR(cMed=0,cMed2=0,1369&gt;nFilas),NA(),IF(AND(ISNUMBER(INDEX(rMed2,1369)),ISNUMBER(INDEX(rMed,1369))),INDEX(rMed2,1369),NA()))</f>
        <v>3</v>
      </c>
      <c r="BY1371">
        <f>IF(OR(cMed=0,cMed2=0,1369&gt;nFilas),NA(),IF(AND(ISNUMBER(INDEX(rMed2,1369)),ISNUMBER(INDEX(rMed,1369))),INDEX(rMed,1369),NA()))</f>
        <v>224940</v>
      </c>
    </row>
    <row r="1372">
      <c r="BX1372">
        <f>IF(OR(cMed=0,cMed2=0,1370&gt;nFilas),NA(),IF(AND(ISNUMBER(INDEX(rMed2,1370)),ISNUMBER(INDEX(rMed,1370))),INDEX(rMed2,1370),NA()))</f>
        <v>4</v>
      </c>
      <c r="BY1372">
        <f>IF(OR(cMed=0,cMed2=0,1370&gt;nFilas),NA(),IF(AND(ISNUMBER(INDEX(rMed2,1370)),ISNUMBER(INDEX(rMed,1370))),INDEX(rMed,1370),NA()))</f>
        <v>403880</v>
      </c>
    </row>
    <row r="1373">
      <c r="BX1373">
        <f>IF(OR(cMed=0,cMed2=0,1371&gt;nFilas),NA(),IF(AND(ISNUMBER(INDEX(rMed2,1371)),ISNUMBER(INDEX(rMed,1371))),INDEX(rMed2,1371),NA()))</f>
        <v>4</v>
      </c>
      <c r="BY1373">
        <f>IF(OR(cMed=0,cMed2=0,1371&gt;nFilas),NA(),IF(AND(ISNUMBER(INDEX(rMed2,1371)),ISNUMBER(INDEX(rMed,1371))),INDEX(rMed,1371),NA()))</f>
        <v>601680</v>
      </c>
    </row>
    <row r="1374">
      <c r="BX1374">
        <f>IF(OR(cMed=0,cMed2=0,1372&gt;nFilas),NA(),IF(AND(ISNUMBER(INDEX(rMed2,1372)),ISNUMBER(INDEX(rMed,1372))),INDEX(rMed2,1372),NA()))</f>
        <v>2</v>
      </c>
      <c r="BY1374">
        <f>IF(OR(cMed=0,cMed2=0,1372&gt;nFilas),NA(),IF(AND(ISNUMBER(INDEX(rMed2,1372)),ISNUMBER(INDEX(rMed,1372))),INDEX(rMed,1372),NA()))</f>
        <v>468740</v>
      </c>
    </row>
    <row r="1375">
      <c r="BX1375">
        <f>IF(OR(cMed=0,cMed2=0,1373&gt;nFilas),NA(),IF(AND(ISNUMBER(INDEX(rMed2,1373)),ISNUMBER(INDEX(rMed,1373))),INDEX(rMed2,1373),NA()))</f>
        <v>5</v>
      </c>
      <c r="BY1375">
        <f>IF(OR(cMed=0,cMed2=0,1373&gt;nFilas),NA(),IF(AND(ISNUMBER(INDEX(rMed2,1373)),ISNUMBER(INDEX(rMed,1373))),INDEX(rMed,1373),NA()))</f>
        <v>450800</v>
      </c>
    </row>
    <row r="1376">
      <c r="BX1376">
        <f>IF(OR(cMed=0,cMed2=0,1374&gt;nFilas),NA(),IF(AND(ISNUMBER(INDEX(rMed2,1374)),ISNUMBER(INDEX(rMed,1374))),INDEX(rMed2,1374),NA()))</f>
        <v>1</v>
      </c>
      <c r="BY1376">
        <f>IF(OR(cMed=0,cMed2=0,1374&gt;nFilas),NA(),IF(AND(ISNUMBER(INDEX(rMed2,1374)),ISNUMBER(INDEX(rMed,1374))),INDEX(rMed,1374),NA()))</f>
        <v>85215</v>
      </c>
    </row>
    <row r="1377">
      <c r="BX1377">
        <f>IF(OR(cMed=0,cMed2=0,1375&gt;nFilas),NA(),IF(AND(ISNUMBER(INDEX(rMed2,1375)),ISNUMBER(INDEX(rMed,1375))),INDEX(rMed2,1375),NA()))</f>
        <v>4</v>
      </c>
      <c r="BY1377">
        <f>IF(OR(cMed=0,cMed2=0,1375&gt;nFilas),NA(),IF(AND(ISNUMBER(INDEX(rMed2,1375)),ISNUMBER(INDEX(rMed,1375))),INDEX(rMed,1375),NA()))</f>
        <v>327520</v>
      </c>
    </row>
    <row r="1378">
      <c r="BX1378">
        <f>IF(OR(cMed=0,cMed2=0,1376&gt;nFilas),NA(),IF(AND(ISNUMBER(INDEX(rMed2,1376)),ISNUMBER(INDEX(rMed,1376))),INDEX(rMed2,1376),NA()))</f>
        <v>2</v>
      </c>
      <c r="BY1378">
        <f>IF(OR(cMed=0,cMed2=0,1376&gt;nFilas),NA(),IF(AND(ISNUMBER(INDEX(rMed2,1376)),ISNUMBER(INDEX(rMed,1376))),INDEX(rMed,1376),NA()))</f>
        <v>189290</v>
      </c>
    </row>
    <row r="1379">
      <c r="BX1379">
        <f>IF(OR(cMed=0,cMed2=0,1377&gt;nFilas),NA(),IF(AND(ISNUMBER(INDEX(rMed2,1377)),ISNUMBER(INDEX(rMed,1377))),INDEX(rMed2,1377),NA()))</f>
        <v>3</v>
      </c>
      <c r="BY1379">
        <f>IF(OR(cMed=0,cMed2=0,1377&gt;nFilas),NA(),IF(AND(ISNUMBER(INDEX(rMed2,1377)),ISNUMBER(INDEX(rMed,1377))),INDEX(rMed,1377),NA()))</f>
        <v>315300</v>
      </c>
    </row>
    <row r="1380">
      <c r="BX1380">
        <f>IF(OR(cMed=0,cMed2=0,1378&gt;nFilas),NA(),IF(AND(ISNUMBER(INDEX(rMed2,1378)),ISNUMBER(INDEX(rMed,1378))),INDEX(rMed2,1378),NA()))</f>
        <v>1</v>
      </c>
      <c r="BY1380">
        <f>IF(OR(cMed=0,cMed2=0,1378&gt;nFilas),NA(),IF(AND(ISNUMBER(INDEX(rMed2,1378)),ISNUMBER(INDEX(rMed,1378))),INDEX(rMed,1378),NA()))</f>
        <v>126200</v>
      </c>
    </row>
    <row r="1381">
      <c r="BX1381">
        <f>IF(OR(cMed=0,cMed2=0,1379&gt;nFilas),NA(),IF(AND(ISNUMBER(INDEX(rMed2,1379)),ISNUMBER(INDEX(rMed,1379))),INDEX(rMed2,1379),NA()))</f>
        <v>2</v>
      </c>
      <c r="BY1381">
        <f>IF(OR(cMed=0,cMed2=0,1379&gt;nFilas),NA(),IF(AND(ISNUMBER(INDEX(rMed2,1379)),ISNUMBER(INDEX(rMed,1379))),INDEX(rMed,1379),NA()))</f>
        <v>1759200</v>
      </c>
    </row>
    <row r="1382">
      <c r="BX1382">
        <f>IF(OR(cMed=0,cMed2=0,1380&gt;nFilas),NA(),IF(AND(ISNUMBER(INDEX(rMed2,1380)),ISNUMBER(INDEX(rMed,1380))),INDEX(rMed2,1380),NA()))</f>
        <v>2</v>
      </c>
      <c r="BY1382">
        <f>IF(OR(cMed=0,cMed2=0,1380&gt;nFilas),NA(),IF(AND(ISNUMBER(INDEX(rMed2,1380)),ISNUMBER(INDEX(rMed,1380))),INDEX(rMed,1380),NA()))</f>
        <v>236600</v>
      </c>
    </row>
    <row r="1383">
      <c r="BX1383">
        <f>IF(OR(cMed=0,cMed2=0,1381&gt;nFilas),NA(),IF(AND(ISNUMBER(INDEX(rMed2,1381)),ISNUMBER(INDEX(rMed,1381))),INDEX(rMed2,1381),NA()))</f>
        <v>5</v>
      </c>
      <c r="BY1383">
        <f>IF(OR(cMed=0,cMed2=0,1381&gt;nFilas),NA(),IF(AND(ISNUMBER(INDEX(rMed2,1381)),ISNUMBER(INDEX(rMed,1381))),INDEX(rMed,1381),NA()))</f>
        <v>5149500</v>
      </c>
    </row>
    <row r="1384">
      <c r="BX1384">
        <f>IF(OR(cMed=0,cMed2=0,1382&gt;nFilas),NA(),IF(AND(ISNUMBER(INDEX(rMed2,1382)),ISNUMBER(INDEX(rMed,1382))),INDEX(rMed2,1382),NA()))</f>
        <v>4</v>
      </c>
      <c r="BY1384">
        <f>IF(OR(cMed=0,cMed2=0,1382&gt;nFilas),NA(),IF(AND(ISNUMBER(INDEX(rMed2,1382)),ISNUMBER(INDEX(rMed,1382))),INDEX(rMed,1382),NA()))</f>
        <v>387200</v>
      </c>
    </row>
    <row r="1385">
      <c r="BX1385">
        <f>IF(OR(cMed=0,cMed2=0,1383&gt;nFilas),NA(),IF(AND(ISNUMBER(INDEX(rMed2,1383)),ISNUMBER(INDEX(rMed,1383))),INDEX(rMed2,1383),NA()))</f>
        <v>5</v>
      </c>
      <c r="BY1385">
        <f>IF(OR(cMed=0,cMed2=0,1383&gt;nFilas),NA(),IF(AND(ISNUMBER(INDEX(rMed2,1383)),ISNUMBER(INDEX(rMed,1383))),INDEX(rMed,1383),NA()))</f>
        <v>356000</v>
      </c>
    </row>
    <row r="1386">
      <c r="BX1386">
        <f>IF(OR(cMed=0,cMed2=0,1384&gt;nFilas),NA(),IF(AND(ISNUMBER(INDEX(rMed2,1384)),ISNUMBER(INDEX(rMed,1384))),INDEX(rMed2,1384),NA()))</f>
        <v>5</v>
      </c>
      <c r="BY1386">
        <f>IF(OR(cMed=0,cMed2=0,1384&gt;nFilas),NA(),IF(AND(ISNUMBER(INDEX(rMed2,1384)),ISNUMBER(INDEX(rMed,1384))),INDEX(rMed,1384),NA()))</f>
        <v>5221000</v>
      </c>
    </row>
    <row r="1387">
      <c r="BX1387">
        <f>IF(OR(cMed=0,cMed2=0,1385&gt;nFilas),NA(),IF(AND(ISNUMBER(INDEX(rMed2,1385)),ISNUMBER(INDEX(rMed,1385))),INDEX(rMed2,1385),NA()))</f>
        <v>5</v>
      </c>
      <c r="BY1387">
        <f>IF(OR(cMed=0,cMed2=0,1385&gt;nFilas),NA(),IF(AND(ISNUMBER(INDEX(rMed2,1385)),ISNUMBER(INDEX(rMed,1385))),INDEX(rMed,1385),NA()))</f>
        <v>673000</v>
      </c>
    </row>
    <row r="1388">
      <c r="BX1388">
        <f>IF(OR(cMed=0,cMed2=0,1386&gt;nFilas),NA(),IF(AND(ISNUMBER(INDEX(rMed2,1386)),ISNUMBER(INDEX(rMed,1386))),INDEX(rMed2,1386),NA()))</f>
        <v>2</v>
      </c>
      <c r="BY1388">
        <f>IF(OR(cMed=0,cMed2=0,1386&gt;nFilas),NA(),IF(AND(ISNUMBER(INDEX(rMed2,1386)),ISNUMBER(INDEX(rMed,1386))),INDEX(rMed,1386),NA()))</f>
        <v>309400</v>
      </c>
    </row>
    <row r="1389">
      <c r="BX1389">
        <f>IF(OR(cMed=0,cMed2=0,1387&gt;nFilas),NA(),IF(AND(ISNUMBER(INDEX(rMed2,1387)),ISNUMBER(INDEX(rMed,1387))),INDEX(rMed2,1387),NA()))</f>
        <v>2</v>
      </c>
      <c r="BY1389">
        <f>IF(OR(cMed=0,cMed2=0,1387&gt;nFilas),NA(),IF(AND(ISNUMBER(INDEX(rMed2,1387)),ISNUMBER(INDEX(rMed,1387))),INDEX(rMed,1387),NA()))</f>
        <v>2089600</v>
      </c>
    </row>
    <row r="1390">
      <c r="BX1390">
        <f>IF(OR(cMed=0,cMed2=0,1388&gt;nFilas),NA(),IF(AND(ISNUMBER(INDEX(rMed2,1388)),ISNUMBER(INDEX(rMed,1388))),INDEX(rMed2,1388),NA()))</f>
        <v>1</v>
      </c>
      <c r="BY1390">
        <f>IF(OR(cMed=0,cMed2=0,1388&gt;nFilas),NA(),IF(AND(ISNUMBER(INDEX(rMed2,1388)),ISNUMBER(INDEX(rMed,1388))),INDEX(rMed,1388),NA()))</f>
        <v>829600</v>
      </c>
    </row>
    <row r="1391">
      <c r="BX1391">
        <f>IF(OR(cMed=0,cMed2=0,1389&gt;nFilas),NA(),IF(AND(ISNUMBER(INDEX(rMed2,1389)),ISNUMBER(INDEX(rMed,1389))),INDEX(rMed2,1389),NA()))</f>
        <v>2</v>
      </c>
      <c r="BY1391">
        <f>IF(OR(cMed=0,cMed2=0,1389&gt;nFilas),NA(),IF(AND(ISNUMBER(INDEX(rMed2,1389)),ISNUMBER(INDEX(rMed,1389))),INDEX(rMed,1389),NA()))</f>
        <v>1598200</v>
      </c>
    </row>
    <row r="1392">
      <c r="BX1392">
        <f>IF(OR(cMed=0,cMed2=0,1390&gt;nFilas),NA(),IF(AND(ISNUMBER(INDEX(rMed2,1390)),ISNUMBER(INDEX(rMed,1390))),INDEX(rMed2,1390),NA()))</f>
        <v>3</v>
      </c>
      <c r="BY1392">
        <f>IF(OR(cMed=0,cMed2=0,1390&gt;nFilas),NA(),IF(AND(ISNUMBER(INDEX(rMed2,1390)),ISNUMBER(INDEX(rMed,1390))),INDEX(rMed,1390),NA()))</f>
        <v>230400</v>
      </c>
    </row>
    <row r="1393">
      <c r="BX1393">
        <f>IF(OR(cMed=0,cMed2=0,1391&gt;nFilas),NA(),IF(AND(ISNUMBER(INDEX(rMed2,1391)),ISNUMBER(INDEX(rMed,1391))),INDEX(rMed2,1391),NA()))</f>
        <v>1</v>
      </c>
      <c r="BY1393">
        <f>IF(OR(cMed=0,cMed2=0,1391&gt;nFilas),NA(),IF(AND(ISNUMBER(INDEX(rMed2,1391)),ISNUMBER(INDEX(rMed,1391))),INDEX(rMed,1391),NA()))</f>
        <v>82200</v>
      </c>
    </row>
    <row r="1394">
      <c r="BX1394">
        <f>IF(OR(cMed=0,cMed2=0,1392&gt;nFilas),NA(),IF(AND(ISNUMBER(INDEX(rMed2,1392)),ISNUMBER(INDEX(rMed,1392))),INDEX(rMed2,1392),NA()))</f>
        <v>3</v>
      </c>
      <c r="BY1394">
        <f>IF(OR(cMed=0,cMed2=0,1392&gt;nFilas),NA(),IF(AND(ISNUMBER(INDEX(rMed2,1392)),ISNUMBER(INDEX(rMed,1392))),INDEX(rMed,1392),NA()))</f>
        <v>2389500</v>
      </c>
    </row>
    <row r="1395">
      <c r="BX1395">
        <f>IF(OR(cMed=0,cMed2=0,1393&gt;nFilas),NA(),IF(AND(ISNUMBER(INDEX(rMed2,1393)),ISNUMBER(INDEX(rMed,1393))),INDEX(rMed2,1393),NA()))</f>
        <v>5</v>
      </c>
      <c r="BY1395">
        <f>IF(OR(cMed=0,cMed2=0,1393&gt;nFilas),NA(),IF(AND(ISNUMBER(INDEX(rMed2,1393)),ISNUMBER(INDEX(rMed,1393))),INDEX(rMed,1393),NA()))</f>
        <v>626500</v>
      </c>
    </row>
    <row r="1396">
      <c r="BX1396">
        <f>IF(OR(cMed=0,cMed2=0,1394&gt;nFilas),NA(),IF(AND(ISNUMBER(INDEX(rMed2,1394)),ISNUMBER(INDEX(rMed,1394))),INDEX(rMed2,1394),NA()))</f>
        <v>5</v>
      </c>
      <c r="BY1396">
        <f>IF(OR(cMed=0,cMed2=0,1394&gt;nFilas),NA(),IF(AND(ISNUMBER(INDEX(rMed2,1394)),ISNUMBER(INDEX(rMed,1394))),INDEX(rMed,1394),NA()))</f>
        <v>372000</v>
      </c>
    </row>
    <row r="1397">
      <c r="BX1397">
        <f>IF(OR(cMed=0,cMed2=0,1395&gt;nFilas),NA(),IF(AND(ISNUMBER(INDEX(rMed2,1395)),ISNUMBER(INDEX(rMed,1395))),INDEX(rMed2,1395),NA()))</f>
        <v>3</v>
      </c>
      <c r="BY1397">
        <f>IF(OR(cMed=0,cMed2=0,1395&gt;nFilas),NA(),IF(AND(ISNUMBER(INDEX(rMed2,1395)),ISNUMBER(INDEX(rMed,1395))),INDEX(rMed,1395),NA()))</f>
        <v>264600</v>
      </c>
    </row>
    <row r="1398">
      <c r="BX1398">
        <f>IF(OR(cMed=0,cMed2=0,1396&gt;nFilas),NA(),IF(AND(ISNUMBER(INDEX(rMed2,1396)),ISNUMBER(INDEX(rMed,1396))),INDEX(rMed2,1396),NA()))</f>
        <v>5</v>
      </c>
      <c r="BY1398">
        <f>IF(OR(cMed=0,cMed2=0,1396&gt;nFilas),NA(),IF(AND(ISNUMBER(INDEX(rMed2,1396)),ISNUMBER(INDEX(rMed,1396))),INDEX(rMed,1396),NA()))</f>
        <v>424000</v>
      </c>
    </row>
    <row r="1399">
      <c r="BX1399">
        <f>IF(OR(cMed=0,cMed2=0,1397&gt;nFilas),NA(),IF(AND(ISNUMBER(INDEX(rMed2,1397)),ISNUMBER(INDEX(rMed,1397))),INDEX(rMed2,1397),NA()))</f>
        <v>2</v>
      </c>
      <c r="BY1399">
        <f>IF(OR(cMed=0,cMed2=0,1397&gt;nFilas),NA(),IF(AND(ISNUMBER(INDEX(rMed2,1397)),ISNUMBER(INDEX(rMed,1397))),INDEX(rMed,1397),NA()))</f>
        <v>129600</v>
      </c>
    </row>
    <row r="1400">
      <c r="BX1400">
        <f>IF(OR(cMed=0,cMed2=0,1398&gt;nFilas),NA(),IF(AND(ISNUMBER(INDEX(rMed2,1398)),ISNUMBER(INDEX(rMed,1398))),INDEX(rMed2,1398),NA()))</f>
        <v>3</v>
      </c>
      <c r="BY1400">
        <f>IF(OR(cMed=0,cMed2=0,1398&gt;nFilas),NA(),IF(AND(ISNUMBER(INDEX(rMed2,1398)),ISNUMBER(INDEX(rMed,1398))),INDEX(rMed,1398),NA()))</f>
        <v>179100</v>
      </c>
    </row>
    <row r="1401">
      <c r="BX1401">
        <f>IF(OR(cMed=0,cMed2=0,1399&gt;nFilas),NA(),IF(AND(ISNUMBER(INDEX(rMed2,1399)),ISNUMBER(INDEX(rMed,1399))),INDEX(rMed2,1399),NA()))</f>
        <v>4</v>
      </c>
      <c r="BY1401">
        <f>IF(OR(cMed=0,cMed2=0,1399&gt;nFilas),NA(),IF(AND(ISNUMBER(INDEX(rMed2,1399)),ISNUMBER(INDEX(rMed,1399))),INDEX(rMed,1399),NA()))</f>
        <v>825240</v>
      </c>
    </row>
    <row r="1402">
      <c r="BX1402">
        <f>IF(OR(cMed=0,cMed2=0,1400&gt;nFilas),NA(),IF(AND(ISNUMBER(INDEX(rMed2,1400)),ISNUMBER(INDEX(rMed,1400))),INDEX(rMed2,1400),NA()))</f>
        <v>4</v>
      </c>
      <c r="BY1402">
        <f>IF(OR(cMed=0,cMed2=0,1400&gt;nFilas),NA(),IF(AND(ISNUMBER(INDEX(rMed2,1400)),ISNUMBER(INDEX(rMed,1400))),INDEX(rMed,1400),NA()))</f>
        <v>507380</v>
      </c>
    </row>
    <row r="1403">
      <c r="BX1403">
        <f>IF(OR(cMed=0,cMed2=0,1401&gt;nFilas),NA(),IF(AND(ISNUMBER(INDEX(rMed2,1401)),ISNUMBER(INDEX(rMed,1401))),INDEX(rMed2,1401),NA()))</f>
        <v>2</v>
      </c>
      <c r="BY1403">
        <f>IF(OR(cMed=0,cMed2=0,1401&gt;nFilas),NA(),IF(AND(ISNUMBER(INDEX(rMed2,1401)),ISNUMBER(INDEX(rMed,1401))),INDEX(rMed,1401),NA()))</f>
        <v>180550</v>
      </c>
    </row>
    <row r="1404">
      <c r="BX1404">
        <f>IF(OR(cMed=0,cMed2=0,1402&gt;nFilas),NA(),IF(AND(ISNUMBER(INDEX(rMed2,1402)),ISNUMBER(INDEX(rMed,1402))),INDEX(rMed2,1402),NA()))</f>
        <v>5</v>
      </c>
      <c r="BY1404">
        <f>IF(OR(cMed=0,cMed2=0,1402&gt;nFilas),NA(),IF(AND(ISNUMBER(INDEX(rMed2,1402)),ISNUMBER(INDEX(rMed,1402))),INDEX(rMed,1402),NA()))</f>
        <v>4465450</v>
      </c>
    </row>
    <row r="1405">
      <c r="BX1405">
        <f>IF(OR(cMed=0,cMed2=0,1403&gt;nFilas),NA(),IF(AND(ISNUMBER(INDEX(rMed2,1403)),ISNUMBER(INDEX(rMed,1403))),INDEX(rMed2,1403),NA()))</f>
        <v>1</v>
      </c>
      <c r="BY1405">
        <f>IF(OR(cMed=0,cMed2=0,1403&gt;nFilas),NA(),IF(AND(ISNUMBER(INDEX(rMed2,1403)),ISNUMBER(INDEX(rMed,1403))),INDEX(rMed,1403),NA()))</f>
        <v>122820</v>
      </c>
    </row>
    <row r="1406">
      <c r="BX1406">
        <f>IF(OR(cMed=0,cMed2=0,1404&gt;nFilas),NA(),IF(AND(ISNUMBER(INDEX(rMed2,1404)),ISNUMBER(INDEX(rMed,1404))),INDEX(rMed2,1404),NA()))</f>
        <v>4</v>
      </c>
      <c r="BY1406">
        <f>IF(OR(cMed=0,cMed2=0,1404&gt;nFilas),NA(),IF(AND(ISNUMBER(INDEX(rMed2,1404)),ISNUMBER(INDEX(rMed,1404))),INDEX(rMed,1404),NA()))</f>
        <v>677120</v>
      </c>
    </row>
    <row r="1407">
      <c r="BX1407">
        <f>IF(OR(cMed=0,cMed2=0,1405&gt;nFilas),NA(),IF(AND(ISNUMBER(INDEX(rMed2,1405)),ISNUMBER(INDEX(rMed,1405))),INDEX(rMed2,1405),NA()))</f>
        <v>5</v>
      </c>
      <c r="BY1407">
        <f>IF(OR(cMed=0,cMed2=0,1405&gt;nFilas),NA(),IF(AND(ISNUMBER(INDEX(rMed2,1405)),ISNUMBER(INDEX(rMed,1405))),INDEX(rMed,1405),NA()))</f>
        <v>895850</v>
      </c>
    </row>
    <row r="1408">
      <c r="BX1408">
        <f>IF(OR(cMed=0,cMed2=0,1406&gt;nFilas),NA(),IF(AND(ISNUMBER(INDEX(rMed2,1406)),ISNUMBER(INDEX(rMed,1406))),INDEX(rMed2,1406),NA()))</f>
        <v>2</v>
      </c>
      <c r="BY1408">
        <f>IF(OR(cMed=0,cMed2=0,1406&gt;nFilas),NA(),IF(AND(ISNUMBER(INDEX(rMed2,1406)),ISNUMBER(INDEX(rMed,1406))),INDEX(rMed,1406),NA()))</f>
        <v>226550</v>
      </c>
    </row>
    <row r="1409">
      <c r="BX1409">
        <f>IF(OR(cMed=0,cMed2=0,1407&gt;nFilas),NA(),IF(AND(ISNUMBER(INDEX(rMed2,1407)),ISNUMBER(INDEX(rMed,1407))),INDEX(rMed2,1407),NA()))</f>
        <v>4</v>
      </c>
      <c r="BY1409">
        <f>IF(OR(cMed=0,cMed2=0,1407&gt;nFilas),NA(),IF(AND(ISNUMBER(INDEX(rMed2,1407)),ISNUMBER(INDEX(rMed,1407))),INDEX(rMed,1407),NA()))</f>
        <v>1069500</v>
      </c>
    </row>
    <row r="1410">
      <c r="BX1410">
        <f>IF(OR(cMed=0,cMed2=0,1408&gt;nFilas),NA(),IF(AND(ISNUMBER(INDEX(rMed2,1408)),ISNUMBER(INDEX(rMed,1408))),INDEX(rMed2,1408),NA()))</f>
        <v>3</v>
      </c>
      <c r="BY1410">
        <f>IF(OR(cMed=0,cMed2=0,1408&gt;nFilas),NA(),IF(AND(ISNUMBER(INDEX(rMed2,1408)),ISNUMBER(INDEX(rMed,1408))),INDEX(rMed,1408),NA()))</f>
        <v>397440</v>
      </c>
    </row>
    <row r="1411">
      <c r="BX1411">
        <f>IF(OR(cMed=0,cMed2=0,1409&gt;nFilas),NA(),IF(AND(ISNUMBER(INDEX(rMed2,1409)),ISNUMBER(INDEX(rMed,1409))),INDEX(rMed2,1409),NA()))</f>
        <v>5</v>
      </c>
      <c r="BY1411">
        <f>IF(OR(cMed=0,cMed2=0,1409&gt;nFilas),NA(),IF(AND(ISNUMBER(INDEX(rMed2,1409)),ISNUMBER(INDEX(rMed,1409))),INDEX(rMed,1409),NA()))</f>
        <v>438150</v>
      </c>
    </row>
    <row r="1412">
      <c r="BX1412">
        <f>IF(OR(cMed=0,cMed2=0,1410&gt;nFilas),NA(),IF(AND(ISNUMBER(INDEX(rMed2,1410)),ISNUMBER(INDEX(rMed,1410))),INDEX(rMed2,1410),NA()))</f>
        <v>2</v>
      </c>
      <c r="BY1412">
        <f>IF(OR(cMed=0,cMed2=0,1410&gt;nFilas),NA(),IF(AND(ISNUMBER(INDEX(rMed2,1410)),ISNUMBER(INDEX(rMed,1410))),INDEX(rMed,1410),NA()))</f>
        <v>170890</v>
      </c>
    </row>
    <row r="1413">
      <c r="BX1413">
        <f>IF(OR(cMed=0,cMed2=0,1411&gt;nFilas),NA(),IF(AND(ISNUMBER(INDEX(rMed2,1411)),ISNUMBER(INDEX(rMed,1411))),INDEX(rMed2,1411),NA()))</f>
        <v>1</v>
      </c>
      <c r="BY1413">
        <f>IF(OR(cMed=0,cMed2=0,1411&gt;nFilas),NA(),IF(AND(ISNUMBER(INDEX(rMed2,1411)),ISNUMBER(INDEX(rMed,1411))),INDEX(rMed,1411),NA()))</f>
        <v>165715</v>
      </c>
    </row>
    <row r="1414">
      <c r="BX1414">
        <f>IF(OR(cMed=0,cMed2=0,1412&gt;nFilas),NA(),IF(AND(ISNUMBER(INDEX(rMed2,1412)),ISNUMBER(INDEX(rMed,1412))),INDEX(rMed2,1412),NA()))</f>
        <v>3</v>
      </c>
      <c r="BY1414">
        <f>IF(OR(cMed=0,cMed2=0,1412&gt;nFilas),NA(),IF(AND(ISNUMBER(INDEX(rMed2,1412)),ISNUMBER(INDEX(rMed,1412))),INDEX(rMed,1412),NA()))</f>
        <v>383640</v>
      </c>
    </row>
    <row r="1415">
      <c r="BX1415">
        <f>IF(OR(cMed=0,cMed2=0,1413&gt;nFilas),NA(),IF(AND(ISNUMBER(INDEX(rMed2,1413)),ISNUMBER(INDEX(rMed,1413))),INDEX(rMed2,1413),NA()))</f>
        <v>1</v>
      </c>
      <c r="BY1415">
        <f>IF(OR(cMed=0,cMed2=0,1413&gt;nFilas),NA(),IF(AND(ISNUMBER(INDEX(rMed2,1413)),ISNUMBER(INDEX(rMed,1413))),INDEX(rMed,1413),NA()))</f>
        <v>125465</v>
      </c>
    </row>
    <row r="1416">
      <c r="BX1416">
        <f>IF(OR(cMed=0,cMed2=0,1414&gt;nFilas),NA(),IF(AND(ISNUMBER(INDEX(rMed2,1414)),ISNUMBER(INDEX(rMed,1414))),INDEX(rMed2,1414),NA()))</f>
        <v>4</v>
      </c>
      <c r="BY1416">
        <f>IF(OR(cMed=0,cMed2=0,1414&gt;nFilas),NA(),IF(AND(ISNUMBER(INDEX(rMed2,1414)),ISNUMBER(INDEX(rMed,1414))),INDEX(rMed,1414),NA()))</f>
        <v>574800</v>
      </c>
    </row>
    <row r="1417">
      <c r="BX1417">
        <f>IF(OR(cMed=0,cMed2=0,1415&gt;nFilas),NA(),IF(AND(ISNUMBER(INDEX(rMed2,1415)),ISNUMBER(INDEX(rMed,1415))),INDEX(rMed2,1415),NA()))</f>
        <v>1</v>
      </c>
      <c r="BY1417">
        <f>IF(OR(cMed=0,cMed2=0,1415&gt;nFilas),NA(),IF(AND(ISNUMBER(INDEX(rMed2,1415)),ISNUMBER(INDEX(rMed,1415))),INDEX(rMed,1415),NA()))</f>
        <v>125000</v>
      </c>
    </row>
    <row r="1418">
      <c r="BX1418">
        <f>IF(OR(cMed=0,cMed2=0,1416&gt;nFilas),NA(),IF(AND(ISNUMBER(INDEX(rMed2,1416)),ISNUMBER(INDEX(rMed,1416))),INDEX(rMed2,1416),NA()))</f>
        <v>3</v>
      </c>
      <c r="BY1418">
        <f>IF(OR(cMed=0,cMed2=0,1416&gt;nFilas),NA(),IF(AND(ISNUMBER(INDEX(rMed2,1416)),ISNUMBER(INDEX(rMed,1416))),INDEX(rMed,1416),NA()))</f>
        <v>148500</v>
      </c>
    </row>
    <row r="1419">
      <c r="BX1419">
        <f>IF(OR(cMed=0,cMed2=0,1417&gt;nFilas),NA(),IF(AND(ISNUMBER(INDEX(rMed2,1417)),ISNUMBER(INDEX(rMed,1417))),INDEX(rMed2,1417),NA()))</f>
        <v>2</v>
      </c>
      <c r="BY1419">
        <f>IF(OR(cMed=0,cMed2=0,1417&gt;nFilas),NA(),IF(AND(ISNUMBER(INDEX(rMed2,1417)),ISNUMBER(INDEX(rMed,1417))),INDEX(rMed,1417),NA()))</f>
        <v>1200800</v>
      </c>
    </row>
    <row r="1420">
      <c r="BX1420">
        <f>IF(OR(cMed=0,cMed2=0,1418&gt;nFilas),NA(),IF(AND(ISNUMBER(INDEX(rMed2,1418)),ISNUMBER(INDEX(rMed,1418))),INDEX(rMed2,1418),NA()))</f>
        <v>5</v>
      </c>
      <c r="BY1420">
        <f>IF(OR(cMed=0,cMed2=0,1418&gt;nFilas),NA(),IF(AND(ISNUMBER(INDEX(rMed2,1418)),ISNUMBER(INDEX(rMed,1418))),INDEX(rMed,1418),NA()))</f>
        <v>330000</v>
      </c>
    </row>
    <row r="1421">
      <c r="BX1421">
        <f>IF(OR(cMed=0,cMed2=0,1419&gt;nFilas),NA(),IF(AND(ISNUMBER(INDEX(rMed2,1419)),ISNUMBER(INDEX(rMed,1419))),INDEX(rMed2,1419),NA()))</f>
        <v>2</v>
      </c>
      <c r="BY1421">
        <f>IF(OR(cMed=0,cMed2=0,1419&gt;nFilas),NA(),IF(AND(ISNUMBER(INDEX(rMed2,1419)),ISNUMBER(INDEX(rMed,1419))),INDEX(rMed,1419),NA()))</f>
        <v>180800</v>
      </c>
    </row>
    <row r="1422">
      <c r="BX1422">
        <f>IF(OR(cMed=0,cMed2=0,1420&gt;nFilas),NA(),IF(AND(ISNUMBER(INDEX(rMed2,1420)),ISNUMBER(INDEX(rMed,1420))),INDEX(rMed2,1420),NA()))</f>
        <v>3</v>
      </c>
      <c r="BY1422">
        <f>IF(OR(cMed=0,cMed2=0,1420&gt;nFilas),NA(),IF(AND(ISNUMBER(INDEX(rMed2,1420)),ISNUMBER(INDEX(rMed,1420))),INDEX(rMed,1420),NA()))</f>
        <v>322200</v>
      </c>
    </row>
    <row r="1423">
      <c r="BX1423">
        <f>IF(OR(cMed=0,cMed2=0,1421&gt;nFilas),NA(),IF(AND(ISNUMBER(INDEX(rMed2,1421)),ISNUMBER(INDEX(rMed,1421))),INDEX(rMed2,1421),NA()))</f>
        <v>4</v>
      </c>
      <c r="BY1423">
        <f>IF(OR(cMed=0,cMed2=0,1421&gt;nFilas),NA(),IF(AND(ISNUMBER(INDEX(rMed2,1421)),ISNUMBER(INDEX(rMed,1421))),INDEX(rMed,1421),NA()))</f>
        <v>280800</v>
      </c>
    </row>
    <row r="1424">
      <c r="BX1424">
        <f>IF(OR(cMed=0,cMed2=0,1422&gt;nFilas),NA(),IF(AND(ISNUMBER(INDEX(rMed2,1422)),ISNUMBER(INDEX(rMed,1422))),INDEX(rMed2,1422),NA()))</f>
        <v>5</v>
      </c>
      <c r="BY1424">
        <f>IF(OR(cMed=0,cMed2=0,1422&gt;nFilas),NA(),IF(AND(ISNUMBER(INDEX(rMed2,1422)),ISNUMBER(INDEX(rMed,1422))),INDEX(rMed,1422),NA()))</f>
        <v>661500</v>
      </c>
    </row>
    <row r="1425">
      <c r="BX1425">
        <f>IF(OR(cMed=0,cMed2=0,1423&gt;nFilas),NA(),IF(AND(ISNUMBER(INDEX(rMed2,1423)),ISNUMBER(INDEX(rMed,1423))),INDEX(rMed2,1423),NA()))</f>
        <v>4</v>
      </c>
      <c r="BY1425">
        <f>IF(OR(cMed=0,cMed2=0,1423&gt;nFilas),NA(),IF(AND(ISNUMBER(INDEX(rMed2,1423)),ISNUMBER(INDEX(rMed,1423))),INDEX(rMed,1423),NA()))</f>
        <v>200400</v>
      </c>
    </row>
    <row r="1426">
      <c r="BX1426">
        <f>IF(OR(cMed=0,cMed2=0,1424&gt;nFilas),NA(),IF(AND(ISNUMBER(INDEX(rMed2,1424)),ISNUMBER(INDEX(rMed,1424))),INDEX(rMed2,1424),NA()))</f>
        <v>3</v>
      </c>
      <c r="BY1426">
        <f>IF(OR(cMed=0,cMed2=0,1424&gt;nFilas),NA(),IF(AND(ISNUMBER(INDEX(rMed2,1424)),ISNUMBER(INDEX(rMed,1424))),INDEX(rMed,1424),NA()))</f>
        <v>1888500</v>
      </c>
    </row>
    <row r="1427">
      <c r="BX1427">
        <f>IF(OR(cMed=0,cMed2=0,1425&gt;nFilas),NA(),IF(AND(ISNUMBER(INDEX(rMed2,1425)),ISNUMBER(INDEX(rMed,1425))),INDEX(rMed2,1425),NA()))</f>
        <v>1</v>
      </c>
      <c r="BY1427">
        <f>IF(OR(cMed=0,cMed2=0,1425&gt;nFilas),NA(),IF(AND(ISNUMBER(INDEX(rMed2,1425)),ISNUMBER(INDEX(rMed,1425))),INDEX(rMed,1425),NA()))</f>
        <v>109000</v>
      </c>
    </row>
    <row r="1428">
      <c r="BX1428">
        <f>IF(OR(cMed=0,cMed2=0,1426&gt;nFilas),NA(),IF(AND(ISNUMBER(INDEX(rMed2,1426)),ISNUMBER(INDEX(rMed,1426))),INDEX(rMed2,1426),NA()))</f>
        <v>2</v>
      </c>
      <c r="BY1428">
        <f>IF(OR(cMed=0,cMed2=0,1426&gt;nFilas),NA(),IF(AND(ISNUMBER(INDEX(rMed2,1426)),ISNUMBER(INDEX(rMed,1426))),INDEX(rMed,1426),NA()))</f>
        <v>284600</v>
      </c>
    </row>
    <row r="1429">
      <c r="BX1429">
        <f>IF(OR(cMed=0,cMed2=0,1427&gt;nFilas),NA(),IF(AND(ISNUMBER(INDEX(rMed2,1427)),ISNUMBER(INDEX(rMed,1427))),INDEX(rMed2,1427),NA()))</f>
        <v>1</v>
      </c>
      <c r="BY1429">
        <f>IF(OR(cMed=0,cMed2=0,1427&gt;nFilas),NA(),IF(AND(ISNUMBER(INDEX(rMed2,1427)),ISNUMBER(INDEX(rMed,1427))),INDEX(rMed,1427),NA()))</f>
        <v>136505</v>
      </c>
    </row>
    <row r="1430">
      <c r="BX1430">
        <f>IF(OR(cMed=0,cMed2=0,1428&gt;nFilas),NA(),IF(AND(ISNUMBER(INDEX(rMed2,1428)),ISNUMBER(INDEX(rMed,1428))),INDEX(rMed2,1428),NA()))</f>
        <v>1</v>
      </c>
      <c r="BY1430">
        <f>IF(OR(cMed=0,cMed2=0,1428&gt;nFilas),NA(),IF(AND(ISNUMBER(INDEX(rMed2,1428)),ISNUMBER(INDEX(rMed,1428))),INDEX(rMed,1428),NA()))</f>
        <v>160080</v>
      </c>
    </row>
    <row r="1431">
      <c r="BX1431">
        <f>IF(OR(cMed=0,cMed2=0,1429&gt;nFilas),NA(),IF(AND(ISNUMBER(INDEX(rMed2,1429)),ISNUMBER(INDEX(rMed,1429))),INDEX(rMed2,1429),NA()))</f>
        <v>2</v>
      </c>
      <c r="BY1431">
        <f>IF(OR(cMed=0,cMed2=0,1429&gt;nFilas),NA(),IF(AND(ISNUMBER(INDEX(rMed2,1429)),ISNUMBER(INDEX(rMed,1429))),INDEX(rMed,1429),NA()))</f>
        <v>213670</v>
      </c>
    </row>
    <row r="1432">
      <c r="BX1432">
        <f>IF(OR(cMed=0,cMed2=0,1430&gt;nFilas),NA(),IF(AND(ISNUMBER(INDEX(rMed2,1430)),ISNUMBER(INDEX(rMed,1430))),INDEX(rMed2,1430),NA()))</f>
        <v>2</v>
      </c>
      <c r="BY1432">
        <f>IF(OR(cMed=0,cMed2=0,1430&gt;nFilas),NA(),IF(AND(ISNUMBER(INDEX(rMed2,1430)),ISNUMBER(INDEX(rMed,1430))),INDEX(rMed,1430),NA()))</f>
        <v>184230</v>
      </c>
    </row>
    <row r="1433">
      <c r="BX1433">
        <f>IF(OR(cMed=0,cMed2=0,1431&gt;nFilas),NA(),IF(AND(ISNUMBER(INDEX(rMed2,1431)),ISNUMBER(INDEX(rMed,1431))),INDEX(rMed2,1431),NA()))</f>
        <v>4</v>
      </c>
      <c r="BY1433">
        <f>IF(OR(cMed=0,cMed2=0,1431&gt;nFilas),NA(),IF(AND(ISNUMBER(INDEX(rMed2,1431)),ISNUMBER(INDEX(rMed,1431))),INDEX(rMed,1431),NA()))</f>
        <v>633880</v>
      </c>
    </row>
    <row r="1434">
      <c r="BX1434">
        <f>IF(OR(cMed=0,cMed2=0,1432&gt;nFilas),NA(),IF(AND(ISNUMBER(INDEX(rMed2,1432)),ISNUMBER(INDEX(rMed,1432))),INDEX(rMed2,1432),NA()))</f>
        <v>1</v>
      </c>
      <c r="BY1434">
        <f>IF(OR(cMed=0,cMed2=0,1432&gt;nFilas),NA(),IF(AND(ISNUMBER(INDEX(rMed2,1432)),ISNUMBER(INDEX(rMed,1432))),INDEX(rMed,1432),NA()))</f>
        <v>1159660</v>
      </c>
    </row>
    <row r="1435">
      <c r="BX1435">
        <f>IF(OR(cMed=0,cMed2=0,1433&gt;nFilas),NA(),IF(AND(ISNUMBER(INDEX(rMed2,1433)),ISNUMBER(INDEX(rMed,1433))),INDEX(rMed2,1433),NA()))</f>
        <v>4</v>
      </c>
      <c r="BY1435">
        <f>IF(OR(cMed=0,cMed2=0,1433&gt;nFilas),NA(),IF(AND(ISNUMBER(INDEX(rMed2,1433)),ISNUMBER(INDEX(rMed,1433))),INDEX(rMed,1433),NA()))</f>
        <v>4208080</v>
      </c>
    </row>
    <row r="1436">
      <c r="BX1436">
        <f>IF(OR(cMed=0,cMed2=0,1434&gt;nFilas),NA(),IF(AND(ISNUMBER(INDEX(rMed2,1434)),ISNUMBER(INDEX(rMed,1434))),INDEX(rMed2,1434),NA()))</f>
        <v>1</v>
      </c>
      <c r="BY1436">
        <f>IF(OR(cMed=0,cMed2=0,1434&gt;nFilas),NA(),IF(AND(ISNUMBER(INDEX(rMed2,1434)),ISNUMBER(INDEX(rMed,1434))),INDEX(rMed,1434),NA()))</f>
        <v>113965</v>
      </c>
    </row>
    <row r="1437">
      <c r="BX1437">
        <f>IF(OR(cMed=0,cMed2=0,1435&gt;nFilas),NA(),IF(AND(ISNUMBER(INDEX(rMed2,1435)),ISNUMBER(INDEX(rMed,1435))),INDEX(rMed2,1435),NA()))</f>
        <v>3</v>
      </c>
      <c r="BY1437">
        <f>IF(OR(cMed=0,cMed2=0,1435&gt;nFilas),NA(),IF(AND(ISNUMBER(INDEX(rMed2,1435)),ISNUMBER(INDEX(rMed,1435))),INDEX(rMed,1435),NA()))</f>
        <v>333960</v>
      </c>
    </row>
    <row r="1438">
      <c r="BX1438">
        <f>IF(OR(cMed=0,cMed2=0,1436&gt;nFilas),NA(),IF(AND(ISNUMBER(INDEX(rMed2,1436)),ISNUMBER(INDEX(rMed,1436))),INDEX(rMed2,1436),NA()))</f>
        <v>3</v>
      </c>
      <c r="BY1438">
        <f>IF(OR(cMed=0,cMed2=0,1436&gt;nFilas),NA(),IF(AND(ISNUMBER(INDEX(rMed2,1436)),ISNUMBER(INDEX(rMed,1436))),INDEX(rMed,1436),NA()))</f>
        <v>690690</v>
      </c>
    </row>
    <row r="1439">
      <c r="BX1439">
        <f>IF(OR(cMed=0,cMed2=0,1437&gt;nFilas),NA(),IF(AND(ISNUMBER(INDEX(rMed2,1437)),ISNUMBER(INDEX(rMed,1437))),INDEX(rMed2,1437),NA()))</f>
        <v>5</v>
      </c>
      <c r="BY1439">
        <f>IF(OR(cMed=0,cMed2=0,1437&gt;nFilas),NA(),IF(AND(ISNUMBER(INDEX(rMed2,1437)),ISNUMBER(INDEX(rMed,1437))),INDEX(rMed,1437),NA()))</f>
        <v>706675</v>
      </c>
    </row>
    <row r="1440">
      <c r="BX1440">
        <f>IF(OR(cMed=0,cMed2=0,1438&gt;nFilas),NA(),IF(AND(ISNUMBER(INDEX(rMed2,1438)),ISNUMBER(INDEX(rMed,1438))),INDEX(rMed2,1438),NA()))</f>
        <v>3</v>
      </c>
      <c r="BY1440">
        <f>IF(OR(cMed=0,cMed2=0,1438&gt;nFilas),NA(),IF(AND(ISNUMBER(INDEX(rMed2,1438)),ISNUMBER(INDEX(rMed,1438))),INDEX(rMed,1438),NA()))</f>
        <v>669990</v>
      </c>
    </row>
    <row r="1441">
      <c r="BX1441">
        <f>IF(OR(cMed=0,cMed2=0,1439&gt;nFilas),NA(),IF(AND(ISNUMBER(INDEX(rMed2,1439)),ISNUMBER(INDEX(rMed,1439))),INDEX(rMed2,1439),NA()))</f>
        <v>1</v>
      </c>
      <c r="BY1441">
        <f>IF(OR(cMed=0,cMed2=0,1439&gt;nFilas),NA(),IF(AND(ISNUMBER(INDEX(rMed2,1439)),ISNUMBER(INDEX(rMed,1439))),INDEX(rMed,1439),NA()))</f>
        <v>183310</v>
      </c>
    </row>
    <row r="1442">
      <c r="BX1442">
        <f>IF(OR(cMed=0,cMed2=0,1440&gt;nFilas),NA(),IF(AND(ISNUMBER(INDEX(rMed2,1440)),ISNUMBER(INDEX(rMed,1440))),INDEX(rMed2,1440),NA()))</f>
        <v>2</v>
      </c>
      <c r="BY1442">
        <f>IF(OR(cMed=0,cMed2=0,1440&gt;nFilas),NA(),IF(AND(ISNUMBER(INDEX(rMed2,1440)),ISNUMBER(INDEX(rMed,1440))),INDEX(rMed,1440),NA()))</f>
        <v>1410590</v>
      </c>
    </row>
    <row r="1443">
      <c r="BX1443">
        <f>IF(OR(cMed=0,cMed2=0,1441&gt;nFilas),NA(),IF(AND(ISNUMBER(INDEX(rMed2,1441)),ISNUMBER(INDEX(rMed,1441))),INDEX(rMed2,1441),NA()))</f>
        <v>4</v>
      </c>
      <c r="BY1443">
        <f>IF(OR(cMed=0,cMed2=0,1441&gt;nFilas),NA(),IF(AND(ISNUMBER(INDEX(rMed2,1441)),ISNUMBER(INDEX(rMed,1441))),INDEX(rMed,1441),NA()))</f>
        <v>750720</v>
      </c>
    </row>
    <row r="1444">
      <c r="BX1444">
        <f>IF(OR(cMed=0,cMed2=0,1442&gt;nFilas),NA(),IF(AND(ISNUMBER(INDEX(rMed2,1442)),ISNUMBER(INDEX(rMed,1442))),INDEX(rMed2,1442),NA()))</f>
        <v>1</v>
      </c>
      <c r="BY1444">
        <f>IF(OR(cMed=0,cMed2=0,1442&gt;nFilas),NA(),IF(AND(ISNUMBER(INDEX(rMed2,1442)),ISNUMBER(INDEX(rMed,1442))),INDEX(rMed,1442),NA()))</f>
        <v>152800</v>
      </c>
    </row>
    <row r="1445">
      <c r="BX1445">
        <f>IF(OR(cMed=0,cMed2=0,1443&gt;nFilas),NA(),IF(AND(ISNUMBER(INDEX(rMed2,1443)),ISNUMBER(INDEX(rMed,1443))),INDEX(rMed2,1443),NA()))</f>
        <v>4</v>
      </c>
      <c r="BY1445">
        <f>IF(OR(cMed=0,cMed2=0,1443&gt;nFilas),NA(),IF(AND(ISNUMBER(INDEX(rMed2,1443)),ISNUMBER(INDEX(rMed,1443))),INDEX(rMed,1443),NA()))</f>
        <v>358800</v>
      </c>
    </row>
    <row r="1446">
      <c r="BX1446">
        <f>IF(OR(cMed=0,cMed2=0,1444&gt;nFilas),NA(),IF(AND(ISNUMBER(INDEX(rMed2,1444)),ISNUMBER(INDEX(rMed,1444))),INDEX(rMed2,1444),NA()))</f>
        <v>3</v>
      </c>
      <c r="BY1446">
        <f>IF(OR(cMed=0,cMed2=0,1444&gt;nFilas),NA(),IF(AND(ISNUMBER(INDEX(rMed2,1444)),ISNUMBER(INDEX(rMed,1444))),INDEX(rMed,1444),NA()))</f>
        <v>198000</v>
      </c>
    </row>
    <row r="1447">
      <c r="BX1447">
        <f>IF(OR(cMed=0,cMed2=0,1445&gt;nFilas),NA(),IF(AND(ISNUMBER(INDEX(rMed2,1445)),ISNUMBER(INDEX(rMed,1445))),INDEX(rMed2,1445),NA()))</f>
        <v>1</v>
      </c>
      <c r="BY1447">
        <f>IF(OR(cMed=0,cMed2=0,1445&gt;nFilas),NA(),IF(AND(ISNUMBER(INDEX(rMed2,1445)),ISNUMBER(INDEX(rMed,1445))),INDEX(rMed,1445),NA()))</f>
        <v>49500</v>
      </c>
    </row>
    <row r="1448">
      <c r="BX1448">
        <f>IF(OR(cMed=0,cMed2=0,1446&gt;nFilas),NA(),IF(AND(ISNUMBER(INDEX(rMed2,1446)),ISNUMBER(INDEX(rMed,1446))),INDEX(rMed2,1446),NA()))</f>
        <v>1</v>
      </c>
      <c r="BY1448">
        <f>IF(OR(cMed=0,cMed2=0,1446&gt;nFilas),NA(),IF(AND(ISNUMBER(INDEX(rMed2,1446)),ISNUMBER(INDEX(rMed,1446))),INDEX(rMed,1446),NA()))</f>
        <v>639600</v>
      </c>
    </row>
    <row r="1449">
      <c r="BX1449">
        <f>IF(OR(cMed=0,cMed2=0,1447&gt;nFilas),NA(),IF(AND(ISNUMBER(INDEX(rMed2,1447)),ISNUMBER(INDEX(rMed,1447))),INDEX(rMed2,1447),NA()))</f>
        <v>2</v>
      </c>
      <c r="BY1449">
        <f>IF(OR(cMed=0,cMed2=0,1447&gt;nFilas),NA(),IF(AND(ISNUMBER(INDEX(rMed2,1447)),ISNUMBER(INDEX(rMed,1447))),INDEX(rMed,1447),NA()))</f>
        <v>290400</v>
      </c>
    </row>
    <row r="1450">
      <c r="BX1450">
        <f>IF(OR(cMed=0,cMed2=0,1448&gt;nFilas),NA(),IF(AND(ISNUMBER(INDEX(rMed2,1448)),ISNUMBER(INDEX(rMed,1448))),INDEX(rMed2,1448),NA()))</f>
        <v>4</v>
      </c>
      <c r="BY1450">
        <f>IF(OR(cMed=0,cMed2=0,1448&gt;nFilas),NA(),IF(AND(ISNUMBER(INDEX(rMed2,1448)),ISNUMBER(INDEX(rMed,1448))),INDEX(rMed,1448),NA()))</f>
        <v>528000</v>
      </c>
    </row>
    <row r="1451">
      <c r="BX1451">
        <f>IF(OR(cMed=0,cMed2=0,1449&gt;nFilas),NA(),IF(AND(ISNUMBER(INDEX(rMed2,1449)),ISNUMBER(INDEX(rMed,1449))),INDEX(rMed2,1449),NA()))</f>
        <v>4</v>
      </c>
      <c r="BY1451">
        <f>IF(OR(cMed=0,cMed2=0,1449&gt;nFilas),NA(),IF(AND(ISNUMBER(INDEX(rMed2,1449)),ISNUMBER(INDEX(rMed,1449))),INDEX(rMed,1449),NA()))</f>
        <v>258400</v>
      </c>
    </row>
    <row r="1452">
      <c r="BX1452">
        <f>IF(OR(cMed=0,cMed2=0,1450&gt;nFilas),NA(),IF(AND(ISNUMBER(INDEX(rMed2,1450)),ISNUMBER(INDEX(rMed,1450))),INDEX(rMed2,1450),NA()))</f>
        <v>3</v>
      </c>
      <c r="BY1452">
        <f>IF(OR(cMed=0,cMed2=0,1450&gt;nFilas),NA(),IF(AND(ISNUMBER(INDEX(rMed2,1450)),ISNUMBER(INDEX(rMed,1450))),INDEX(rMed,1450),NA()))</f>
        <v>559500</v>
      </c>
    </row>
    <row r="1453">
      <c r="BX1453">
        <f>IF(OR(cMed=0,cMed2=0,1451&gt;nFilas),NA(),IF(AND(ISNUMBER(INDEX(rMed2,1451)),ISNUMBER(INDEX(rMed,1451))),INDEX(rMed2,1451),NA()))</f>
        <v>4</v>
      </c>
      <c r="BY1453">
        <f>IF(OR(cMed=0,cMed2=0,1451&gt;nFilas),NA(),IF(AND(ISNUMBER(INDEX(rMed2,1451)),ISNUMBER(INDEX(rMed,1451))),INDEX(rMed,1451),NA()))</f>
        <v>4228000</v>
      </c>
    </row>
    <row r="1454">
      <c r="BX1454">
        <f>IF(OR(cMed=0,cMed2=0,1452&gt;nFilas),NA(),IF(AND(ISNUMBER(INDEX(rMed2,1452)),ISNUMBER(INDEX(rMed,1452))),INDEX(rMed2,1452),NA()))</f>
        <v>5</v>
      </c>
      <c r="BY1454">
        <f>IF(OR(cMed=0,cMed2=0,1452&gt;nFilas),NA(),IF(AND(ISNUMBER(INDEX(rMed2,1452)),ISNUMBER(INDEX(rMed,1452))),INDEX(rMed,1452),NA()))</f>
        <v>5456000</v>
      </c>
    </row>
    <row r="1455">
      <c r="BX1455">
        <f>IF(OR(cMed=0,cMed2=0,1453&gt;nFilas),NA(),IF(AND(ISNUMBER(INDEX(rMed2,1453)),ISNUMBER(INDEX(rMed,1453))),INDEX(rMed2,1453),NA()))</f>
        <v>5</v>
      </c>
      <c r="BY1455">
        <f>IF(OR(cMed=0,cMed2=0,1453&gt;nFilas),NA(),IF(AND(ISNUMBER(INDEX(rMed2,1453)),ISNUMBER(INDEX(rMed,1453))),INDEX(rMed,1453),NA()))</f>
        <v>649000</v>
      </c>
    </row>
    <row r="1456">
      <c r="BX1456">
        <f>IF(OR(cMed=0,cMed2=0,1454&gt;nFilas),NA(),IF(AND(ISNUMBER(INDEX(rMed2,1454)),ISNUMBER(INDEX(rMed,1454))),INDEX(rMed2,1454),NA()))</f>
        <v>3</v>
      </c>
      <c r="BY1456">
        <f>IF(OR(cMed=0,cMed2=0,1454&gt;nFilas),NA(),IF(AND(ISNUMBER(INDEX(rMed2,1454)),ISNUMBER(INDEX(rMed,1454))),INDEX(rMed,1454),NA()))</f>
        <v>368100</v>
      </c>
    </row>
    <row r="1457">
      <c r="BX1457">
        <f>IF(OR(cMed=0,cMed2=0,1455&gt;nFilas),NA(),IF(AND(ISNUMBER(INDEX(rMed2,1455)),ISNUMBER(INDEX(rMed,1455))),INDEX(rMed2,1455),NA()))</f>
        <v>3</v>
      </c>
      <c r="BY1457">
        <f>IF(OR(cMed=0,cMed2=0,1455&gt;nFilas),NA(),IF(AND(ISNUMBER(INDEX(rMed2,1455)),ISNUMBER(INDEX(rMed,1455))),INDEX(rMed,1455),NA()))</f>
        <v>363600</v>
      </c>
    </row>
    <row r="1458">
      <c r="BX1458">
        <f>IF(OR(cMed=0,cMed2=0,1456&gt;nFilas),NA(),IF(AND(ISNUMBER(INDEX(rMed2,1456)),ISNUMBER(INDEX(rMed,1456))),INDEX(rMed2,1456),NA()))</f>
        <v>1</v>
      </c>
      <c r="BY1458">
        <f>IF(OR(cMed=0,cMed2=0,1456&gt;nFilas),NA(),IF(AND(ISNUMBER(INDEX(rMed2,1456)),ISNUMBER(INDEX(rMed,1456))),INDEX(rMed,1456),NA()))</f>
        <v>995900</v>
      </c>
    </row>
    <row r="1459">
      <c r="BX1459">
        <f>IF(OR(cMed=0,cMed2=0,1457&gt;nFilas),NA(),IF(AND(ISNUMBER(INDEX(rMed2,1457)),ISNUMBER(INDEX(rMed,1457))),INDEX(rMed2,1457),NA()))</f>
        <v>5</v>
      </c>
      <c r="BY1459">
        <f>IF(OR(cMed=0,cMed2=0,1457&gt;nFilas),NA(),IF(AND(ISNUMBER(INDEX(rMed2,1457)),ISNUMBER(INDEX(rMed,1457))),INDEX(rMed,1457),NA()))</f>
        <v>4225500</v>
      </c>
    </row>
    <row r="1460">
      <c r="BX1460">
        <f>IF(OR(cMed=0,cMed2=0,1458&gt;nFilas),NA(),IF(AND(ISNUMBER(INDEX(rMed2,1458)),ISNUMBER(INDEX(rMed,1458))),INDEX(rMed2,1458),NA()))</f>
        <v>4</v>
      </c>
      <c r="BY1460">
        <f>IF(OR(cMed=0,cMed2=0,1458&gt;nFilas),NA(),IF(AND(ISNUMBER(INDEX(rMed2,1458)),ISNUMBER(INDEX(rMed,1458))),INDEX(rMed,1458),NA()))</f>
        <v>299200</v>
      </c>
    </row>
    <row r="1461">
      <c r="BX1461">
        <f>IF(OR(cMed=0,cMed2=0,1459&gt;nFilas),NA(),IF(AND(ISNUMBER(INDEX(rMed2,1459)),ISNUMBER(INDEX(rMed,1459))),INDEX(rMed2,1459),NA()))</f>
        <v>5</v>
      </c>
      <c r="BY1461">
        <f>IF(OR(cMed=0,cMed2=0,1459&gt;nFilas),NA(),IF(AND(ISNUMBER(INDEX(rMed2,1459)),ISNUMBER(INDEX(rMed,1459))),INDEX(rMed,1459),NA()))</f>
        <v>991000</v>
      </c>
    </row>
    <row r="1462">
      <c r="BX1462">
        <f>IF(OR(cMed=0,cMed2=0,1460&gt;nFilas),NA(),IF(AND(ISNUMBER(INDEX(rMed2,1460)),ISNUMBER(INDEX(rMed,1460))),INDEX(rMed2,1460),NA()))</f>
        <v>3</v>
      </c>
      <c r="BY1462">
        <f>IF(OR(cMed=0,cMed2=0,1460&gt;nFilas),NA(),IF(AND(ISNUMBER(INDEX(rMed2,1460)),ISNUMBER(INDEX(rMed,1460))),INDEX(rMed,1460),NA()))</f>
        <v>2077245</v>
      </c>
    </row>
    <row r="1463">
      <c r="BX1463">
        <f>IF(OR(cMed=0,cMed2=0,1461&gt;nFilas),NA(),IF(AND(ISNUMBER(INDEX(rMed2,1461)),ISNUMBER(INDEX(rMed,1461))),INDEX(rMed2,1461),NA()))</f>
        <v>1</v>
      </c>
      <c r="BY1463">
        <f>IF(OR(cMed=0,cMed2=0,1461&gt;nFilas),NA(),IF(AND(ISNUMBER(INDEX(rMed2,1461)),ISNUMBER(INDEX(rMed,1461))),INDEX(rMed,1461),NA()))</f>
        <v>728525</v>
      </c>
    </row>
    <row r="1464">
      <c r="BX1464">
        <f>IF(OR(cMed=0,cMed2=0,1462&gt;nFilas),NA(),IF(AND(ISNUMBER(INDEX(rMed2,1462)),ISNUMBER(INDEX(rMed,1462))),INDEX(rMed2,1462),NA()))</f>
        <v>5</v>
      </c>
      <c r="BY1464">
        <f>IF(OR(cMed=0,cMed2=0,1462&gt;nFilas),NA(),IF(AND(ISNUMBER(INDEX(rMed2,1462)),ISNUMBER(INDEX(rMed,1462))),INDEX(rMed,1462),NA()))</f>
        <v>1469125</v>
      </c>
    </row>
    <row r="1465">
      <c r="BX1465">
        <f>IF(OR(cMed=0,cMed2=0,1463&gt;nFilas),NA(),IF(AND(ISNUMBER(INDEX(rMed2,1463)),ISNUMBER(INDEX(rMed,1463))),INDEX(rMed2,1463),NA()))</f>
        <v>2</v>
      </c>
      <c r="BY1465">
        <f>IF(OR(cMed=0,cMed2=0,1463&gt;nFilas),NA(),IF(AND(ISNUMBER(INDEX(rMed2,1463)),ISNUMBER(INDEX(rMed,1463))),INDEX(rMed,1463),NA()))</f>
        <v>1623800</v>
      </c>
    </row>
    <row r="1466">
      <c r="BX1466">
        <f>IF(OR(cMed=0,cMed2=0,1464&gt;nFilas),NA(),IF(AND(ISNUMBER(INDEX(rMed2,1464)),ISNUMBER(INDEX(rMed,1464))),INDEX(rMed2,1464),NA()))</f>
        <v>2</v>
      </c>
      <c r="BY1466">
        <f>IF(OR(cMed=0,cMed2=0,1464&gt;nFilas),NA(),IF(AND(ISNUMBER(INDEX(rMed2,1464)),ISNUMBER(INDEX(rMed,1464))),INDEX(rMed,1464),NA()))</f>
        <v>1892900</v>
      </c>
    </row>
    <row r="1467">
      <c r="BX1467">
        <f>IF(OR(cMed=0,cMed2=0,1465&gt;nFilas),NA(),IF(AND(ISNUMBER(INDEX(rMed2,1465)),ISNUMBER(INDEX(rMed,1465))),INDEX(rMed2,1465),NA()))</f>
        <v>4</v>
      </c>
      <c r="BY1467">
        <f>IF(OR(cMed=0,cMed2=0,1465&gt;nFilas),NA(),IF(AND(ISNUMBER(INDEX(rMed2,1465)),ISNUMBER(INDEX(rMed,1465))),INDEX(rMed,1465),NA()))</f>
        <v>500020</v>
      </c>
    </row>
    <row r="1468">
      <c r="BX1468">
        <f>IF(OR(cMed=0,cMed2=0,1466&gt;nFilas),NA(),IF(AND(ISNUMBER(INDEX(rMed2,1466)),ISNUMBER(INDEX(rMed,1466))),INDEX(rMed2,1466),NA()))</f>
        <v>2</v>
      </c>
      <c r="BY1468">
        <f>IF(OR(cMed=0,cMed2=0,1466&gt;nFilas),NA(),IF(AND(ISNUMBER(INDEX(rMed2,1466)),ISNUMBER(INDEX(rMed,1466))),INDEX(rMed,1466),NA()))</f>
        <v>192740</v>
      </c>
    </row>
    <row r="1469">
      <c r="BX1469">
        <f>IF(OR(cMed=0,cMed2=0,1467&gt;nFilas),NA(),IF(AND(ISNUMBER(INDEX(rMed2,1467)),ISNUMBER(INDEX(rMed,1467))),INDEX(rMed2,1467),NA()))</f>
        <v>2</v>
      </c>
      <c r="BY1469">
        <f>IF(OR(cMed=0,cMed2=0,1467&gt;nFilas),NA(),IF(AND(ISNUMBER(INDEX(rMed2,1467)),ISNUMBER(INDEX(rMed,1467))),INDEX(rMed,1467),NA()))</f>
        <v>176180</v>
      </c>
    </row>
    <row r="1470">
      <c r="BX1470">
        <f>IF(OR(cMed=0,cMed2=0,1468&gt;nFilas),NA(),IF(AND(ISNUMBER(INDEX(rMed2,1468)),ISNUMBER(INDEX(rMed,1468))),INDEX(rMed2,1468),NA()))</f>
        <v>2</v>
      </c>
      <c r="BY1470">
        <f>IF(OR(cMed=0,cMed2=0,1468&gt;nFilas),NA(),IF(AND(ISNUMBER(INDEX(rMed2,1468)),ISNUMBER(INDEX(rMed,1468))),INDEX(rMed,1468),NA()))</f>
        <v>449650</v>
      </c>
    </row>
    <row r="1471">
      <c r="BX1471">
        <f>IF(OR(cMed=0,cMed2=0,1469&gt;nFilas),NA(),IF(AND(ISNUMBER(INDEX(rMed2,1469)),ISNUMBER(INDEX(rMed,1469))),INDEX(rMed2,1469),NA()))</f>
        <v>3</v>
      </c>
      <c r="BY1471">
        <f>IF(OR(cMed=0,cMed2=0,1469&gt;nFilas),NA(),IF(AND(ISNUMBER(INDEX(rMed2,1469)),ISNUMBER(INDEX(rMed,1469))),INDEX(rMed,1469),NA()))</f>
        <v>206655</v>
      </c>
    </row>
    <row r="1472">
      <c r="BX1472">
        <f>IF(OR(cMed=0,cMed2=0,1470&gt;nFilas),NA(),IF(AND(ISNUMBER(INDEX(rMed2,1470)),ISNUMBER(INDEX(rMed,1470))),INDEX(rMed2,1470),NA()))</f>
        <v>4</v>
      </c>
      <c r="BY1472">
        <f>IF(OR(cMed=0,cMed2=0,1470&gt;nFilas),NA(),IF(AND(ISNUMBER(INDEX(rMed2,1470)),ISNUMBER(INDEX(rMed,1470))),INDEX(rMed,1470),NA()))</f>
        <v>567640</v>
      </c>
    </row>
    <row r="1473">
      <c r="BX1473">
        <f>IF(OR(cMed=0,cMed2=0,1471&gt;nFilas),NA(),IF(AND(ISNUMBER(INDEX(rMed2,1471)),ISNUMBER(INDEX(rMed,1471))),INDEX(rMed2,1471),NA()))</f>
        <v>5</v>
      </c>
      <c r="BY1473">
        <f>IF(OR(cMed=0,cMed2=0,1471&gt;nFilas),NA(),IF(AND(ISNUMBER(INDEX(rMed2,1471)),ISNUMBER(INDEX(rMed,1471))),INDEX(rMed,1471),NA()))</f>
        <v>1239700</v>
      </c>
    </row>
    <row r="1474">
      <c r="BX1474">
        <f>IF(OR(cMed=0,cMed2=0,1472&gt;nFilas),NA(),IF(AND(ISNUMBER(INDEX(rMed2,1472)),ISNUMBER(INDEX(rMed,1472))),INDEX(rMed2,1472),NA()))</f>
        <v>5</v>
      </c>
      <c r="BY1474">
        <f>IF(OR(cMed=0,cMed2=0,1472&gt;nFilas),NA(),IF(AND(ISNUMBER(INDEX(rMed2,1472)),ISNUMBER(INDEX(rMed,1472))),INDEX(rMed,1472),NA()))</f>
        <v>339250</v>
      </c>
    </row>
    <row r="1475">
      <c r="BX1475">
        <f>IF(OR(cMed=0,cMed2=0,1473&gt;nFilas),NA(),IF(AND(ISNUMBER(INDEX(rMed2,1473)),ISNUMBER(INDEX(rMed,1473))),INDEX(rMed2,1473),NA()))</f>
        <v>3</v>
      </c>
      <c r="BY1475">
        <f>IF(OR(cMed=0,cMed2=0,1473&gt;nFilas),NA(),IF(AND(ISNUMBER(INDEX(rMed2,1473)),ISNUMBER(INDEX(rMed,1473))),INDEX(rMed,1473),NA()))</f>
        <v>653085</v>
      </c>
    </row>
    <row r="1476">
      <c r="BX1476">
        <f>IF(OR(cMed=0,cMed2=0,1474&gt;nFilas),NA(),IF(AND(ISNUMBER(INDEX(rMed2,1474)),ISNUMBER(INDEX(rMed,1474))),INDEX(rMed2,1474),NA()))</f>
        <v>1</v>
      </c>
      <c r="BY1476">
        <f>IF(OR(cMed=0,cMed2=0,1474&gt;nFilas),NA(),IF(AND(ISNUMBER(INDEX(rMed2,1474)),ISNUMBER(INDEX(rMed,1474))),INDEX(rMed,1474),NA()))</f>
        <v>97405</v>
      </c>
    </row>
    <row r="1477">
      <c r="BX1477">
        <f>IF(OR(cMed=0,cMed2=0,1475&gt;nFilas),NA(),IF(AND(ISNUMBER(INDEX(rMed2,1475)),ISNUMBER(INDEX(rMed,1475))),INDEX(rMed2,1475),NA()))</f>
        <v>4</v>
      </c>
      <c r="BY1477">
        <f>IF(OR(cMed=0,cMed2=0,1475&gt;nFilas),NA(),IF(AND(ISNUMBER(INDEX(rMed2,1475)),ISNUMBER(INDEX(rMed,1475))),INDEX(rMed,1475),NA()))</f>
        <v>528080</v>
      </c>
    </row>
    <row r="1478">
      <c r="BX1478">
        <f>IF(OR(cMed=0,cMed2=0,1476&gt;nFilas),NA(),IF(AND(ISNUMBER(INDEX(rMed2,1476)),ISNUMBER(INDEX(rMed,1476))),INDEX(rMed2,1476),NA()))</f>
        <v>2</v>
      </c>
      <c r="BY1478">
        <f>IF(OR(cMed=0,cMed2=0,1476&gt;nFilas),NA(),IF(AND(ISNUMBER(INDEX(rMed2,1476)),ISNUMBER(INDEX(rMed,1476))),INDEX(rMed,1476),NA()))</f>
        <v>132710</v>
      </c>
    </row>
    <row r="1479">
      <c r="BX1479">
        <f>IF(OR(cMed=0,cMed2=0,1477&gt;nFilas),NA(),IF(AND(ISNUMBER(INDEX(rMed2,1477)),ISNUMBER(INDEX(rMed,1477))),INDEX(rMed2,1477),NA()))</f>
        <v>4</v>
      </c>
      <c r="BY1479">
        <f>IF(OR(cMed=0,cMed2=0,1477&gt;nFilas),NA(),IF(AND(ISNUMBER(INDEX(rMed2,1477)),ISNUMBER(INDEX(rMed,1477))),INDEX(rMed,1477),NA()))</f>
        <v>212800</v>
      </c>
    </row>
    <row r="1480">
      <c r="BX1480">
        <f>IF(OR(cMed=0,cMed2=0,1478&gt;nFilas),NA(),IF(AND(ISNUMBER(INDEX(rMed2,1478)),ISNUMBER(INDEX(rMed,1478))),INDEX(rMed2,1478),NA()))</f>
        <v>1</v>
      </c>
      <c r="BY1480">
        <f>IF(OR(cMed=0,cMed2=0,1478&gt;nFilas),NA(),IF(AND(ISNUMBER(INDEX(rMed2,1478)),ISNUMBER(INDEX(rMed,1478))),INDEX(rMed,1478),NA()))</f>
        <v>207000</v>
      </c>
    </row>
    <row r="1481">
      <c r="BX1481">
        <f>IF(OR(cMed=0,cMed2=0,1479&gt;nFilas),NA(),IF(AND(ISNUMBER(INDEX(rMed2,1479)),ISNUMBER(INDEX(rMed,1479))),INDEX(rMed2,1479),NA()))</f>
        <v>5</v>
      </c>
      <c r="BY1481">
        <f>IF(OR(cMed=0,cMed2=0,1479&gt;nFilas),NA(),IF(AND(ISNUMBER(INDEX(rMed2,1479)),ISNUMBER(INDEX(rMed,1479))),INDEX(rMed,1479),NA()))</f>
        <v>5078000</v>
      </c>
    </row>
    <row r="1482">
      <c r="BX1482">
        <f>IF(OR(cMed=0,cMed2=0,1480&gt;nFilas),NA(),IF(AND(ISNUMBER(INDEX(rMed2,1480)),ISNUMBER(INDEX(rMed,1480))),INDEX(rMed2,1480),NA()))</f>
        <v>1</v>
      </c>
      <c r="BY1482">
        <f>IF(OR(cMed=0,cMed2=0,1480&gt;nFilas),NA(),IF(AND(ISNUMBER(INDEX(rMed2,1480)),ISNUMBER(INDEX(rMed,1480))),INDEX(rMed,1480),NA()))</f>
        <v>108500</v>
      </c>
    </row>
    <row r="1483">
      <c r="BX1483">
        <f>IF(OR(cMed=0,cMed2=0,1481&gt;nFilas),NA(),IF(AND(ISNUMBER(INDEX(rMed2,1481)),ISNUMBER(INDEX(rMed,1481))),INDEX(rMed2,1481),NA()))</f>
        <v>1</v>
      </c>
      <c r="BY1483">
        <f>IF(OR(cMed=0,cMed2=0,1481&gt;nFilas),NA(),IF(AND(ISNUMBER(INDEX(rMed2,1481)),ISNUMBER(INDEX(rMed,1481))),INDEX(rMed,1481),NA()))</f>
        <v>96400</v>
      </c>
    </row>
    <row r="1484">
      <c r="BX1484">
        <f>IF(OR(cMed=0,cMed2=0,1482&gt;nFilas),NA(),IF(AND(ISNUMBER(INDEX(rMed2,1482)),ISNUMBER(INDEX(rMed,1482))),INDEX(rMed2,1482),NA()))</f>
        <v>4</v>
      </c>
      <c r="BY1484">
        <f>IF(OR(cMed=0,cMed2=0,1482&gt;nFilas),NA(),IF(AND(ISNUMBER(INDEX(rMed2,1482)),ISNUMBER(INDEX(rMed,1482))),INDEX(rMed,1482),NA()))</f>
        <v>2413200</v>
      </c>
    </row>
    <row r="1485">
      <c r="BX1485">
        <f>IF(OR(cMed=0,cMed2=0,1483&gt;nFilas),NA(),IF(AND(ISNUMBER(INDEX(rMed2,1483)),ISNUMBER(INDEX(rMed,1483))),INDEX(rMed2,1483),NA()))</f>
        <v>4</v>
      </c>
      <c r="BY1485">
        <f>IF(OR(cMed=0,cMed2=0,1483&gt;nFilas),NA(),IF(AND(ISNUMBER(INDEX(rMed2,1483)),ISNUMBER(INDEX(rMed,1483))),INDEX(rMed,1483),NA()))</f>
        <v>314000</v>
      </c>
    </row>
    <row r="1486">
      <c r="BX1486">
        <f>IF(OR(cMed=0,cMed2=0,1484&gt;nFilas),NA(),IF(AND(ISNUMBER(INDEX(rMed2,1484)),ISNUMBER(INDEX(rMed,1484))),INDEX(rMed2,1484),NA()))</f>
        <v>5</v>
      </c>
      <c r="BY1486">
        <f>IF(OR(cMed=0,cMed2=0,1484&gt;nFilas),NA(),IF(AND(ISNUMBER(INDEX(rMed2,1484)),ISNUMBER(INDEX(rMed,1484))),INDEX(rMed,1484),NA()))</f>
        <v>353000</v>
      </c>
    </row>
    <row r="1487">
      <c r="BX1487">
        <f>IF(OR(cMed=0,cMed2=0,1485&gt;nFilas),NA(),IF(AND(ISNUMBER(INDEX(rMed2,1485)),ISNUMBER(INDEX(rMed,1485))),INDEX(rMed2,1485),NA()))</f>
        <v>3</v>
      </c>
      <c r="BY1487">
        <f>IF(OR(cMed=0,cMed2=0,1485&gt;nFilas),NA(),IF(AND(ISNUMBER(INDEX(rMed2,1485)),ISNUMBER(INDEX(rMed,1485))),INDEX(rMed,1485),NA()))</f>
        <v>310200</v>
      </c>
    </row>
    <row r="1488">
      <c r="BX1488">
        <f>IF(OR(cMed=0,cMed2=0,1486&gt;nFilas),NA(),IF(AND(ISNUMBER(INDEX(rMed2,1486)),ISNUMBER(INDEX(rMed,1486))),INDEX(rMed2,1486),NA()))</f>
        <v>1</v>
      </c>
      <c r="BY1488">
        <f>IF(OR(cMed=0,cMed2=0,1486&gt;nFilas),NA(),IF(AND(ISNUMBER(INDEX(rMed2,1486)),ISNUMBER(INDEX(rMed,1486))),INDEX(rMed,1486),NA()))</f>
        <v>77100</v>
      </c>
    </row>
    <row r="1489">
      <c r="BX1489">
        <f>IF(OR(cMed=0,cMed2=0,1487&gt;nFilas),NA(),IF(AND(ISNUMBER(INDEX(rMed2,1487)),ISNUMBER(INDEX(rMed,1487))),INDEX(rMed2,1487),NA()))</f>
        <v>1</v>
      </c>
      <c r="BY1489">
        <f>IF(OR(cMed=0,cMed2=0,1487&gt;nFilas),NA(),IF(AND(ISNUMBER(INDEX(rMed2,1487)),ISNUMBER(INDEX(rMed,1487))),INDEX(rMed,1487),NA()))</f>
        <v>183900</v>
      </c>
    </row>
    <row r="1490">
      <c r="BX1490">
        <f>IF(OR(cMed=0,cMed2=0,1488&gt;nFilas),NA(),IF(AND(ISNUMBER(INDEX(rMed2,1488)),ISNUMBER(INDEX(rMed,1488))),INDEX(rMed2,1488),NA()))</f>
        <v>3</v>
      </c>
      <c r="BY1490">
        <f>IF(OR(cMed=0,cMed2=0,1488&gt;nFilas),NA(),IF(AND(ISNUMBER(INDEX(rMed2,1488)),ISNUMBER(INDEX(rMed,1488))),INDEX(rMed,1488),NA()))</f>
        <v>298500</v>
      </c>
    </row>
    <row r="1491">
      <c r="BX1491">
        <f>IF(OR(cMed=0,cMed2=0,1489&gt;nFilas),NA(),IF(AND(ISNUMBER(INDEX(rMed2,1489)),ISNUMBER(INDEX(rMed,1489))),INDEX(rMed2,1489),NA()))</f>
        <v>1</v>
      </c>
      <c r="BY1491">
        <f>IF(OR(cMed=0,cMed2=0,1489&gt;nFilas),NA(),IF(AND(ISNUMBER(INDEX(rMed2,1489)),ISNUMBER(INDEX(rMed,1489))),INDEX(rMed,1489),NA()))</f>
        <v>54400</v>
      </c>
    </row>
    <row r="1492">
      <c r="BX1492">
        <f>IF(OR(cMed=0,cMed2=0,1490&gt;nFilas),NA(),IF(AND(ISNUMBER(INDEX(rMed2,1490)),ISNUMBER(INDEX(rMed,1490))),INDEX(rMed2,1490),NA()))</f>
        <v>3</v>
      </c>
      <c r="BY1492">
        <f>IF(OR(cMed=0,cMed2=0,1490&gt;nFilas),NA(),IF(AND(ISNUMBER(INDEX(rMed2,1490)),ISNUMBER(INDEX(rMed,1490))),INDEX(rMed,1490),NA()))</f>
        <v>373500</v>
      </c>
    </row>
    <row r="1493">
      <c r="BX1493">
        <f>IF(OR(cMed=0,cMed2=0,1491&gt;nFilas),NA(),IF(AND(ISNUMBER(INDEX(rMed2,1491)),ISNUMBER(INDEX(rMed,1491))),INDEX(rMed2,1491),NA()))</f>
        <v>3</v>
      </c>
      <c r="BY1493">
        <f>IF(OR(cMed=0,cMed2=0,1491&gt;nFilas),NA(),IF(AND(ISNUMBER(INDEX(rMed2,1491)),ISNUMBER(INDEX(rMed,1491))),INDEX(rMed,1491),NA()))</f>
        <v>2608500</v>
      </c>
    </row>
    <row r="1494">
      <c r="BX1494">
        <f>IF(OR(cMed=0,cMed2=0,1492&gt;nFilas),NA(),IF(AND(ISNUMBER(INDEX(rMed2,1492)),ISNUMBER(INDEX(rMed,1492))),INDEX(rMed2,1492),NA()))</f>
        <v>1</v>
      </c>
      <c r="BY1494">
        <f>IF(OR(cMed=0,cMed2=0,1492&gt;nFilas),NA(),IF(AND(ISNUMBER(INDEX(rMed2,1492)),ISNUMBER(INDEX(rMed,1492))),INDEX(rMed,1492),NA()))</f>
        <v>247700</v>
      </c>
    </row>
    <row r="1495">
      <c r="BX1495">
        <f>IF(OR(cMed=0,cMed2=0,1493&gt;nFilas),NA(),IF(AND(ISNUMBER(INDEX(rMed2,1493)),ISNUMBER(INDEX(rMed,1493))),INDEX(rMed2,1493),NA()))</f>
        <v>1</v>
      </c>
      <c r="BY1495">
        <f>IF(OR(cMed=0,cMed2=0,1493&gt;nFilas),NA(),IF(AND(ISNUMBER(INDEX(rMed2,1493)),ISNUMBER(INDEX(rMed,1493))),INDEX(rMed,1493),NA()))</f>
        <v>66800</v>
      </c>
    </row>
    <row r="1496">
      <c r="BX1496">
        <f>IF(OR(cMed=0,cMed2=0,1494&gt;nFilas),NA(),IF(AND(ISNUMBER(INDEX(rMed2,1494)),ISNUMBER(INDEX(rMed,1494))),INDEX(rMed2,1494),NA()))</f>
        <v>2</v>
      </c>
      <c r="BY1496">
        <f>IF(OR(cMed=0,cMed2=0,1494&gt;nFilas),NA(),IF(AND(ISNUMBER(INDEX(rMed2,1494)),ISNUMBER(INDEX(rMed,1494))),INDEX(rMed,1494),NA()))</f>
        <v>209200</v>
      </c>
    </row>
    <row r="1497">
      <c r="BX1497">
        <f>IF(OR(cMed=0,cMed2=0,1495&gt;nFilas),NA(),IF(AND(ISNUMBER(INDEX(rMed2,1495)),ISNUMBER(INDEX(rMed,1495))),INDEX(rMed2,1495),NA()))</f>
        <v>2</v>
      </c>
      <c r="BY1497">
        <f>IF(OR(cMed=0,cMed2=0,1495&gt;nFilas),NA(),IF(AND(ISNUMBER(INDEX(rMed2,1495)),ISNUMBER(INDEX(rMed,1495))),INDEX(rMed,1495),NA()))</f>
        <v>257600</v>
      </c>
    </row>
    <row r="1498">
      <c r="BX1498">
        <f>IF(OR(cMed=0,cMed2=0,1496&gt;nFilas),NA(),IF(AND(ISNUMBER(INDEX(rMed2,1496)),ISNUMBER(INDEX(rMed,1496))),INDEX(rMed2,1496),NA()))</f>
        <v>3</v>
      </c>
      <c r="BY1498">
        <f>IF(OR(cMed=0,cMed2=0,1496&gt;nFilas),NA(),IF(AND(ISNUMBER(INDEX(rMed2,1496)),ISNUMBER(INDEX(rMed,1496))),INDEX(rMed,1496),NA()))</f>
        <v>862155</v>
      </c>
    </row>
    <row r="1499">
      <c r="BX1499">
        <f>IF(OR(cMed=0,cMed2=0,1497&gt;nFilas),NA(),IF(AND(ISNUMBER(INDEX(rMed2,1497)),ISNUMBER(INDEX(rMed,1497))),INDEX(rMed2,1497),NA()))</f>
        <v>3</v>
      </c>
      <c r="BY1499">
        <f>IF(OR(cMed=0,cMed2=0,1497&gt;nFilas),NA(),IF(AND(ISNUMBER(INDEX(rMed2,1497)),ISNUMBER(INDEX(rMed,1497))),INDEX(rMed,1497),NA()))</f>
        <v>278415</v>
      </c>
    </row>
    <row r="1500">
      <c r="BX1500">
        <f>IF(OR(cMed=0,cMed2=0,1498&gt;nFilas),NA(),IF(AND(ISNUMBER(INDEX(rMed2,1498)),ISNUMBER(INDEX(rMed,1498))),INDEX(rMed2,1498),NA()))</f>
        <v>3</v>
      </c>
      <c r="BY1500">
        <f>IF(OR(cMed=0,cMed2=0,1498&gt;nFilas),NA(),IF(AND(ISNUMBER(INDEX(rMed2,1498)),ISNUMBER(INDEX(rMed,1498))),INDEX(rMed,1498),NA()))</f>
        <v>465750</v>
      </c>
    </row>
    <row r="1501">
      <c r="BX1501">
        <f>IF(OR(cMed=0,cMed2=0,1499&gt;nFilas),NA(),IF(AND(ISNUMBER(INDEX(rMed2,1499)),ISNUMBER(INDEX(rMed,1499))),INDEX(rMed2,1499),NA()))</f>
        <v>4</v>
      </c>
      <c r="BY1501">
        <f>IF(OR(cMed=0,cMed2=0,1499&gt;nFilas),NA(),IF(AND(ISNUMBER(INDEX(rMed2,1499)),ISNUMBER(INDEX(rMed,1499))),INDEX(rMed,1499),NA()))</f>
        <v>822480</v>
      </c>
    </row>
    <row r="1502">
      <c r="BX1502">
        <f>IF(OR(cMed=0,cMed2=0,1500&gt;nFilas),NA(),IF(AND(ISNUMBER(INDEX(rMed2,1500)),ISNUMBER(INDEX(rMed,1500))),INDEX(rMed2,1500),NA()))</f>
        <v>3</v>
      </c>
      <c r="BY1502">
        <f>IF(OR(cMed=0,cMed2=0,1500&gt;nFilas),NA(),IF(AND(ISNUMBER(INDEX(rMed2,1500)),ISNUMBER(INDEX(rMed,1500))),INDEX(rMed,1500),NA()))</f>
        <v>476100</v>
      </c>
    </row>
    <row r="1503">
      <c r="BX1503">
        <f>IF(OR(cMed=0,cMed2=0,1501&gt;nFilas),NA(),IF(AND(ISNUMBER(INDEX(rMed2,1501)),ISNUMBER(INDEX(rMed,1501))),INDEX(rMed2,1501),NA()))</f>
        <v>3</v>
      </c>
      <c r="BY1503">
        <f>IF(OR(cMed=0,cMed2=0,1501&gt;nFilas),NA(),IF(AND(ISNUMBER(INDEX(rMed2,1501)),ISNUMBER(INDEX(rMed,1501))),INDEX(rMed,1501),NA()))</f>
        <v>548205</v>
      </c>
    </row>
    <row r="1504">
      <c r="BX1504">
        <f>IF(OR(cMed=0,cMed2=0,1502&gt;nFilas),NA(),IF(AND(ISNUMBER(INDEX(rMed2,1502)),ISNUMBER(INDEX(rMed,1502))),INDEX(rMed2,1502),NA()))</f>
        <v>1</v>
      </c>
      <c r="BY1504">
        <f>IF(OR(cMed=0,cMed2=0,1502&gt;nFilas),NA(),IF(AND(ISNUMBER(INDEX(rMed2,1502)),ISNUMBER(INDEX(rMed,1502))),INDEX(rMed,1502),NA()))</f>
        <v>154905</v>
      </c>
    </row>
    <row r="1505">
      <c r="BX1505">
        <f>IF(OR(cMed=0,cMed2=0,1503&gt;nFilas),NA(),IF(AND(ISNUMBER(INDEX(rMed2,1503)),ISNUMBER(INDEX(rMed,1503))),INDEX(rMed2,1503),NA()))</f>
        <v>3</v>
      </c>
      <c r="BY1505">
        <f>IF(OR(cMed=0,cMed2=0,1503&gt;nFilas),NA(),IF(AND(ISNUMBER(INDEX(rMed2,1503)),ISNUMBER(INDEX(rMed,1503))),INDEX(rMed,1503),NA()))</f>
        <v>403800</v>
      </c>
    </row>
    <row r="1506">
      <c r="BX1506">
        <f>IF(OR(cMed=0,cMed2=0,1504&gt;nFilas),NA(),IF(AND(ISNUMBER(INDEX(rMed2,1504)),ISNUMBER(INDEX(rMed,1504))),INDEX(rMed2,1504),NA()))</f>
        <v>2</v>
      </c>
      <c r="BY1506">
        <f>IF(OR(cMed=0,cMed2=0,1504&gt;nFilas),NA(),IF(AND(ISNUMBER(INDEX(rMed2,1504)),ISNUMBER(INDEX(rMed,1504))),INDEX(rMed,1504),NA()))</f>
        <v>375600</v>
      </c>
    </row>
    <row r="1507">
      <c r="BX1507">
        <f>IF(OR(cMed=0,cMed2=0,1505&gt;nFilas),NA(),IF(AND(ISNUMBER(INDEX(rMed2,1505)),ISNUMBER(INDEX(rMed,1505))),INDEX(rMed2,1505),NA()))</f>
        <v>4</v>
      </c>
      <c r="BY1507">
        <f>IF(OR(cMed=0,cMed2=0,1505&gt;nFilas),NA(),IF(AND(ISNUMBER(INDEX(rMed2,1505)),ISNUMBER(INDEX(rMed,1505))),INDEX(rMed,1505),NA()))</f>
        <v>671200</v>
      </c>
    </row>
    <row r="1508">
      <c r="BX1508">
        <f>IF(OR(cMed=0,cMed2=0,1506&gt;nFilas),NA(),IF(AND(ISNUMBER(INDEX(rMed2,1506)),ISNUMBER(INDEX(rMed,1506))),INDEX(rMed2,1506),NA()))</f>
        <v>3</v>
      </c>
      <c r="BY1508">
        <f>IF(OR(cMed=0,cMed2=0,1506&gt;nFilas),NA(),IF(AND(ISNUMBER(INDEX(rMed2,1506)),ISNUMBER(INDEX(rMed,1506))),INDEX(rMed,1506),NA()))</f>
        <v>261300</v>
      </c>
    </row>
    <row r="1509">
      <c r="BX1509">
        <f>IF(OR(cMed=0,cMed2=0,1507&gt;nFilas),NA(),IF(AND(ISNUMBER(INDEX(rMed2,1507)),ISNUMBER(INDEX(rMed,1507))),INDEX(rMed2,1507),NA()))</f>
        <v>3</v>
      </c>
      <c r="BY1509">
        <f>IF(OR(cMed=0,cMed2=0,1507&gt;nFilas),NA(),IF(AND(ISNUMBER(INDEX(rMed2,1507)),ISNUMBER(INDEX(rMed,1507))),INDEX(rMed,1507),NA()))</f>
        <v>747900</v>
      </c>
    </row>
    <row r="1510">
      <c r="BX1510">
        <f>IF(OR(cMed=0,cMed2=0,1508&gt;nFilas),NA(),IF(AND(ISNUMBER(INDEX(rMed2,1508)),ISNUMBER(INDEX(rMed,1508))),INDEX(rMed2,1508),NA()))</f>
        <v>5</v>
      </c>
      <c r="BY1510">
        <f>IF(OR(cMed=0,cMed2=0,1508&gt;nFilas),NA(),IF(AND(ISNUMBER(INDEX(rMed2,1508)),ISNUMBER(INDEX(rMed,1508))),INDEX(rMed,1508),NA()))</f>
        <v>3717000</v>
      </c>
    </row>
    <row r="1511">
      <c r="BX1511">
        <f>IF(OR(cMed=0,cMed2=0,1509&gt;nFilas),NA(),IF(AND(ISNUMBER(INDEX(rMed2,1509)),ISNUMBER(INDEX(rMed,1509))),INDEX(rMed2,1509),NA()))</f>
        <v>4</v>
      </c>
      <c r="BY1511">
        <f>IF(OR(cMed=0,cMed2=0,1509&gt;nFilas),NA(),IF(AND(ISNUMBER(INDEX(rMed2,1509)),ISNUMBER(INDEX(rMed,1509))),INDEX(rMed,1509),NA()))</f>
        <v>538400</v>
      </c>
    </row>
    <row r="1512">
      <c r="BX1512">
        <f>IF(OR(cMed=0,cMed2=0,1510&gt;nFilas),NA(),IF(AND(ISNUMBER(INDEX(rMed2,1510)),ISNUMBER(INDEX(rMed,1510))),INDEX(rMed2,1510),NA()))</f>
        <v>3</v>
      </c>
      <c r="BY1512">
        <f>IF(OR(cMed=0,cMed2=0,1510&gt;nFilas),NA(),IF(AND(ISNUMBER(INDEX(rMed2,1510)),ISNUMBER(INDEX(rMed,1510))),INDEX(rMed,1510),NA()))</f>
        <v>568200</v>
      </c>
    </row>
    <row r="1513">
      <c r="BX1513">
        <f>IF(OR(cMed=0,cMed2=0,1511&gt;nFilas),NA(),IF(AND(ISNUMBER(INDEX(rMed2,1511)),ISNUMBER(INDEX(rMed,1511))),INDEX(rMed2,1511),NA()))</f>
        <v>3</v>
      </c>
      <c r="BY1513">
        <f>IF(OR(cMed=0,cMed2=0,1511&gt;nFilas),NA(),IF(AND(ISNUMBER(INDEX(rMed2,1511)),ISNUMBER(INDEX(rMed,1511))),INDEX(rMed,1511),NA()))</f>
        <v>2062200</v>
      </c>
    </row>
    <row r="1514">
      <c r="BX1514">
        <f>IF(OR(cMed=0,cMed2=0,1512&gt;nFilas),NA(),IF(AND(ISNUMBER(INDEX(rMed2,1512)),ISNUMBER(INDEX(rMed,1512))),INDEX(rMed2,1512),NA()))</f>
        <v>1</v>
      </c>
      <c r="BY1514">
        <f>IF(OR(cMed=0,cMed2=0,1512&gt;nFilas),NA(),IF(AND(ISNUMBER(INDEX(rMed2,1512)),ISNUMBER(INDEX(rMed,1512))),INDEX(rMed,1512),NA()))</f>
        <v>613400</v>
      </c>
    </row>
    <row r="1515">
      <c r="BX1515">
        <f>IF(OR(cMed=0,cMed2=0,1513&gt;nFilas),NA(),IF(AND(ISNUMBER(INDEX(rMed2,1513)),ISNUMBER(INDEX(rMed,1513))),INDEX(rMed2,1513),NA()))</f>
        <v>1</v>
      </c>
      <c r="BY1515">
        <f>IF(OR(cMed=0,cMed2=0,1513&gt;nFilas),NA(),IF(AND(ISNUMBER(INDEX(rMed2,1513)),ISNUMBER(INDEX(rMed,1513))),INDEX(rMed,1513),NA()))</f>
        <v>90200</v>
      </c>
    </row>
    <row r="1516">
      <c r="BX1516">
        <f>IF(OR(cMed=0,cMed2=0,1514&gt;nFilas),NA(),IF(AND(ISNUMBER(INDEX(rMed2,1514)),ISNUMBER(INDEX(rMed,1514))),INDEX(rMed2,1514),NA()))</f>
        <v>2</v>
      </c>
      <c r="BY1516">
        <f>IF(OR(cMed=0,cMed2=0,1514&gt;nFilas),NA(),IF(AND(ISNUMBER(INDEX(rMed2,1514)),ISNUMBER(INDEX(rMed,1514))),INDEX(rMed,1514),NA()))</f>
        <v>357800</v>
      </c>
    </row>
    <row r="1517">
      <c r="BX1517">
        <f>IF(OR(cMed=0,cMed2=0,1515&gt;nFilas),NA(),IF(AND(ISNUMBER(INDEX(rMed2,1515)),ISNUMBER(INDEX(rMed,1515))),INDEX(rMed2,1515),NA()))</f>
        <v>2</v>
      </c>
      <c r="BY1517">
        <f>IF(OR(cMed=0,cMed2=0,1515&gt;nFilas),NA(),IF(AND(ISNUMBER(INDEX(rMed2,1515)),ISNUMBER(INDEX(rMed,1515))),INDEX(rMed,1515),NA()))</f>
        <v>217000</v>
      </c>
    </row>
    <row r="1518">
      <c r="BX1518">
        <f>IF(OR(cMed=0,cMed2=0,1516&gt;nFilas),NA(),IF(AND(ISNUMBER(INDEX(rMed2,1516)),ISNUMBER(INDEX(rMed,1516))),INDEX(rMed2,1516),NA()))</f>
        <v>5</v>
      </c>
      <c r="BY1518">
        <f>IF(OR(cMed=0,cMed2=0,1516&gt;nFilas),NA(),IF(AND(ISNUMBER(INDEX(rMed2,1516)),ISNUMBER(INDEX(rMed,1516))),INDEX(rMed,1516),NA()))</f>
        <v>1067000</v>
      </c>
    </row>
    <row r="1519">
      <c r="BX1519">
        <f>IF(OR(cMed=0,cMed2=0,1517&gt;nFilas),NA(),IF(AND(ISNUMBER(INDEX(rMed2,1517)),ISNUMBER(INDEX(rMed,1517))),INDEX(rMed2,1517),NA()))</f>
        <v>1</v>
      </c>
      <c r="BY1519">
        <f>IF(OR(cMed=0,cMed2=0,1517&gt;nFilas),NA(),IF(AND(ISNUMBER(INDEX(rMed2,1517)),ISNUMBER(INDEX(rMed,1517))),INDEX(rMed,1517),NA()))</f>
        <v>59500</v>
      </c>
    </row>
    <row r="1520">
      <c r="BX1520">
        <f>IF(OR(cMed=0,cMed2=0,1518&gt;nFilas),NA(),IF(AND(ISNUMBER(INDEX(rMed2,1518)),ISNUMBER(INDEX(rMed,1518))),INDEX(rMed2,1518),NA()))</f>
        <v>3</v>
      </c>
      <c r="BY1520">
        <f>IF(OR(cMed=0,cMed2=0,1518&gt;nFilas),NA(),IF(AND(ISNUMBER(INDEX(rMed2,1518)),ISNUMBER(INDEX(rMed,1518))),INDEX(rMed,1518),NA()))</f>
        <v>314100</v>
      </c>
    </row>
    <row r="1521">
      <c r="BX1521">
        <f>IF(OR(cMed=0,cMed2=0,1519&gt;nFilas),NA(),IF(AND(ISNUMBER(INDEX(rMed2,1519)),ISNUMBER(INDEX(rMed,1519))),INDEX(rMed2,1519),NA()))</f>
        <v>1</v>
      </c>
      <c r="BY1521">
        <f>IF(OR(cMed=0,cMed2=0,1519&gt;nFilas),NA(),IF(AND(ISNUMBER(INDEX(rMed2,1519)),ISNUMBER(INDEX(rMed,1519))),INDEX(rMed,1519),NA()))</f>
        <v>90000</v>
      </c>
    </row>
    <row r="1522">
      <c r="BX1522">
        <f>IF(OR(cMed=0,cMed2=0,1520&gt;nFilas),NA(),IF(AND(ISNUMBER(INDEX(rMed2,1520)),ISNUMBER(INDEX(rMed,1520))),INDEX(rMed2,1520),NA()))</f>
        <v>1</v>
      </c>
      <c r="BY1522">
        <f>IF(OR(cMed=0,cMed2=0,1520&gt;nFilas),NA(),IF(AND(ISNUMBER(INDEX(rMed2,1520)),ISNUMBER(INDEX(rMed,1520))),INDEX(rMed,1520),NA()))</f>
        <v>114300</v>
      </c>
    </row>
    <row r="1523">
      <c r="BX1523">
        <f>IF(OR(cMed=0,cMed2=0,1521&gt;nFilas),NA(),IF(AND(ISNUMBER(INDEX(rMed2,1521)),ISNUMBER(INDEX(rMed,1521))),INDEX(rMed2,1521),NA()))</f>
        <v>4</v>
      </c>
      <c r="BY1523">
        <f>IF(OR(cMed=0,cMed2=0,1521&gt;nFilas),NA(),IF(AND(ISNUMBER(INDEX(rMed2,1521)),ISNUMBER(INDEX(rMed,1521))),INDEX(rMed,1521),NA()))</f>
        <v>726000</v>
      </c>
    </row>
    <row r="1524">
      <c r="BX1524">
        <f>IF(OR(cMed=0,cMed2=0,1522&gt;nFilas),NA(),IF(AND(ISNUMBER(INDEX(rMed2,1522)),ISNUMBER(INDEX(rMed,1522))),INDEX(rMed2,1522),NA()))</f>
        <v>5</v>
      </c>
      <c r="BY1524">
        <f>IF(OR(cMed=0,cMed2=0,1522&gt;nFilas),NA(),IF(AND(ISNUMBER(INDEX(rMed2,1522)),ISNUMBER(INDEX(rMed,1522))),INDEX(rMed,1522),NA()))</f>
        <v>454250</v>
      </c>
    </row>
    <row r="1525">
      <c r="BX1525">
        <f>IF(OR(cMed=0,cMed2=0,1523&gt;nFilas),NA(),IF(AND(ISNUMBER(INDEX(rMed2,1523)),ISNUMBER(INDEX(rMed,1523))),INDEX(rMed2,1523),NA()))</f>
        <v>3</v>
      </c>
      <c r="BY1525">
        <f>IF(OR(cMed=0,cMed2=0,1523&gt;nFilas),NA(),IF(AND(ISNUMBER(INDEX(rMed2,1523)),ISNUMBER(INDEX(rMed,1523))),INDEX(rMed,1523),NA()))</f>
        <v>458505</v>
      </c>
    </row>
    <row r="1526">
      <c r="BX1526">
        <f>IF(OR(cMed=0,cMed2=0,1524&gt;nFilas),NA(),IF(AND(ISNUMBER(INDEX(rMed2,1524)),ISNUMBER(INDEX(rMed,1524))),INDEX(rMed2,1524),NA()))</f>
        <v>5</v>
      </c>
      <c r="BY1526">
        <f>IF(OR(cMed=0,cMed2=0,1524&gt;nFilas),NA(),IF(AND(ISNUMBER(INDEX(rMed2,1524)),ISNUMBER(INDEX(rMed,1524))),INDEX(rMed,1524),NA()))</f>
        <v>303600</v>
      </c>
    </row>
    <row r="1527">
      <c r="BX1527">
        <f>IF(OR(cMed=0,cMed2=0,1525&gt;nFilas),NA(),IF(AND(ISNUMBER(INDEX(rMed2,1525)),ISNUMBER(INDEX(rMed,1525))),INDEX(rMed2,1525),NA()))</f>
        <v>2</v>
      </c>
      <c r="BY1527">
        <f>IF(OR(cMed=0,cMed2=0,1525&gt;nFilas),NA(),IF(AND(ISNUMBER(INDEX(rMed2,1525)),ISNUMBER(INDEX(rMed,1525))),INDEX(rMed,1525),NA()))</f>
        <v>287270</v>
      </c>
    </row>
    <row r="1528">
      <c r="BX1528">
        <f>IF(OR(cMed=0,cMed2=0,1526&gt;nFilas),NA(),IF(AND(ISNUMBER(INDEX(rMed2,1526)),ISNUMBER(INDEX(rMed,1526))),INDEX(rMed2,1526),NA()))</f>
        <v>5</v>
      </c>
      <c r="BY1528">
        <f>IF(OR(cMed=0,cMed2=0,1526&gt;nFilas),NA(),IF(AND(ISNUMBER(INDEX(rMed2,1526)),ISNUMBER(INDEX(rMed,1526))),INDEX(rMed,1526),NA()))</f>
        <v>523250</v>
      </c>
    </row>
    <row r="1529">
      <c r="BX1529">
        <f>IF(OR(cMed=0,cMed2=0,1527&gt;nFilas),NA(),IF(AND(ISNUMBER(INDEX(rMed2,1527)),ISNUMBER(INDEX(rMed,1527))),INDEX(rMed2,1527),NA()))</f>
        <v>2</v>
      </c>
      <c r="BY1529">
        <f>IF(OR(cMed=0,cMed2=0,1527&gt;nFilas),NA(),IF(AND(ISNUMBER(INDEX(rMed2,1527)),ISNUMBER(INDEX(rMed,1527))),INDEX(rMed,1527),NA()))</f>
        <v>159390</v>
      </c>
    </row>
    <row r="1530">
      <c r="BX1530">
        <f>IF(OR(cMed=0,cMed2=0,1528&gt;nFilas),NA(),IF(AND(ISNUMBER(INDEX(rMed2,1528)),ISNUMBER(INDEX(rMed,1528))),INDEX(rMed2,1528),NA()))</f>
        <v>3</v>
      </c>
      <c r="BY1530">
        <f>IF(OR(cMed=0,cMed2=0,1528&gt;nFilas),NA(),IF(AND(ISNUMBER(INDEX(rMed2,1528)),ISNUMBER(INDEX(rMed,1528))),INDEX(rMed,1528),NA()))</f>
        <v>690000</v>
      </c>
    </row>
    <row r="1531">
      <c r="BX1531">
        <f>IF(OR(cMed=0,cMed2=0,1529&gt;nFilas),NA(),IF(AND(ISNUMBER(INDEX(rMed2,1529)),ISNUMBER(INDEX(rMed,1529))),INDEX(rMed2,1529),NA()))</f>
        <v>2</v>
      </c>
      <c r="BY1531">
        <f>IF(OR(cMed=0,cMed2=0,1529&gt;nFilas),NA(),IF(AND(ISNUMBER(INDEX(rMed2,1529)),ISNUMBER(INDEX(rMed,1529))),INDEX(rMed,1529),NA()))</f>
        <v>158240</v>
      </c>
    </row>
    <row r="1532">
      <c r="BX1532">
        <f>IF(OR(cMed=0,cMed2=0,1530&gt;nFilas),NA(),IF(AND(ISNUMBER(INDEX(rMed2,1530)),ISNUMBER(INDEX(rMed,1530))),INDEX(rMed2,1530),NA()))</f>
        <v>5</v>
      </c>
      <c r="BY1532">
        <f>IF(OR(cMed=0,cMed2=0,1530&gt;nFilas),NA(),IF(AND(ISNUMBER(INDEX(rMed2,1530)),ISNUMBER(INDEX(rMed,1530))),INDEX(rMed,1530),NA()))</f>
        <v>594550</v>
      </c>
    </row>
    <row r="1533">
      <c r="BX1533">
        <f>IF(OR(cMed=0,cMed2=0,1531&gt;nFilas),NA(),IF(AND(ISNUMBER(INDEX(rMed2,1531)),ISNUMBER(INDEX(rMed,1531))),INDEX(rMed2,1531),NA()))</f>
        <v>5</v>
      </c>
      <c r="BY1533">
        <f>IF(OR(cMed=0,cMed2=0,1531&gt;nFilas),NA(),IF(AND(ISNUMBER(INDEX(rMed2,1531)),ISNUMBER(INDEX(rMed,1531))),INDEX(rMed,1531),NA()))</f>
        <v>653200</v>
      </c>
    </row>
    <row r="1534">
      <c r="BX1534">
        <f>IF(OR(cMed=0,cMed2=0,1532&gt;nFilas),NA(),IF(AND(ISNUMBER(INDEX(rMed2,1532)),ISNUMBER(INDEX(rMed,1532))),INDEX(rMed2,1532),NA()))</f>
        <v>3</v>
      </c>
      <c r="BY1534">
        <f>IF(OR(cMed=0,cMed2=0,1532&gt;nFilas),NA(),IF(AND(ISNUMBER(INDEX(rMed2,1532)),ISNUMBER(INDEX(rMed,1532))),INDEX(rMed,1532),NA()))</f>
        <v>679995</v>
      </c>
    </row>
    <row r="1535">
      <c r="BX1535">
        <f>IF(OR(cMed=0,cMed2=0,1533&gt;nFilas),NA(),IF(AND(ISNUMBER(INDEX(rMed2,1533)),ISNUMBER(INDEX(rMed,1533))),INDEX(rMed2,1533),NA()))</f>
        <v>4</v>
      </c>
      <c r="BY1535">
        <f>IF(OR(cMed=0,cMed2=0,1533&gt;nFilas),NA(),IF(AND(ISNUMBER(INDEX(rMed2,1533)),ISNUMBER(INDEX(rMed,1533))),INDEX(rMed,1533),NA()))</f>
        <v>688620</v>
      </c>
    </row>
    <row r="1536">
      <c r="BX1536">
        <f>IF(OR(cMed=0,cMed2=0,1534&gt;nFilas),NA(),IF(AND(ISNUMBER(INDEX(rMed2,1534)),ISNUMBER(INDEX(rMed,1534))),INDEX(rMed2,1534),NA()))</f>
        <v>1</v>
      </c>
      <c r="BY1536">
        <f>IF(OR(cMed=0,cMed2=0,1534&gt;nFilas),NA(),IF(AND(ISNUMBER(INDEX(rMed2,1534)),ISNUMBER(INDEX(rMed,1534))),INDEX(rMed,1534),NA()))</f>
        <v>217235</v>
      </c>
    </row>
    <row r="1537">
      <c r="BX1537">
        <f>IF(OR(cMed=0,cMed2=0,1535&gt;nFilas),NA(),IF(AND(ISNUMBER(INDEX(rMed2,1535)),ISNUMBER(INDEX(rMed,1535))),INDEX(rMed2,1535),NA()))</f>
        <v>1</v>
      </c>
      <c r="BY1537">
        <f>IF(OR(cMed=0,cMed2=0,1535&gt;nFilas),NA(),IF(AND(ISNUMBER(INDEX(rMed2,1535)),ISNUMBER(INDEX(rMed,1535))),INDEX(rMed,1535),NA()))</f>
        <v>60260</v>
      </c>
    </row>
    <row r="1538">
      <c r="BX1538">
        <f>IF(OR(cMed=0,cMed2=0,1536&gt;nFilas),NA(),IF(AND(ISNUMBER(INDEX(rMed2,1536)),ISNUMBER(INDEX(rMed,1536))),INDEX(rMed2,1536),NA()))</f>
        <v>5</v>
      </c>
      <c r="BY1538">
        <f>IF(OR(cMed=0,cMed2=0,1536&gt;nFilas),NA(),IF(AND(ISNUMBER(INDEX(rMed2,1536)),ISNUMBER(INDEX(rMed,1536))),INDEX(rMed,1536),NA()))</f>
        <v>474950</v>
      </c>
    </row>
    <row r="1539">
      <c r="BX1539">
        <f>IF(OR(cMed=0,cMed2=0,1537&gt;nFilas),NA(),IF(AND(ISNUMBER(INDEX(rMed2,1537)),ISNUMBER(INDEX(rMed,1537))),INDEX(rMed2,1537),NA()))</f>
        <v>3</v>
      </c>
      <c r="BY1539">
        <f>IF(OR(cMed=0,cMed2=0,1537&gt;nFilas),NA(),IF(AND(ISNUMBER(INDEX(rMed2,1537)),ISNUMBER(INDEX(rMed,1537))),INDEX(rMed,1537),NA()))</f>
        <v>1918800</v>
      </c>
    </row>
    <row r="1540">
      <c r="BX1540">
        <f>IF(OR(cMed=0,cMed2=0,1538&gt;nFilas),NA(),IF(AND(ISNUMBER(INDEX(rMed2,1538)),ISNUMBER(INDEX(rMed,1538))),INDEX(rMed2,1538),NA()))</f>
        <v>5</v>
      </c>
      <c r="BY1540">
        <f>IF(OR(cMed=0,cMed2=0,1538&gt;nFilas),NA(),IF(AND(ISNUMBER(INDEX(rMed2,1538)),ISNUMBER(INDEX(rMed,1538))),INDEX(rMed,1538),NA()))</f>
        <v>442000</v>
      </c>
    </row>
    <row r="1541">
      <c r="BX1541">
        <f>IF(OR(cMed=0,cMed2=0,1539&gt;nFilas),NA(),IF(AND(ISNUMBER(INDEX(rMed2,1539)),ISNUMBER(INDEX(rMed,1539))),INDEX(rMed2,1539),NA()))</f>
        <v>3</v>
      </c>
      <c r="BY1541">
        <f>IF(OR(cMed=0,cMed2=0,1539&gt;nFilas),NA(),IF(AND(ISNUMBER(INDEX(rMed2,1539)),ISNUMBER(INDEX(rMed,1539))),INDEX(rMed,1539),NA()))</f>
        <v>243600</v>
      </c>
    </row>
    <row r="1542">
      <c r="BX1542">
        <f>IF(OR(cMed=0,cMed2=0,1540&gt;nFilas),NA(),IF(AND(ISNUMBER(INDEX(rMed2,1540)),ISNUMBER(INDEX(rMed,1540))),INDEX(rMed2,1540),NA()))</f>
        <v>2</v>
      </c>
      <c r="BY1542">
        <f>IF(OR(cMed=0,cMed2=0,1540&gt;nFilas),NA(),IF(AND(ISNUMBER(INDEX(rMed2,1540)),ISNUMBER(INDEX(rMed,1540))),INDEX(rMed,1540),NA()))</f>
        <v>391600</v>
      </c>
    </row>
    <row r="1543">
      <c r="BX1543">
        <f>IF(OR(cMed=0,cMed2=0,1541&gt;nFilas),NA(),IF(AND(ISNUMBER(INDEX(rMed2,1541)),ISNUMBER(INDEX(rMed,1541))),INDEX(rMed2,1541),NA()))</f>
        <v>4</v>
      </c>
      <c r="BY1543">
        <f>IF(OR(cMed=0,cMed2=0,1541&gt;nFilas),NA(),IF(AND(ISNUMBER(INDEX(rMed2,1541)),ISNUMBER(INDEX(rMed,1541))),INDEX(rMed,1541),NA()))</f>
        <v>2500000</v>
      </c>
    </row>
    <row r="1544">
      <c r="BX1544">
        <f>IF(OR(cMed=0,cMed2=0,1542&gt;nFilas),NA(),IF(AND(ISNUMBER(INDEX(rMed2,1542)),ISNUMBER(INDEX(rMed,1542))),INDEX(rMed2,1542),NA()))</f>
        <v>3</v>
      </c>
      <c r="BY1544">
        <f>IF(OR(cMed=0,cMed2=0,1542&gt;nFilas),NA(),IF(AND(ISNUMBER(INDEX(rMed2,1542)),ISNUMBER(INDEX(rMed,1542))),INDEX(rMed,1542),NA()))</f>
        <v>2401500</v>
      </c>
    </row>
    <row r="1545">
      <c r="BX1545">
        <f>IF(OR(cMed=0,cMed2=0,1543&gt;nFilas),NA(),IF(AND(ISNUMBER(INDEX(rMed2,1543)),ISNUMBER(INDEX(rMed,1543))),INDEX(rMed2,1543),NA()))</f>
        <v>5</v>
      </c>
      <c r="BY1545">
        <f>IF(OR(cMed=0,cMed2=0,1543&gt;nFilas),NA(),IF(AND(ISNUMBER(INDEX(rMed2,1543)),ISNUMBER(INDEX(rMed,1543))),INDEX(rMed,1543),NA()))</f>
        <v>4527000</v>
      </c>
    </row>
    <row r="1546">
      <c r="BX1546">
        <f>IF(OR(cMed=0,cMed2=0,1544&gt;nFilas),NA(),IF(AND(ISNUMBER(INDEX(rMed2,1544)),ISNUMBER(INDEX(rMed,1544))),INDEX(rMed2,1544),NA()))</f>
        <v>1</v>
      </c>
      <c r="BY1546">
        <f>IF(OR(cMed=0,cMed2=0,1544&gt;nFilas),NA(),IF(AND(ISNUMBER(INDEX(rMed2,1544)),ISNUMBER(INDEX(rMed,1544))),INDEX(rMed,1544),NA()))</f>
        <v>1037200</v>
      </c>
    </row>
    <row r="1547">
      <c r="BX1547">
        <f>IF(OR(cMed=0,cMed2=0,1545&gt;nFilas),NA(),IF(AND(ISNUMBER(INDEX(rMed2,1545)),ISNUMBER(INDEX(rMed,1545))),INDEX(rMed2,1545),NA()))</f>
        <v>5</v>
      </c>
      <c r="BY1547">
        <f>IF(OR(cMed=0,cMed2=0,1545&gt;nFilas),NA(),IF(AND(ISNUMBER(INDEX(rMed2,1545)),ISNUMBER(INDEX(rMed,1545))),INDEX(rMed,1545),NA()))</f>
        <v>1209500</v>
      </c>
    </row>
    <row r="1548">
      <c r="BX1548">
        <f>IF(OR(cMed=0,cMed2=0,1546&gt;nFilas),NA(),IF(AND(ISNUMBER(INDEX(rMed2,1546)),ISNUMBER(INDEX(rMed,1546))),INDEX(rMed2,1546),NA()))</f>
        <v>3</v>
      </c>
      <c r="BY1548">
        <f>IF(OR(cMed=0,cMed2=0,1546&gt;nFilas),NA(),IF(AND(ISNUMBER(INDEX(rMed2,1546)),ISNUMBER(INDEX(rMed,1546))),INDEX(rMed,1546),NA()))</f>
        <v>203100</v>
      </c>
    </row>
    <row r="1549">
      <c r="BX1549">
        <f>IF(OR(cMed=0,cMed2=0,1547&gt;nFilas),NA(),IF(AND(ISNUMBER(INDEX(rMed2,1547)),ISNUMBER(INDEX(rMed,1547))),INDEX(rMed2,1547),NA()))</f>
        <v>3</v>
      </c>
      <c r="BY1549">
        <f>IF(OR(cMed=0,cMed2=0,1547&gt;nFilas),NA(),IF(AND(ISNUMBER(INDEX(rMed2,1547)),ISNUMBER(INDEX(rMed,1547))),INDEX(rMed,1547),NA()))</f>
        <v>1838400</v>
      </c>
    </row>
    <row r="1550">
      <c r="BX1550">
        <f>IF(OR(cMed=0,cMed2=0,1548&gt;nFilas),NA(),IF(AND(ISNUMBER(INDEX(rMed2,1548)),ISNUMBER(INDEX(rMed,1548))),INDEX(rMed2,1548),NA()))</f>
        <v>2</v>
      </c>
      <c r="BY1550">
        <f>IF(OR(cMed=0,cMed2=0,1548&gt;nFilas),NA(),IF(AND(ISNUMBER(INDEX(rMed2,1548)),ISNUMBER(INDEX(rMed,1548))),INDEX(rMed,1548),NA()))</f>
        <v>299600</v>
      </c>
    </row>
    <row r="1551">
      <c r="BX1551">
        <f>IF(OR(cMed=0,cMed2=0,1549&gt;nFilas),NA(),IF(AND(ISNUMBER(INDEX(rMed2,1549)),ISNUMBER(INDEX(rMed,1549))),INDEX(rMed2,1549),NA()))</f>
        <v>1</v>
      </c>
      <c r="BY1551">
        <f>IF(OR(cMed=0,cMed2=0,1549&gt;nFilas),NA(),IF(AND(ISNUMBER(INDEX(rMed2,1549)),ISNUMBER(INDEX(rMed,1549))),INDEX(rMed,1549),NA()))</f>
        <v>71600</v>
      </c>
    </row>
    <row r="1552">
      <c r="BX1552">
        <f>IF(OR(cMed=0,cMed2=0,1550&gt;nFilas),NA(),IF(AND(ISNUMBER(INDEX(rMed2,1550)),ISNUMBER(INDEX(rMed,1550))),INDEX(rMed2,1550),NA()))</f>
        <v>3</v>
      </c>
      <c r="BY1552">
        <f>IF(OR(cMed=0,cMed2=0,1550&gt;nFilas),NA(),IF(AND(ISNUMBER(INDEX(rMed2,1550)),ISNUMBER(INDEX(rMed,1550))),INDEX(rMed,1550),NA()))</f>
        <v>2542500</v>
      </c>
    </row>
    <row r="1553">
      <c r="BX1553">
        <f>IF(OR(cMed=0,cMed2=0,1551&gt;nFilas),NA(),IF(AND(ISNUMBER(INDEX(rMed2,1551)),ISNUMBER(INDEX(rMed,1551))),INDEX(rMed2,1551),NA()))</f>
        <v>2</v>
      </c>
      <c r="BY1553">
        <f>IF(OR(cMed=0,cMed2=0,1551&gt;nFilas),NA(),IF(AND(ISNUMBER(INDEX(rMed2,1551)),ISNUMBER(INDEX(rMed,1551))),INDEX(rMed,1551),NA()))</f>
        <v>203200</v>
      </c>
    </row>
    <row r="1554">
      <c r="BX1554">
        <f>IF(OR(cMed=0,cMed2=0,1552&gt;nFilas),NA(),IF(AND(ISNUMBER(INDEX(rMed2,1552)),ISNUMBER(INDEX(rMed,1552))),INDEX(rMed2,1552),NA()))</f>
        <v>2</v>
      </c>
      <c r="BY1554">
        <f>IF(OR(cMed=0,cMed2=0,1552&gt;nFilas),NA(),IF(AND(ISNUMBER(INDEX(rMed2,1552)),ISNUMBER(INDEX(rMed,1552))),INDEX(rMed,1552),NA()))</f>
        <v>154000</v>
      </c>
    </row>
    <row r="1555">
      <c r="BX1555">
        <f>IF(OR(cMed=0,cMed2=0,1553&gt;nFilas),NA(),IF(AND(ISNUMBER(INDEX(rMed2,1553)),ISNUMBER(INDEX(rMed,1553))),INDEX(rMed2,1553),NA()))</f>
        <v>4</v>
      </c>
      <c r="BY1555">
        <f>IF(OR(cMed=0,cMed2=0,1553&gt;nFilas),NA(),IF(AND(ISNUMBER(INDEX(rMed2,1553)),ISNUMBER(INDEX(rMed,1553))),INDEX(rMed,1553),NA()))</f>
        <v>590180</v>
      </c>
    </row>
    <row r="1556">
      <c r="BX1556">
        <f>IF(OR(cMed=0,cMed2=0,1554&gt;nFilas),NA(),IF(AND(ISNUMBER(INDEX(rMed2,1554)),ISNUMBER(INDEX(rMed,1554))),INDEX(rMed2,1554),NA()))</f>
        <v>1</v>
      </c>
      <c r="BY1556">
        <f>IF(OR(cMed=0,cMed2=0,1554&gt;nFilas),NA(),IF(AND(ISNUMBER(INDEX(rMed2,1554)),ISNUMBER(INDEX(rMed,1554))),INDEX(rMed,1554),NA()))</f>
        <v>1202900</v>
      </c>
    </row>
    <row r="1557">
      <c r="BX1557">
        <f>IF(OR(cMed=0,cMed2=0,1555&gt;nFilas),NA(),IF(AND(ISNUMBER(INDEX(rMed2,1555)),ISNUMBER(INDEX(rMed,1555))),INDEX(rMed2,1555),NA()))</f>
        <v>4</v>
      </c>
      <c r="BY1557">
        <f>IF(OR(cMed=0,cMed2=0,1555&gt;nFilas),NA(),IF(AND(ISNUMBER(INDEX(rMed2,1555)),ISNUMBER(INDEX(rMed,1555))),INDEX(rMed,1555),NA()))</f>
        <v>1207040</v>
      </c>
    </row>
    <row r="1558">
      <c r="BX1558">
        <f>IF(OR(cMed=0,cMed2=0,1556&gt;nFilas),NA(),IF(AND(ISNUMBER(INDEX(rMed2,1556)),ISNUMBER(INDEX(rMed,1556))),INDEX(rMed2,1556),NA()))</f>
        <v>2</v>
      </c>
      <c r="BY1558">
        <f>IF(OR(cMed=0,cMed2=0,1556&gt;nFilas),NA(),IF(AND(ISNUMBER(INDEX(rMed2,1556)),ISNUMBER(INDEX(rMed,1556))),INDEX(rMed,1556),NA()))</f>
        <v>601680</v>
      </c>
    </row>
    <row r="1559">
      <c r="BX1559">
        <f>IF(OR(cMed=0,cMed2=0,1557&gt;nFilas),NA(),IF(AND(ISNUMBER(INDEX(rMed2,1557)),ISNUMBER(INDEX(rMed,1557))),INDEX(rMed2,1557),NA()))</f>
        <v>4</v>
      </c>
      <c r="BY1559">
        <f>IF(OR(cMed=0,cMed2=0,1557&gt;nFilas),NA(),IF(AND(ISNUMBER(INDEX(rMed2,1557)),ISNUMBER(INDEX(rMed,1557))),INDEX(rMed,1557),NA()))</f>
        <v>754400</v>
      </c>
    </row>
    <row r="1560">
      <c r="BX1560">
        <f>IF(OR(cMed=0,cMed2=0,1558&gt;nFilas),NA(),IF(AND(ISNUMBER(INDEX(rMed2,1558)),ISNUMBER(INDEX(rMed,1558))),INDEX(rMed2,1558),NA()))</f>
        <v>4</v>
      </c>
      <c r="BY1560">
        <f>IF(OR(cMed=0,cMed2=0,1558&gt;nFilas),NA(),IF(AND(ISNUMBER(INDEX(rMed2,1558)),ISNUMBER(INDEX(rMed,1558))),INDEX(rMed,1558),NA()))</f>
        <v>3422400</v>
      </c>
    </row>
    <row r="1561">
      <c r="BX1561">
        <f>IF(OR(cMed=0,cMed2=0,1559&gt;nFilas),NA(),IF(AND(ISNUMBER(INDEX(rMed2,1559)),ISNUMBER(INDEX(rMed,1559))),INDEX(rMed2,1559),NA()))</f>
        <v>4</v>
      </c>
      <c r="BY1561">
        <f>IF(OR(cMed=0,cMed2=0,1559&gt;nFilas),NA(),IF(AND(ISNUMBER(INDEX(rMed2,1559)),ISNUMBER(INDEX(rMed,1559))),INDEX(rMed,1559),NA()))</f>
        <v>879520</v>
      </c>
    </row>
    <row r="1562">
      <c r="BX1562">
        <f>IF(OR(cMed=0,cMed2=0,1560&gt;nFilas),NA(),IF(AND(ISNUMBER(INDEX(rMed2,1560)),ISNUMBER(INDEX(rMed,1560))),INDEX(rMed2,1560),NA()))</f>
        <v>5</v>
      </c>
      <c r="BY1562">
        <f>IF(OR(cMed=0,cMed2=0,1560&gt;nFilas),NA(),IF(AND(ISNUMBER(INDEX(rMed2,1560)),ISNUMBER(INDEX(rMed,1560))),INDEX(rMed,1560),NA()))</f>
        <v>394450</v>
      </c>
    </row>
    <row r="1563">
      <c r="BX1563">
        <f>IF(OR(cMed=0,cMed2=0,1561&gt;nFilas),NA(),IF(AND(ISNUMBER(INDEX(rMed2,1561)),ISNUMBER(INDEX(rMed,1561))),INDEX(rMed2,1561),NA()))</f>
        <v>3</v>
      </c>
      <c r="BY1563">
        <f>IF(OR(cMed=0,cMed2=0,1561&gt;nFilas),NA(),IF(AND(ISNUMBER(INDEX(rMed2,1561)),ISNUMBER(INDEX(rMed,1561))),INDEX(rMed,1561),NA()))</f>
        <v>352245</v>
      </c>
    </row>
    <row r="1564">
      <c r="BX1564">
        <f>IF(OR(cMed=0,cMed2=0,1562&gt;nFilas),NA(),IF(AND(ISNUMBER(INDEX(rMed2,1562)),ISNUMBER(INDEX(rMed,1562))),INDEX(rMed2,1562),NA()))</f>
        <v>2</v>
      </c>
      <c r="BY1564">
        <f>IF(OR(cMed=0,cMed2=0,1562&gt;nFilas),NA(),IF(AND(ISNUMBER(INDEX(rMed2,1562)),ISNUMBER(INDEX(rMed,1562))),INDEX(rMed,1562),NA()))</f>
        <v>563270</v>
      </c>
    </row>
    <row r="1565">
      <c r="BX1565">
        <f>IF(OR(cMed=0,cMed2=0,1563&gt;nFilas),NA(),IF(AND(ISNUMBER(INDEX(rMed2,1563)),ISNUMBER(INDEX(rMed,1563))),INDEX(rMed2,1563),NA()))</f>
        <v>4</v>
      </c>
      <c r="BY1565">
        <f>IF(OR(cMed=0,cMed2=0,1563&gt;nFilas),NA(),IF(AND(ISNUMBER(INDEX(rMed2,1563)),ISNUMBER(INDEX(rMed,1563))),INDEX(rMed,1563),NA()))</f>
        <v>1004800</v>
      </c>
    </row>
    <row r="1566">
      <c r="BX1566">
        <f>IF(OR(cMed=0,cMed2=0,1564&gt;nFilas),NA(),IF(AND(ISNUMBER(INDEX(rMed2,1564)),ISNUMBER(INDEX(rMed,1564))),INDEX(rMed2,1564),NA()))</f>
        <v>1</v>
      </c>
      <c r="BY1566">
        <f>IF(OR(cMed=0,cMed2=0,1564&gt;nFilas),NA(),IF(AND(ISNUMBER(INDEX(rMed2,1564)),ISNUMBER(INDEX(rMed,1564))),INDEX(rMed,1564),NA()))</f>
        <v>85400</v>
      </c>
    </row>
    <row r="1567">
      <c r="BX1567">
        <f>IF(OR(cMed=0,cMed2=0,1565&gt;nFilas),NA(),IF(AND(ISNUMBER(INDEX(rMed2,1565)),ISNUMBER(INDEX(rMed,1565))),INDEX(rMed2,1565),NA()))</f>
        <v>1</v>
      </c>
      <c r="BY1567">
        <f>IF(OR(cMed=0,cMed2=0,1565&gt;nFilas),NA(),IF(AND(ISNUMBER(INDEX(rMed2,1565)),ISNUMBER(INDEX(rMed,1565))),INDEX(rMed,1565),NA()))</f>
        <v>741900</v>
      </c>
    </row>
    <row r="1568">
      <c r="BX1568">
        <f>IF(OR(cMed=0,cMed2=0,1566&gt;nFilas),NA(),IF(AND(ISNUMBER(INDEX(rMed2,1566)),ISNUMBER(INDEX(rMed,1566))),INDEX(rMed2,1566),NA()))</f>
        <v>1</v>
      </c>
      <c r="BY1568">
        <f>IF(OR(cMed=0,cMed2=0,1566&gt;nFilas),NA(),IF(AND(ISNUMBER(INDEX(rMed2,1566)),ISNUMBER(INDEX(rMed,1566))),INDEX(rMed,1566),NA()))</f>
        <v>209000</v>
      </c>
    </row>
    <row r="1569">
      <c r="BX1569">
        <f>IF(OR(cMed=0,cMed2=0,1567&gt;nFilas),NA(),IF(AND(ISNUMBER(INDEX(rMed2,1567)),ISNUMBER(INDEX(rMed,1567))),INDEX(rMed2,1567),NA()))</f>
        <v>3</v>
      </c>
      <c r="BY1569">
        <f>IF(OR(cMed=0,cMed2=0,1567&gt;nFilas),NA(),IF(AND(ISNUMBER(INDEX(rMed2,1567)),ISNUMBER(INDEX(rMed,1567))),INDEX(rMed,1567),NA()))</f>
        <v>692700</v>
      </c>
    </row>
    <row r="1570">
      <c r="BX1570">
        <f>IF(OR(cMed=0,cMed2=0,1568&gt;nFilas),NA(),IF(AND(ISNUMBER(INDEX(rMed2,1568)),ISNUMBER(INDEX(rMed,1568))),INDEX(rMed2,1568),NA()))</f>
        <v>4</v>
      </c>
      <c r="BY1570">
        <f>IF(OR(cMed=0,cMed2=0,1568&gt;nFilas),NA(),IF(AND(ISNUMBER(INDEX(rMed2,1568)),ISNUMBER(INDEX(rMed,1568))),INDEX(rMed,1568),NA()))</f>
        <v>882400</v>
      </c>
    </row>
    <row r="1571">
      <c r="BX1571">
        <f>IF(OR(cMed=0,cMed2=0,1569&gt;nFilas),NA(),IF(AND(ISNUMBER(INDEX(rMed2,1569)),ISNUMBER(INDEX(rMed,1569))),INDEX(rMed2,1569),NA()))</f>
        <v>3</v>
      </c>
      <c r="BY1571">
        <f>IF(OR(cMed=0,cMed2=0,1569&gt;nFilas),NA(),IF(AND(ISNUMBER(INDEX(rMed2,1569)),ISNUMBER(INDEX(rMed,1569))),INDEX(rMed,1569),NA()))</f>
        <v>571500</v>
      </c>
    </row>
    <row r="1572">
      <c r="BX1572">
        <f>IF(OR(cMed=0,cMed2=0,1570&gt;nFilas),NA(),IF(AND(ISNUMBER(INDEX(rMed2,1570)),ISNUMBER(INDEX(rMed,1570))),INDEX(rMed2,1570),NA()))</f>
        <v>3</v>
      </c>
      <c r="BY1572">
        <f>IF(OR(cMed=0,cMed2=0,1570&gt;nFilas),NA(),IF(AND(ISNUMBER(INDEX(rMed2,1570)),ISNUMBER(INDEX(rMed,1570))),INDEX(rMed,1570),NA()))</f>
        <v>234300</v>
      </c>
    </row>
    <row r="1573">
      <c r="BX1573">
        <f>IF(OR(cMed=0,cMed2=0,1571&gt;nFilas),NA(),IF(AND(ISNUMBER(INDEX(rMed2,1571)),ISNUMBER(INDEX(rMed,1571))),INDEX(rMed2,1571),NA()))</f>
        <v>3</v>
      </c>
      <c r="BY1573">
        <f>IF(OR(cMed=0,cMed2=0,1571&gt;nFilas),NA(),IF(AND(ISNUMBER(INDEX(rMed2,1571)),ISNUMBER(INDEX(rMed,1571))),INDEX(rMed,1571),NA()))</f>
        <v>253800</v>
      </c>
    </row>
    <row r="1574">
      <c r="BX1574">
        <f>IF(OR(cMed=0,cMed2=0,1572&gt;nFilas),NA(),IF(AND(ISNUMBER(INDEX(rMed2,1572)),ISNUMBER(INDEX(rMed,1572))),INDEX(rMed2,1572),NA()))</f>
        <v>3</v>
      </c>
      <c r="BY1574">
        <f>IF(OR(cMed=0,cMed2=0,1572&gt;nFilas),NA(),IF(AND(ISNUMBER(INDEX(rMed2,1572)),ISNUMBER(INDEX(rMed,1572))),INDEX(rMed,1572),NA()))</f>
        <v>410700</v>
      </c>
    </row>
    <row r="1575">
      <c r="BX1575">
        <f>IF(OR(cMed=0,cMed2=0,1573&gt;nFilas),NA(),IF(AND(ISNUMBER(INDEX(rMed2,1573)),ISNUMBER(INDEX(rMed,1573))),INDEX(rMed2,1573),NA()))</f>
        <v>5</v>
      </c>
      <c r="BY1575">
        <f>IF(OR(cMed=0,cMed2=0,1573&gt;nFilas),NA(),IF(AND(ISNUMBER(INDEX(rMed2,1573)),ISNUMBER(INDEX(rMed,1573))),INDEX(rMed,1573),NA()))</f>
        <v>565500</v>
      </c>
    </row>
    <row r="1576">
      <c r="BX1576">
        <f>IF(OR(cMed=0,cMed2=0,1574&gt;nFilas),NA(),IF(AND(ISNUMBER(INDEX(rMed2,1574)),ISNUMBER(INDEX(rMed,1574))),INDEX(rMed2,1574),NA()))</f>
        <v>2</v>
      </c>
      <c r="BY1576">
        <f>IF(OR(cMed=0,cMed2=0,1574&gt;nFilas),NA(),IF(AND(ISNUMBER(INDEX(rMed2,1574)),ISNUMBER(INDEX(rMed,1574))),INDEX(rMed,1574),NA()))</f>
        <v>381800</v>
      </c>
    </row>
    <row r="1577">
      <c r="BX1577">
        <f>IF(OR(cMed=0,cMed2=0,1575&gt;nFilas),NA(),IF(AND(ISNUMBER(INDEX(rMed2,1575)),ISNUMBER(INDEX(rMed,1575))),INDEX(rMed2,1575),NA()))</f>
        <v>5</v>
      </c>
      <c r="BY1577">
        <f>IF(OR(cMed=0,cMed2=0,1575&gt;nFilas),NA(),IF(AND(ISNUMBER(INDEX(rMed2,1575)),ISNUMBER(INDEX(rMed,1575))),INDEX(rMed,1575),NA()))</f>
        <v>520500</v>
      </c>
    </row>
    <row r="1578">
      <c r="BX1578">
        <f>IF(OR(cMed=0,cMed2=0,1576&gt;nFilas),NA(),IF(AND(ISNUMBER(INDEX(rMed2,1576)),ISNUMBER(INDEX(rMed,1576))),INDEX(rMed2,1576),NA()))</f>
        <v>3</v>
      </c>
      <c r="BY1578">
        <f>IF(OR(cMed=0,cMed2=0,1576&gt;nFilas),NA(),IF(AND(ISNUMBER(INDEX(rMed2,1576)),ISNUMBER(INDEX(rMed,1576))),INDEX(rMed,1576),NA()))</f>
        <v>606600</v>
      </c>
    </row>
    <row r="1579">
      <c r="BX1579">
        <f>IF(OR(cMed=0,cMed2=0,1577&gt;nFilas),NA(),IF(AND(ISNUMBER(INDEX(rMed2,1577)),ISNUMBER(INDEX(rMed,1577))),INDEX(rMed2,1577),NA()))</f>
        <v>5</v>
      </c>
      <c r="BY1579">
        <f>IF(OR(cMed=0,cMed2=0,1577&gt;nFilas),NA(),IF(AND(ISNUMBER(INDEX(rMed2,1577)),ISNUMBER(INDEX(rMed,1577))),INDEX(rMed,1577),NA()))</f>
        <v>315500</v>
      </c>
    </row>
    <row r="1580">
      <c r="BX1580">
        <f>IF(OR(cMed=0,cMed2=0,1578&gt;nFilas),NA(),IF(AND(ISNUMBER(INDEX(rMed2,1578)),ISNUMBER(INDEX(rMed,1578))),INDEX(rMed2,1578),NA()))</f>
        <v>2</v>
      </c>
      <c r="BY1580">
        <f>IF(OR(cMed=0,cMed2=0,1578&gt;nFilas),NA(),IF(AND(ISNUMBER(INDEX(rMed2,1578)),ISNUMBER(INDEX(rMed,1578))),INDEX(rMed,1578),NA()))</f>
        <v>465400</v>
      </c>
    </row>
    <row r="1581">
      <c r="BX1581">
        <f>IF(OR(cMed=0,cMed2=0,1579&gt;nFilas),NA(),IF(AND(ISNUMBER(INDEX(rMed2,1579)),ISNUMBER(INDEX(rMed,1579))),INDEX(rMed2,1579),NA()))</f>
        <v>2</v>
      </c>
      <c r="BY1581">
        <f>IF(OR(cMed=0,cMed2=0,1579&gt;nFilas),NA(),IF(AND(ISNUMBER(INDEX(rMed2,1579)),ISNUMBER(INDEX(rMed,1579))),INDEX(rMed,1579),NA()))</f>
        <v>149800</v>
      </c>
    </row>
    <row r="1582">
      <c r="BX1582">
        <f>IF(OR(cMed=0,cMed2=0,1580&gt;nFilas),NA(),IF(AND(ISNUMBER(INDEX(rMed2,1580)),ISNUMBER(INDEX(rMed,1580))),INDEX(rMed2,1580),NA()))</f>
        <v>4</v>
      </c>
      <c r="BY1582">
        <f>IF(OR(cMed=0,cMed2=0,1580&gt;nFilas),NA(),IF(AND(ISNUMBER(INDEX(rMed2,1580)),ISNUMBER(INDEX(rMed,1580))),INDEX(rMed,1580),NA()))</f>
        <v>352400</v>
      </c>
    </row>
    <row r="1583">
      <c r="BX1583">
        <f>IF(OR(cMed=0,cMed2=0,1581&gt;nFilas),NA(),IF(AND(ISNUMBER(INDEX(rMed2,1581)),ISNUMBER(INDEX(rMed,1581))),INDEX(rMed2,1581),NA()))</f>
        <v>4</v>
      </c>
      <c r="BY1583">
        <f>IF(OR(cMed=0,cMed2=0,1581&gt;nFilas),NA(),IF(AND(ISNUMBER(INDEX(rMed2,1581)),ISNUMBER(INDEX(rMed,1581))),INDEX(rMed,1581),NA()))</f>
        <v>268400</v>
      </c>
    </row>
    <row r="1584">
      <c r="BX1584">
        <f>IF(OR(cMed=0,cMed2=0,1582&gt;nFilas),NA(),IF(AND(ISNUMBER(INDEX(rMed2,1582)),ISNUMBER(INDEX(rMed,1582))),INDEX(rMed2,1582),NA()))</f>
        <v>4</v>
      </c>
      <c r="BY1584">
        <f>IF(OR(cMed=0,cMed2=0,1582&gt;nFilas),NA(),IF(AND(ISNUMBER(INDEX(rMed2,1582)),ISNUMBER(INDEX(rMed,1582))),INDEX(rMed,1582),NA()))</f>
        <v>365600</v>
      </c>
    </row>
    <row r="1585">
      <c r="BX1585">
        <f>IF(OR(cMed=0,cMed2=0,1583&gt;nFilas),NA(),IF(AND(ISNUMBER(INDEX(rMed2,1583)),ISNUMBER(INDEX(rMed,1583))),INDEX(rMed2,1583),NA()))</f>
        <v>3</v>
      </c>
      <c r="BY1585">
        <f>IF(OR(cMed=0,cMed2=0,1583&gt;nFilas),NA(),IF(AND(ISNUMBER(INDEX(rMed2,1583)),ISNUMBER(INDEX(rMed,1583))),INDEX(rMed,1583),NA()))</f>
        <v>789600</v>
      </c>
    </row>
    <row r="1586">
      <c r="BX1586">
        <f>IF(OR(cMed=0,cMed2=0,1584&gt;nFilas),NA(),IF(AND(ISNUMBER(INDEX(rMed2,1584)),ISNUMBER(INDEX(rMed,1584))),INDEX(rMed2,1584),NA()))</f>
        <v>5</v>
      </c>
      <c r="BY1586">
        <f>IF(OR(cMed=0,cMed2=0,1584&gt;nFilas),NA(),IF(AND(ISNUMBER(INDEX(rMed2,1584)),ISNUMBER(INDEX(rMed,1584))),INDEX(rMed,1584),NA()))</f>
        <v>667000</v>
      </c>
    </row>
    <row r="1587">
      <c r="BX1587">
        <f>IF(OR(cMed=0,cMed2=0,1585&gt;nFilas),NA(),IF(AND(ISNUMBER(INDEX(rMed2,1585)),ISNUMBER(INDEX(rMed,1585))),INDEX(rMed2,1585),NA()))</f>
        <v>1</v>
      </c>
      <c r="BY1587">
        <f>IF(OR(cMed=0,cMed2=0,1585&gt;nFilas),NA(),IF(AND(ISNUMBER(INDEX(rMed2,1585)),ISNUMBER(INDEX(rMed,1585))),INDEX(rMed,1585),NA()))</f>
        <v>90160</v>
      </c>
    </row>
    <row r="1588">
      <c r="BX1588">
        <f>IF(OR(cMed=0,cMed2=0,1586&gt;nFilas),NA(),IF(AND(ISNUMBER(INDEX(rMed2,1586)),ISNUMBER(INDEX(rMed,1586))),INDEX(rMed2,1586),NA()))</f>
        <v>5</v>
      </c>
      <c r="BY1588">
        <f>IF(OR(cMed=0,cMed2=0,1586&gt;nFilas),NA(),IF(AND(ISNUMBER(INDEX(rMed2,1586)),ISNUMBER(INDEX(rMed,1586))),INDEX(rMed,1586),NA()))</f>
        <v>503700</v>
      </c>
    </row>
    <row r="1589">
      <c r="BX1589">
        <f>IF(OR(cMed=0,cMed2=0,1587&gt;nFilas),NA(),IF(AND(ISNUMBER(INDEX(rMed2,1587)),ISNUMBER(INDEX(rMed,1587))),INDEX(rMed2,1587),NA()))</f>
        <v>3</v>
      </c>
      <c r="BY1589">
        <f>IF(OR(cMed=0,cMed2=0,1587&gt;nFilas),NA(),IF(AND(ISNUMBER(INDEX(rMed2,1587)),ISNUMBER(INDEX(rMed,1587))),INDEX(rMed,1587),NA()))</f>
        <v>3628710</v>
      </c>
    </row>
    <row r="1590">
      <c r="BX1590">
        <f>IF(OR(cMed=0,cMed2=0,1588&gt;nFilas),NA(),IF(AND(ISNUMBER(INDEX(rMed2,1588)),ISNUMBER(INDEX(rMed,1588))),INDEX(rMed2,1588),NA()))</f>
        <v>4</v>
      </c>
      <c r="BY1590">
        <f>IF(OR(cMed=0,cMed2=0,1588&gt;nFilas),NA(),IF(AND(ISNUMBER(INDEX(rMed2,1588)),ISNUMBER(INDEX(rMed,1588))),INDEX(rMed,1588),NA()))</f>
        <v>938400</v>
      </c>
    </row>
    <row r="1591">
      <c r="BX1591">
        <f>IF(OR(cMed=0,cMed2=0,1589&gt;nFilas),NA(),IF(AND(ISNUMBER(INDEX(rMed2,1589)),ISNUMBER(INDEX(rMed,1589))),INDEX(rMed2,1589),NA()))</f>
        <v>1</v>
      </c>
      <c r="BY1591">
        <f>IF(OR(cMed=0,cMed2=0,1589&gt;nFilas),NA(),IF(AND(ISNUMBER(INDEX(rMed2,1589)),ISNUMBER(INDEX(rMed,1589))),INDEX(rMed,1589),NA()))</f>
        <v>157205</v>
      </c>
    </row>
    <row r="1592">
      <c r="BX1592">
        <f>IF(OR(cMed=0,cMed2=0,1590&gt;nFilas),NA(),IF(AND(ISNUMBER(INDEX(rMed2,1590)),ISNUMBER(INDEX(rMed,1590))),INDEX(rMed2,1590),NA()))</f>
        <v>3</v>
      </c>
      <c r="BY1592">
        <f>IF(OR(cMed=0,cMed2=0,1590&gt;nFilas),NA(),IF(AND(ISNUMBER(INDEX(rMed2,1590)),ISNUMBER(INDEX(rMed,1590))),INDEX(rMed,1590),NA()))</f>
        <v>267030</v>
      </c>
    </row>
    <row r="1593">
      <c r="BX1593">
        <f>IF(OR(cMed=0,cMed2=0,1591&gt;nFilas),NA(),IF(AND(ISNUMBER(INDEX(rMed2,1591)),ISNUMBER(INDEX(rMed,1591))),INDEX(rMed2,1591),NA()))</f>
        <v>4</v>
      </c>
      <c r="BY1593">
        <f>IF(OR(cMed=0,cMed2=0,1591&gt;nFilas),NA(),IF(AND(ISNUMBER(INDEX(rMed2,1591)),ISNUMBER(INDEX(rMed,1591))),INDEX(rMed,1591),NA()))</f>
        <v>776020</v>
      </c>
    </row>
    <row r="1594">
      <c r="BX1594">
        <f>IF(OR(cMed=0,cMed2=0,1592&gt;nFilas),NA(),IF(AND(ISNUMBER(INDEX(rMed2,1592)),ISNUMBER(INDEX(rMed,1592))),INDEX(rMed2,1592),NA()))</f>
        <v>4</v>
      </c>
      <c r="BY1594">
        <f>IF(OR(cMed=0,cMed2=0,1592&gt;nFilas),NA(),IF(AND(ISNUMBER(INDEX(rMed2,1592)),ISNUMBER(INDEX(rMed,1592))),INDEX(rMed,1592),NA()))</f>
        <v>362020</v>
      </c>
    </row>
    <row r="1595">
      <c r="BX1595">
        <f>IF(OR(cMed=0,cMed2=0,1593&gt;nFilas),NA(),IF(AND(ISNUMBER(INDEX(rMed2,1593)),ISNUMBER(INDEX(rMed,1593))),INDEX(rMed2,1593),NA()))</f>
        <v>1</v>
      </c>
      <c r="BY1595">
        <f>IF(OR(cMed=0,cMed2=0,1593&gt;nFilas),NA(),IF(AND(ISNUMBER(INDEX(rMed2,1593)),ISNUMBER(INDEX(rMed,1593))),INDEX(rMed,1593),NA()))</f>
        <v>215970</v>
      </c>
    </row>
    <row r="1596">
      <c r="BX1596">
        <f>IF(OR(cMed=0,cMed2=0,1594&gt;nFilas),NA(),IF(AND(ISNUMBER(INDEX(rMed2,1594)),ISNUMBER(INDEX(rMed,1594))),INDEX(rMed2,1594),NA()))</f>
        <v>3</v>
      </c>
      <c r="BY1596">
        <f>IF(OR(cMed=0,cMed2=0,1594&gt;nFilas),NA(),IF(AND(ISNUMBER(INDEX(rMed2,1594)),ISNUMBER(INDEX(rMed,1594))),INDEX(rMed,1594),NA()))</f>
        <v>211500</v>
      </c>
    </row>
    <row r="1597">
      <c r="BX1597">
        <f>IF(OR(cMed=0,cMed2=0,1595&gt;nFilas),NA(),IF(AND(ISNUMBER(INDEX(rMed2,1595)),ISNUMBER(INDEX(rMed,1595))),INDEX(rMed2,1595),NA()))</f>
        <v>2</v>
      </c>
      <c r="BY1597">
        <f>IF(OR(cMed=0,cMed2=0,1595&gt;nFilas),NA(),IF(AND(ISNUMBER(INDEX(rMed2,1595)),ISNUMBER(INDEX(rMed,1595))),INDEX(rMed,1595),NA()))</f>
        <v>129000</v>
      </c>
    </row>
    <row r="1598">
      <c r="BX1598">
        <f>IF(OR(cMed=0,cMed2=0,1596&gt;nFilas),NA(),IF(AND(ISNUMBER(INDEX(rMed2,1596)),ISNUMBER(INDEX(rMed,1596))),INDEX(rMed2,1596),NA()))</f>
        <v>5</v>
      </c>
      <c r="BY1598">
        <f>IF(OR(cMed=0,cMed2=0,1596&gt;nFilas),NA(),IF(AND(ISNUMBER(INDEX(rMed2,1596)),ISNUMBER(INDEX(rMed,1596))),INDEX(rMed,1596),NA()))</f>
        <v>333000</v>
      </c>
    </row>
    <row r="1599">
      <c r="BX1599">
        <f>IF(OR(cMed=0,cMed2=0,1597&gt;nFilas),NA(),IF(AND(ISNUMBER(INDEX(rMed2,1597)),ISNUMBER(INDEX(rMed,1597))),INDEX(rMed2,1597),NA()))</f>
        <v>4</v>
      </c>
      <c r="BY1599">
        <f>IF(OR(cMed=0,cMed2=0,1597&gt;nFilas),NA(),IF(AND(ISNUMBER(INDEX(rMed2,1597)),ISNUMBER(INDEX(rMed,1597))),INDEX(rMed,1597),NA()))</f>
        <v>622000</v>
      </c>
    </row>
    <row r="1600">
      <c r="BX1600">
        <f>IF(OR(cMed=0,cMed2=0,1598&gt;nFilas),NA(),IF(AND(ISNUMBER(INDEX(rMed2,1598)),ISNUMBER(INDEX(rMed,1598))),INDEX(rMed2,1598),NA()))</f>
        <v>5</v>
      </c>
      <c r="BY1600">
        <f>IF(OR(cMed=0,cMed2=0,1598&gt;nFilas),NA(),IF(AND(ISNUMBER(INDEX(rMed2,1598)),ISNUMBER(INDEX(rMed,1598))),INDEX(rMed,1598),NA()))</f>
        <v>609000</v>
      </c>
    </row>
    <row r="1601">
      <c r="BX1601">
        <f>IF(OR(cMed=0,cMed2=0,1599&gt;nFilas),NA(),IF(AND(ISNUMBER(INDEX(rMed2,1599)),ISNUMBER(INDEX(rMed,1599))),INDEX(rMed2,1599),NA()))</f>
        <v>4</v>
      </c>
      <c r="BY1601">
        <f>IF(OR(cMed=0,cMed2=0,1599&gt;nFilas),NA(),IF(AND(ISNUMBER(INDEX(rMed2,1599)),ISNUMBER(INDEX(rMed,1599))),INDEX(rMed,1599),NA()))</f>
        <v>453200</v>
      </c>
    </row>
    <row r="1602">
      <c r="BX1602">
        <f>IF(OR(cMed=0,cMed2=0,1600&gt;nFilas),NA(),IF(AND(ISNUMBER(INDEX(rMed2,1600)),ISNUMBER(INDEX(rMed,1600))),INDEX(rMed2,1600),NA()))</f>
        <v>4</v>
      </c>
      <c r="BY1602">
        <f>IF(OR(cMed=0,cMed2=0,1600&gt;nFilas),NA(),IF(AND(ISNUMBER(INDEX(rMed2,1600)),ISNUMBER(INDEX(rMed,1600))),INDEX(rMed,1600),NA()))</f>
        <v>434000</v>
      </c>
    </row>
    <row r="1603">
      <c r="BX1603">
        <f>IF(OR(cMed=0,cMed2=0,1601&gt;nFilas),NA(),IF(AND(ISNUMBER(INDEX(rMed2,1601)),ISNUMBER(INDEX(rMed,1601))),INDEX(rMed2,1601),NA()))</f>
        <v>3</v>
      </c>
      <c r="BY1603">
        <f>IF(OR(cMed=0,cMed2=0,1601&gt;nFilas),NA(),IF(AND(ISNUMBER(INDEX(rMed2,1601)),ISNUMBER(INDEX(rMed,1601))),INDEX(rMed,1601),NA()))</f>
        <v>224700</v>
      </c>
    </row>
    <row r="1604">
      <c r="BX1604">
        <f>IF(OR(cMed=0,cMed2=0,1602&gt;nFilas),NA(),IF(AND(ISNUMBER(INDEX(rMed2,1602)),ISNUMBER(INDEX(rMed,1602))),INDEX(rMed2,1602),NA()))</f>
        <v>2</v>
      </c>
      <c r="BY1604">
        <f>IF(OR(cMed=0,cMed2=0,1602&gt;nFilas),NA(),IF(AND(ISNUMBER(INDEX(rMed2,1602)),ISNUMBER(INDEX(rMed,1602))),INDEX(rMed,1602),NA()))</f>
        <v>533000</v>
      </c>
    </row>
    <row r="1605">
      <c r="BX1605">
        <f>IF(OR(cMed=0,cMed2=0,1603&gt;nFilas),NA(),IF(AND(ISNUMBER(INDEX(rMed2,1603)),ISNUMBER(INDEX(rMed,1603))),INDEX(rMed2,1603),NA()))</f>
        <v>3</v>
      </c>
      <c r="BY1605">
        <f>IF(OR(cMed=0,cMed2=0,1603&gt;nFilas),NA(),IF(AND(ISNUMBER(INDEX(rMed2,1603)),ISNUMBER(INDEX(rMed,1603))),INDEX(rMed,1603),NA()))</f>
        <v>564000</v>
      </c>
    </row>
    <row r="1606">
      <c r="BX1606">
        <f>IF(OR(cMed=0,cMed2=0,1604&gt;nFilas),NA(),IF(AND(ISNUMBER(INDEX(rMed2,1604)),ISNUMBER(INDEX(rMed,1604))),INDEX(rMed2,1604),NA()))</f>
        <v>3</v>
      </c>
      <c r="BY1606">
        <f>IF(OR(cMed=0,cMed2=0,1604&gt;nFilas),NA(),IF(AND(ISNUMBER(INDEX(rMed2,1604)),ISNUMBER(INDEX(rMed,1604))),INDEX(rMed,1604),NA()))</f>
        <v>2289000</v>
      </c>
    </row>
    <row r="1607">
      <c r="BX1607">
        <f>IF(OR(cMed=0,cMed2=0,1605&gt;nFilas),NA(),IF(AND(ISNUMBER(INDEX(rMed2,1605)),ISNUMBER(INDEX(rMed,1605))),INDEX(rMed2,1605),NA()))</f>
        <v>5</v>
      </c>
      <c r="BY1607">
        <f>IF(OR(cMed=0,cMed2=0,1605&gt;nFilas),NA(),IF(AND(ISNUMBER(INDEX(rMed2,1605)),ISNUMBER(INDEX(rMed,1605))),INDEX(rMed,1605),NA()))</f>
        <v>1036000</v>
      </c>
    </row>
    <row r="1608">
      <c r="BX1608">
        <f>IF(OR(cMed=0,cMed2=0,1606&gt;nFilas),NA(),IF(AND(ISNUMBER(INDEX(rMed2,1606)),ISNUMBER(INDEX(rMed,1606))),INDEX(rMed2,1606),NA()))</f>
        <v>5</v>
      </c>
      <c r="BY1608">
        <f>IF(OR(cMed=0,cMed2=0,1606&gt;nFilas),NA(),IF(AND(ISNUMBER(INDEX(rMed2,1606)),ISNUMBER(INDEX(rMed,1606))),INDEX(rMed,1606),NA()))</f>
        <v>4810500</v>
      </c>
    </row>
    <row r="1609">
      <c r="BX1609">
        <f>IF(OR(cMed=0,cMed2=0,1607&gt;nFilas),NA(),IF(AND(ISNUMBER(INDEX(rMed2,1607)),ISNUMBER(INDEX(rMed,1607))),INDEX(rMed2,1607),NA()))</f>
        <v>2</v>
      </c>
      <c r="BY1609">
        <f>IF(OR(cMed=0,cMed2=0,1607&gt;nFilas),NA(),IF(AND(ISNUMBER(INDEX(rMed2,1607)),ISNUMBER(INDEX(rMed,1607))),INDEX(rMed,1607),NA()))</f>
        <v>1814000</v>
      </c>
    </row>
    <row r="1610">
      <c r="BX1610">
        <f>IF(OR(cMed=0,cMed2=0,1608&gt;nFilas),NA(),IF(AND(ISNUMBER(INDEX(rMed2,1608)),ISNUMBER(INDEX(rMed,1608))),INDEX(rMed2,1608),NA()))</f>
        <v>1</v>
      </c>
      <c r="BY1610">
        <f>IF(OR(cMed=0,cMed2=0,1608&gt;nFilas),NA(),IF(AND(ISNUMBER(INDEX(rMed2,1608)),ISNUMBER(INDEX(rMed,1608))),INDEX(rMed,1608),NA()))</f>
        <v>72800</v>
      </c>
    </row>
    <row r="1611">
      <c r="BX1611">
        <f>IF(OR(cMed=0,cMed2=0,1609&gt;nFilas),NA(),IF(AND(ISNUMBER(INDEX(rMed2,1609)),ISNUMBER(INDEX(rMed,1609))),INDEX(rMed2,1609),NA()))</f>
        <v>4</v>
      </c>
      <c r="BY1611">
        <f>IF(OR(cMed=0,cMed2=0,1609&gt;nFilas),NA(),IF(AND(ISNUMBER(INDEX(rMed2,1609)),ISNUMBER(INDEX(rMed,1609))),INDEX(rMed,1609),NA()))</f>
        <v>272400</v>
      </c>
    </row>
    <row r="1612">
      <c r="BX1612">
        <f>IF(OR(cMed=0,cMed2=0,1610&gt;nFilas),NA(),IF(AND(ISNUMBER(INDEX(rMed2,1610)),ISNUMBER(INDEX(rMed,1610))),INDEX(rMed2,1610),NA()))</f>
        <v>3</v>
      </c>
      <c r="BY1612">
        <f>IF(OR(cMed=0,cMed2=0,1610&gt;nFilas),NA(),IF(AND(ISNUMBER(INDEX(rMed2,1610)),ISNUMBER(INDEX(rMed,1610))),INDEX(rMed,1610),NA()))</f>
        <v>600300</v>
      </c>
    </row>
    <row r="1613">
      <c r="BX1613">
        <f>IF(OR(cMed=0,cMed2=0,1611&gt;nFilas),NA(),IF(AND(ISNUMBER(INDEX(rMed2,1611)),ISNUMBER(INDEX(rMed,1611))),INDEX(rMed2,1611),NA()))</f>
        <v>4</v>
      </c>
      <c r="BY1613">
        <f>IF(OR(cMed=0,cMed2=0,1611&gt;nFilas),NA(),IF(AND(ISNUMBER(INDEX(rMed2,1611)),ISNUMBER(INDEX(rMed,1611))),INDEX(rMed,1611),NA()))</f>
        <v>422400</v>
      </c>
    </row>
    <row r="1614">
      <c r="BX1614">
        <f>IF(OR(cMed=0,cMed2=0,1612&gt;nFilas),NA(),IF(AND(ISNUMBER(INDEX(rMed2,1612)),ISNUMBER(INDEX(rMed,1612))),INDEX(rMed2,1612),NA()))</f>
        <v>1</v>
      </c>
      <c r="BY1614">
        <f>IF(OR(cMed=0,cMed2=0,1612&gt;nFilas),NA(),IF(AND(ISNUMBER(INDEX(rMed2,1612)),ISNUMBER(INDEX(rMed,1612))),INDEX(rMed,1612),NA()))</f>
        <v>93400</v>
      </c>
    </row>
    <row r="1615">
      <c r="BX1615">
        <f>IF(OR(cMed=0,cMed2=0,1613&gt;nFilas),NA(),IF(AND(ISNUMBER(INDEX(rMed2,1613)),ISNUMBER(INDEX(rMed,1613))),INDEX(rMed2,1613),NA()))</f>
        <v>1</v>
      </c>
      <c r="BY1615">
        <f>IF(OR(cMed=0,cMed2=0,1613&gt;nFilas),NA(),IF(AND(ISNUMBER(INDEX(rMed2,1613)),ISNUMBER(INDEX(rMed,1613))),INDEX(rMed,1613),NA()))</f>
        <v>90300</v>
      </c>
    </row>
    <row r="1616">
      <c r="BX1616">
        <f>IF(OR(cMed=0,cMed2=0,1614&gt;nFilas),NA(),IF(AND(ISNUMBER(INDEX(rMed2,1614)),ISNUMBER(INDEX(rMed,1614))),INDEX(rMed2,1614),NA()))</f>
        <v>3</v>
      </c>
      <c r="BY1616">
        <f>IF(OR(cMed=0,cMed2=0,1614&gt;nFilas),NA(),IF(AND(ISNUMBER(INDEX(rMed2,1614)),ISNUMBER(INDEX(rMed,1614))),INDEX(rMed,1614),NA()))</f>
        <v>2925945</v>
      </c>
    </row>
    <row r="1617">
      <c r="BX1617">
        <f>IF(OR(cMed=0,cMed2=0,1615&gt;nFilas),NA(),IF(AND(ISNUMBER(INDEX(rMed2,1615)),ISNUMBER(INDEX(rMed,1615))),INDEX(rMed2,1615),NA()))</f>
        <v>5</v>
      </c>
      <c r="BY1617">
        <f>IF(OR(cMed=0,cMed2=0,1615&gt;nFilas),NA(),IF(AND(ISNUMBER(INDEX(rMed2,1615)),ISNUMBER(INDEX(rMed,1615))),INDEX(rMed,1615),NA()))</f>
        <v>734850</v>
      </c>
    </row>
    <row r="1618">
      <c r="BX1618">
        <f>IF(OR(cMed=0,cMed2=0,1616&gt;nFilas),NA(),IF(AND(ISNUMBER(INDEX(rMed2,1616)),ISNUMBER(INDEX(rMed,1616))),INDEX(rMed2,1616),NA()))</f>
        <v>2</v>
      </c>
      <c r="BY1618">
        <f>IF(OR(cMed=0,cMed2=0,1616&gt;nFilas),NA(),IF(AND(ISNUMBER(INDEX(rMed2,1616)),ISNUMBER(INDEX(rMed,1616))),INDEX(rMed,1616),NA()))</f>
        <v>2167750</v>
      </c>
    </row>
    <row r="1619">
      <c r="BX1619">
        <f>IF(OR(cMed=0,cMed2=0,1617&gt;nFilas),NA(),IF(AND(ISNUMBER(INDEX(rMed2,1617)),ISNUMBER(INDEX(rMed,1617))),INDEX(rMed2,1617),NA()))</f>
        <v>2</v>
      </c>
      <c r="BY1619">
        <f>IF(OR(cMed=0,cMed2=0,1617&gt;nFilas),NA(),IF(AND(ISNUMBER(INDEX(rMed2,1617)),ISNUMBER(INDEX(rMed,1617))),INDEX(rMed,1617),NA()))</f>
        <v>226550</v>
      </c>
    </row>
    <row r="1620">
      <c r="BX1620">
        <f>IF(OR(cMed=0,cMed2=0,1618&gt;nFilas),NA(),IF(AND(ISNUMBER(INDEX(rMed2,1618)),ISNUMBER(INDEX(rMed,1618))),INDEX(rMed2,1618),NA()))</f>
        <v>4</v>
      </c>
      <c r="BY1620">
        <f>IF(OR(cMed=0,cMed2=0,1618&gt;nFilas),NA(),IF(AND(ISNUMBER(INDEX(rMed2,1618)),ISNUMBER(INDEX(rMed,1618))),INDEX(rMed,1618),NA()))</f>
        <v>579140</v>
      </c>
    </row>
    <row r="1621">
      <c r="BX1621">
        <f>IF(OR(cMed=0,cMed2=0,1619&gt;nFilas),NA(),IF(AND(ISNUMBER(INDEX(rMed2,1619)),ISNUMBER(INDEX(rMed,1619))),INDEX(rMed2,1619),NA()))</f>
        <v>1</v>
      </c>
      <c r="BY1621">
        <f>IF(OR(cMed=0,cMed2=0,1619&gt;nFilas),NA(),IF(AND(ISNUMBER(INDEX(rMed2,1619)),ISNUMBER(INDEX(rMed,1619))),INDEX(rMed,1619),NA()))</f>
        <v>170085</v>
      </c>
    </row>
    <row r="1622">
      <c r="BX1622">
        <f>IF(OR(cMed=0,cMed2=0,1620&gt;nFilas),NA(),IF(AND(ISNUMBER(INDEX(rMed2,1620)),ISNUMBER(INDEX(rMed,1620))),INDEX(rMed2,1620),NA()))</f>
        <v>2</v>
      </c>
      <c r="BY1622">
        <f>IF(OR(cMed=0,cMed2=0,1620&gt;nFilas),NA(),IF(AND(ISNUMBER(INDEX(rMed2,1620)),ISNUMBER(INDEX(rMed,1620))),INDEX(rMed,1620),NA()))</f>
        <v>533370</v>
      </c>
    </row>
    <row r="1623">
      <c r="BX1623">
        <f>IF(OR(cMed=0,cMed2=0,1621&gt;nFilas),NA(),IF(AND(ISNUMBER(INDEX(rMed2,1621)),ISNUMBER(INDEX(rMed,1621))),INDEX(rMed2,1621),NA()))</f>
        <v>5</v>
      </c>
      <c r="BY1623">
        <f>IF(OR(cMed=0,cMed2=0,1621&gt;nFilas),NA(),IF(AND(ISNUMBER(INDEX(rMed2,1621)),ISNUMBER(INDEX(rMed,1621))),INDEX(rMed,1621),NA()))</f>
        <v>580750</v>
      </c>
    </row>
    <row r="1624">
      <c r="BX1624">
        <f>IF(OR(cMed=0,cMed2=0,1622&gt;nFilas),NA(),IF(AND(ISNUMBER(INDEX(rMed2,1622)),ISNUMBER(INDEX(rMed,1622))),INDEX(rMed2,1622),NA()))</f>
        <v>3</v>
      </c>
      <c r="BY1624">
        <f>IF(OR(cMed=0,cMed2=0,1622&gt;nFilas),NA(),IF(AND(ISNUMBER(INDEX(rMed2,1622)),ISNUMBER(INDEX(rMed,1622))),INDEX(rMed,1622),NA()))</f>
        <v>233565</v>
      </c>
    </row>
    <row r="1625">
      <c r="BX1625">
        <f>IF(OR(cMed=0,cMed2=0,1623&gt;nFilas),NA(),IF(AND(ISNUMBER(INDEX(rMed2,1623)),ISNUMBER(INDEX(rMed,1623))),INDEX(rMed2,1623),NA()))</f>
        <v>5</v>
      </c>
      <c r="BY1625">
        <f>IF(OR(cMed=0,cMed2=0,1623&gt;nFilas),NA(),IF(AND(ISNUMBER(INDEX(rMed2,1623)),ISNUMBER(INDEX(rMed,1623))),INDEX(rMed,1623),NA()))</f>
        <v>753825</v>
      </c>
    </row>
    <row r="1626">
      <c r="BX1626">
        <f>IF(OR(cMed=0,cMed2=0,1624&gt;nFilas),NA(),IF(AND(ISNUMBER(INDEX(rMed2,1624)),ISNUMBER(INDEX(rMed,1624))),INDEX(rMed2,1624),NA()))</f>
        <v>1</v>
      </c>
      <c r="BY1626">
        <f>IF(OR(cMed=0,cMed2=0,1624&gt;nFilas),NA(),IF(AND(ISNUMBER(INDEX(rMed2,1624)),ISNUMBER(INDEX(rMed,1624))),INDEX(rMed,1624),NA()))</f>
        <v>180205</v>
      </c>
    </row>
    <row r="1627">
      <c r="BX1627">
        <f>IF(OR(cMed=0,cMed2=0,1625&gt;nFilas),NA(),IF(AND(ISNUMBER(INDEX(rMed2,1625)),ISNUMBER(INDEX(rMed,1625))),INDEX(rMed2,1625),NA()))</f>
        <v>4</v>
      </c>
      <c r="BY1627">
        <f>IF(OR(cMed=0,cMed2=0,1625&gt;nFilas),NA(),IF(AND(ISNUMBER(INDEX(rMed2,1625)),ISNUMBER(INDEX(rMed,1625))),INDEX(rMed,1625),NA()))</f>
        <v>946220</v>
      </c>
    </row>
    <row r="1628">
      <c r="BX1628">
        <f>IF(OR(cMed=0,cMed2=0,1626&gt;nFilas),NA(),IF(AND(ISNUMBER(INDEX(rMed2,1626)),ISNUMBER(INDEX(rMed,1626))),INDEX(rMed2,1626),NA()))</f>
        <v>1</v>
      </c>
      <c r="BY1628">
        <f>IF(OR(cMed=0,cMed2=0,1626&gt;nFilas),NA(),IF(AND(ISNUMBER(INDEX(rMed2,1626)),ISNUMBER(INDEX(rMed,1626))),INDEX(rMed,1626),NA()))</f>
        <v>128455</v>
      </c>
    </row>
    <row r="1629">
      <c r="BX1629">
        <f>IF(OR(cMed=0,cMed2=0,1627&gt;nFilas),NA(),IF(AND(ISNUMBER(INDEX(rMed2,1627)),ISNUMBER(INDEX(rMed,1627))),INDEX(rMed2,1627),NA()))</f>
        <v>5</v>
      </c>
      <c r="BY1629">
        <f>IF(OR(cMed=0,cMed2=0,1627&gt;nFilas),NA(),IF(AND(ISNUMBER(INDEX(rMed2,1627)),ISNUMBER(INDEX(rMed,1627))),INDEX(rMed,1627),NA()))</f>
        <v>630775</v>
      </c>
    </row>
    <row r="1630">
      <c r="BX1630">
        <f>IF(OR(cMed=0,cMed2=0,1628&gt;nFilas),NA(),IF(AND(ISNUMBER(INDEX(rMed2,1628)),ISNUMBER(INDEX(rMed,1628))),INDEX(rMed2,1628),NA()))</f>
        <v>1</v>
      </c>
      <c r="BY1630">
        <f>IF(OR(cMed=0,cMed2=0,1628&gt;nFilas),NA(),IF(AND(ISNUMBER(INDEX(rMed2,1628)),ISNUMBER(INDEX(rMed,1628))),INDEX(rMed,1628),NA()))</f>
        <v>244900</v>
      </c>
    </row>
    <row r="1631">
      <c r="BX1631">
        <f>IF(OR(cMed=0,cMed2=0,1629&gt;nFilas),NA(),IF(AND(ISNUMBER(INDEX(rMed2,1629)),ISNUMBER(INDEX(rMed,1629))),INDEX(rMed2,1629),NA()))</f>
        <v>1</v>
      </c>
      <c r="BY1631">
        <f>IF(OR(cMed=0,cMed2=0,1629&gt;nFilas),NA(),IF(AND(ISNUMBER(INDEX(rMed2,1629)),ISNUMBER(INDEX(rMed,1629))),INDEX(rMed,1629),NA()))</f>
        <v>103900</v>
      </c>
    </row>
    <row r="1632">
      <c r="BX1632">
        <f>IF(OR(cMed=0,cMed2=0,1630&gt;nFilas),NA(),IF(AND(ISNUMBER(INDEX(rMed2,1630)),ISNUMBER(INDEX(rMed,1630))),INDEX(rMed2,1630),NA()))</f>
        <v>4</v>
      </c>
      <c r="BY1632">
        <f>IF(OR(cMed=0,cMed2=0,1630&gt;nFilas),NA(),IF(AND(ISNUMBER(INDEX(rMed2,1630)),ISNUMBER(INDEX(rMed,1630))),INDEX(rMed,1630),NA()))</f>
        <v>700800</v>
      </c>
    </row>
    <row r="1633">
      <c r="BX1633">
        <f>IF(OR(cMed=0,cMed2=0,1631&gt;nFilas),NA(),IF(AND(ISNUMBER(INDEX(rMed2,1631)),ISNUMBER(INDEX(rMed,1631))),INDEX(rMed2,1631),NA()))</f>
        <v>4</v>
      </c>
      <c r="BY1633">
        <f>IF(OR(cMed=0,cMed2=0,1631&gt;nFilas),NA(),IF(AND(ISNUMBER(INDEX(rMed2,1631)),ISNUMBER(INDEX(rMed,1631))),INDEX(rMed,1631),NA()))</f>
        <v>694000</v>
      </c>
    </row>
    <row r="1634">
      <c r="BX1634">
        <f>IF(OR(cMed=0,cMed2=0,1632&gt;nFilas),NA(),IF(AND(ISNUMBER(INDEX(rMed2,1632)),ISNUMBER(INDEX(rMed,1632))),INDEX(rMed2,1632),NA()))</f>
        <v>1</v>
      </c>
      <c r="BY1634">
        <f>IF(OR(cMed=0,cMed2=0,1632&gt;nFilas),NA(),IF(AND(ISNUMBER(INDEX(rMed2,1632)),ISNUMBER(INDEX(rMed,1632))),INDEX(rMed,1632),NA()))</f>
        <v>703600</v>
      </c>
    </row>
    <row r="1635">
      <c r="BX1635">
        <f>IF(OR(cMed=0,cMed2=0,1633&gt;nFilas),NA(),IF(AND(ISNUMBER(INDEX(rMed2,1633)),ISNUMBER(INDEX(rMed,1633))),INDEX(rMed2,1633),NA()))</f>
        <v>3</v>
      </c>
      <c r="BY1635">
        <f>IF(OR(cMed=0,cMed2=0,1633&gt;nFilas),NA(),IF(AND(ISNUMBER(INDEX(rMed2,1633)),ISNUMBER(INDEX(rMed,1633))),INDEX(rMed,1633),NA()))</f>
        <v>715800</v>
      </c>
    </row>
    <row r="1636">
      <c r="BX1636">
        <f>IF(OR(cMed=0,cMed2=0,1634&gt;nFilas),NA(),IF(AND(ISNUMBER(INDEX(rMed2,1634)),ISNUMBER(INDEX(rMed,1634))),INDEX(rMed2,1634),NA()))</f>
        <v>4</v>
      </c>
      <c r="BY1636">
        <f>IF(OR(cMed=0,cMed2=0,1634&gt;nFilas),NA(),IF(AND(ISNUMBER(INDEX(rMed2,1634)),ISNUMBER(INDEX(rMed,1634))),INDEX(rMed,1634),NA()))</f>
        <v>309200</v>
      </c>
    </row>
    <row r="1637">
      <c r="BX1637">
        <f>IF(OR(cMed=0,cMed2=0,1635&gt;nFilas),NA(),IF(AND(ISNUMBER(INDEX(rMed2,1635)),ISNUMBER(INDEX(rMed,1635))),INDEX(rMed2,1635),NA()))</f>
        <v>5</v>
      </c>
      <c r="BY1637">
        <f>IF(OR(cMed=0,cMed2=0,1635&gt;nFilas),NA(),IF(AND(ISNUMBER(INDEX(rMed2,1635)),ISNUMBER(INDEX(rMed,1635))),INDEX(rMed,1635),NA()))</f>
        <v>558000</v>
      </c>
    </row>
    <row r="1638">
      <c r="BX1638">
        <f>IF(OR(cMed=0,cMed2=0,1636&gt;nFilas),NA(),IF(AND(ISNUMBER(INDEX(rMed2,1636)),ISNUMBER(INDEX(rMed,1636))),INDEX(rMed2,1636),NA()))</f>
        <v>3</v>
      </c>
      <c r="BY1638">
        <f>IF(OR(cMed=0,cMed2=0,1636&gt;nFilas),NA(),IF(AND(ISNUMBER(INDEX(rMed2,1636)),ISNUMBER(INDEX(rMed,1636))),INDEX(rMed,1636),NA()))</f>
        <v>455100</v>
      </c>
    </row>
    <row r="1639">
      <c r="BX1639">
        <f>IF(OR(cMed=0,cMed2=0,1637&gt;nFilas),NA(),IF(AND(ISNUMBER(INDEX(rMed2,1637)),ISNUMBER(INDEX(rMed,1637))),INDEX(rMed2,1637),NA()))</f>
        <v>3</v>
      </c>
      <c r="BY1639">
        <f>IF(OR(cMed=0,cMed2=0,1637&gt;nFilas),NA(),IF(AND(ISNUMBER(INDEX(rMed2,1637)),ISNUMBER(INDEX(rMed,1637))),INDEX(rMed,1637),NA()))</f>
        <v>228900</v>
      </c>
    </row>
    <row r="1640">
      <c r="BX1640">
        <f>IF(OR(cMed=0,cMed2=0,1638&gt;nFilas),NA(),IF(AND(ISNUMBER(INDEX(rMed2,1638)),ISNUMBER(INDEX(rMed,1638))),INDEX(rMed2,1638),NA()))</f>
        <v>5</v>
      </c>
      <c r="BY1640">
        <f>IF(OR(cMed=0,cMed2=0,1638&gt;nFilas),NA(),IF(AND(ISNUMBER(INDEX(rMed2,1638)),ISNUMBER(INDEX(rMed,1638))),INDEX(rMed,1638),NA()))</f>
        <v>3936500</v>
      </c>
    </row>
    <row r="1641">
      <c r="BX1641">
        <f>IF(OR(cMed=0,cMed2=0,1639&gt;nFilas),NA(),IF(AND(ISNUMBER(INDEX(rMed2,1639)),ISNUMBER(INDEX(rMed,1639))),INDEX(rMed2,1639),NA()))</f>
        <v>4</v>
      </c>
      <c r="BY1641">
        <f>IF(OR(cMed=0,cMed2=0,1639&gt;nFilas),NA(),IF(AND(ISNUMBER(INDEX(rMed2,1639)),ISNUMBER(INDEX(rMed,1639))),INDEX(rMed,1639),NA()))</f>
        <v>3487200</v>
      </c>
    </row>
    <row r="1642">
      <c r="BX1642">
        <f>IF(OR(cMed=0,cMed2=0,1640&gt;nFilas),NA(),IF(AND(ISNUMBER(INDEX(rMed2,1640)),ISNUMBER(INDEX(rMed,1640))),INDEX(rMed2,1640),NA()))</f>
        <v>1</v>
      </c>
      <c r="BY1642">
        <f>IF(OR(cMed=0,cMed2=0,1640&gt;nFilas),NA(),IF(AND(ISNUMBER(INDEX(rMed2,1640)),ISNUMBER(INDEX(rMed,1640))),INDEX(rMed,1640),NA()))</f>
        <v>143800</v>
      </c>
    </row>
    <row r="1643">
      <c r="BX1643">
        <f>IF(OR(cMed=0,cMed2=0,1641&gt;nFilas),NA(),IF(AND(ISNUMBER(INDEX(rMed2,1641)),ISNUMBER(INDEX(rMed,1641))),INDEX(rMed2,1641),NA()))</f>
        <v>1</v>
      </c>
      <c r="BY1643">
        <f>IF(OR(cMed=0,cMed2=0,1641&gt;nFilas),NA(),IF(AND(ISNUMBER(INDEX(rMed2,1641)),ISNUMBER(INDEX(rMed,1641))),INDEX(rMed,1641),NA()))</f>
        <v>126100</v>
      </c>
    </row>
    <row r="1644">
      <c r="BX1644">
        <f>IF(OR(cMed=0,cMed2=0,1642&gt;nFilas),NA(),IF(AND(ISNUMBER(INDEX(rMed2,1642)),ISNUMBER(INDEX(rMed,1642))),INDEX(rMed2,1642),NA()))</f>
        <v>2</v>
      </c>
      <c r="BY1644">
        <f>IF(OR(cMed=0,cMed2=0,1642&gt;nFilas),NA(),IF(AND(ISNUMBER(INDEX(rMed2,1642)),ISNUMBER(INDEX(rMed,1642))),INDEX(rMed,1642),NA()))</f>
        <v>148200</v>
      </c>
    </row>
    <row r="1645">
      <c r="BX1645">
        <f>IF(OR(cMed=0,cMed2=0,1643&gt;nFilas),NA(),IF(AND(ISNUMBER(INDEX(rMed2,1643)),ISNUMBER(INDEX(rMed,1643))),INDEX(rMed2,1643),NA()))</f>
        <v>1</v>
      </c>
      <c r="BY1645">
        <f>IF(OR(cMed=0,cMed2=0,1643&gt;nFilas),NA(),IF(AND(ISNUMBER(INDEX(rMed2,1643)),ISNUMBER(INDEX(rMed,1643))),INDEX(rMed,1643),NA()))</f>
        <v>87055</v>
      </c>
    </row>
    <row r="1646">
      <c r="BX1646">
        <f>IF(OR(cMed=0,cMed2=0,1644&gt;nFilas),NA(),IF(AND(ISNUMBER(INDEX(rMed2,1644)),ISNUMBER(INDEX(rMed,1644))),INDEX(rMed2,1644),NA()))</f>
        <v>4</v>
      </c>
      <c r="BY1646">
        <f>IF(OR(cMed=0,cMed2=0,1644&gt;nFilas),NA(),IF(AND(ISNUMBER(INDEX(rMed2,1644)),ISNUMBER(INDEX(rMed,1644))),INDEX(rMed,1644),NA()))</f>
        <v>541420</v>
      </c>
    </row>
    <row r="1647">
      <c r="BX1647">
        <f>IF(OR(cMed=0,cMed2=0,1645&gt;nFilas),NA(),IF(AND(ISNUMBER(INDEX(rMed2,1645)),ISNUMBER(INDEX(rMed,1645))),INDEX(rMed2,1645),NA()))</f>
        <v>4</v>
      </c>
      <c r="BY1647">
        <f>IF(OR(cMed=0,cMed2=0,1645&gt;nFilas),NA(),IF(AND(ISNUMBER(INDEX(rMed2,1645)),ISNUMBER(INDEX(rMed,1645))),INDEX(rMed,1645),NA()))</f>
        <v>4128960</v>
      </c>
    </row>
    <row r="1648">
      <c r="BX1648">
        <f>IF(OR(cMed=0,cMed2=0,1646&gt;nFilas),NA(),IF(AND(ISNUMBER(INDEX(rMed2,1646)),ISNUMBER(INDEX(rMed,1646))),INDEX(rMed2,1646),NA()))</f>
        <v>5</v>
      </c>
      <c r="BY1648">
        <f>IF(OR(cMed=0,cMed2=0,1646&gt;nFilas),NA(),IF(AND(ISNUMBER(INDEX(rMed2,1646)),ISNUMBER(INDEX(rMed,1646))),INDEX(rMed,1646),NA()))</f>
        <v>457700</v>
      </c>
    </row>
    <row r="1649">
      <c r="BX1649">
        <f>IF(OR(cMed=0,cMed2=0,1647&gt;nFilas),NA(),IF(AND(ISNUMBER(INDEX(rMed2,1647)),ISNUMBER(INDEX(rMed,1647))),INDEX(rMed2,1647),NA()))</f>
        <v>1</v>
      </c>
      <c r="BY1649">
        <f>IF(OR(cMed=0,cMed2=0,1647&gt;nFilas),NA(),IF(AND(ISNUMBER(INDEX(rMed2,1647)),ISNUMBER(INDEX(rMed,1647))),INDEX(rMed,1647),NA()))</f>
        <v>216085</v>
      </c>
    </row>
    <row r="1650">
      <c r="BX1650">
        <f>IF(OR(cMed=0,cMed2=0,1648&gt;nFilas),NA(),IF(AND(ISNUMBER(INDEX(rMed2,1648)),ISNUMBER(INDEX(rMed,1648))),INDEX(rMed2,1648),NA()))</f>
        <v>1</v>
      </c>
      <c r="BY1650">
        <f>IF(OR(cMed=0,cMed2=0,1648&gt;nFilas),NA(),IF(AND(ISNUMBER(INDEX(rMed2,1648)),ISNUMBER(INDEX(rMed,1648))),INDEX(rMed,1648),NA()))</f>
        <v>121900</v>
      </c>
    </row>
    <row r="1651">
      <c r="BX1651">
        <f>IF(OR(cMed=0,cMed2=0,1649&gt;nFilas),NA(),IF(AND(ISNUMBER(INDEX(rMed2,1649)),ISNUMBER(INDEX(rMed,1649))),INDEX(rMed2,1649),NA()))</f>
        <v>4</v>
      </c>
      <c r="BY1651">
        <f>IF(OR(cMed=0,cMed2=0,1649&gt;nFilas),NA(),IF(AND(ISNUMBER(INDEX(rMed2,1649)),ISNUMBER(INDEX(rMed,1649))),INDEX(rMed,1649),NA()))</f>
        <v>497720</v>
      </c>
    </row>
    <row r="1652">
      <c r="BX1652">
        <f>IF(OR(cMed=0,cMed2=0,1650&gt;nFilas),NA(),IF(AND(ISNUMBER(INDEX(rMed2,1650)),ISNUMBER(INDEX(rMed,1650))),INDEX(rMed2,1650),NA()))</f>
        <v>3</v>
      </c>
      <c r="BY1652">
        <f>IF(OR(cMed=0,cMed2=0,1650&gt;nFilas),NA(),IF(AND(ISNUMBER(INDEX(rMed2,1650)),ISNUMBER(INDEX(rMed,1650))),INDEX(rMed,1650),NA()))</f>
        <v>298080</v>
      </c>
    </row>
    <row r="1653">
      <c r="BX1653">
        <f>IF(OR(cMed=0,cMed2=0,1651&gt;nFilas),NA(),IF(AND(ISNUMBER(INDEX(rMed2,1651)),ISNUMBER(INDEX(rMed,1651))),INDEX(rMed2,1651),NA()))</f>
        <v>2</v>
      </c>
      <c r="BY1653">
        <f>IF(OR(cMed=0,cMed2=0,1651&gt;nFilas),NA(),IF(AND(ISNUMBER(INDEX(rMed2,1651)),ISNUMBER(INDEX(rMed,1651))),INDEX(rMed,1651),NA()))</f>
        <v>407330</v>
      </c>
    </row>
    <row r="1654">
      <c r="BX1654">
        <f>IF(OR(cMed=0,cMed2=0,1652&gt;nFilas),NA(),IF(AND(ISNUMBER(INDEX(rMed2,1652)),ISNUMBER(INDEX(rMed,1652))),INDEX(rMed2,1652),NA()))</f>
        <v>4</v>
      </c>
      <c r="BY1654">
        <f>IF(OR(cMed=0,cMed2=0,1652&gt;nFilas),NA(),IF(AND(ISNUMBER(INDEX(rMed2,1652)),ISNUMBER(INDEX(rMed,1652))),INDEX(rMed,1652),NA()))</f>
        <v>3460120</v>
      </c>
    </row>
    <row r="1655">
      <c r="BX1655">
        <f>IF(OR(cMed=0,cMed2=0,1653&gt;nFilas),NA(),IF(AND(ISNUMBER(INDEX(rMed2,1653)),ISNUMBER(INDEX(rMed,1653))),INDEX(rMed2,1653),NA()))</f>
        <v>3</v>
      </c>
      <c r="BY1655">
        <f>IF(OR(cMed=0,cMed2=0,1653&gt;nFilas),NA(),IF(AND(ISNUMBER(INDEX(rMed2,1653)),ISNUMBER(INDEX(rMed,1653))),INDEX(rMed,1653),NA()))</f>
        <v>453330</v>
      </c>
    </row>
    <row r="1656">
      <c r="BX1656">
        <f>IF(OR(cMed=0,cMed2=0,1654&gt;nFilas),NA(),IF(AND(ISNUMBER(INDEX(rMed2,1654)),ISNUMBER(INDEX(rMed,1654))),INDEX(rMed2,1654),NA()))</f>
        <v>5</v>
      </c>
      <c r="BY1656">
        <f>IF(OR(cMed=0,cMed2=0,1654&gt;nFilas),NA(),IF(AND(ISNUMBER(INDEX(rMed2,1654)),ISNUMBER(INDEX(rMed,1654))),INDEX(rMed,1654),NA()))</f>
        <v>878025</v>
      </c>
    </row>
    <row r="1657">
      <c r="BX1657">
        <f>IF(OR(cMed=0,cMed2=0,1655&gt;nFilas),NA(),IF(AND(ISNUMBER(INDEX(rMed2,1655)),ISNUMBER(INDEX(rMed,1655))),INDEX(rMed2,1655),NA()))</f>
        <v>1</v>
      </c>
      <c r="BY1657">
        <f>IF(OR(cMed=0,cMed2=0,1655&gt;nFilas),NA(),IF(AND(ISNUMBER(INDEX(rMed2,1655)),ISNUMBER(INDEX(rMed,1655))),INDEX(rMed,1655),NA()))</f>
        <v>74900</v>
      </c>
    </row>
    <row r="1658">
      <c r="BX1658">
        <f>IF(OR(cMed=0,cMed2=0,1656&gt;nFilas),NA(),IF(AND(ISNUMBER(INDEX(rMed2,1656)),ISNUMBER(INDEX(rMed,1656))),INDEX(rMed2,1656),NA()))</f>
        <v>4</v>
      </c>
      <c r="BY1658">
        <f>IF(OR(cMed=0,cMed2=0,1656&gt;nFilas),NA(),IF(AND(ISNUMBER(INDEX(rMed2,1656)),ISNUMBER(INDEX(rMed,1656))),INDEX(rMed,1656),NA()))</f>
        <v>278400</v>
      </c>
    </row>
    <row r="1659">
      <c r="BX1659">
        <f>IF(OR(cMed=0,cMed2=0,1657&gt;nFilas),NA(),IF(AND(ISNUMBER(INDEX(rMed2,1657)),ISNUMBER(INDEX(rMed,1657))),INDEX(rMed2,1657),NA()))</f>
        <v>5</v>
      </c>
      <c r="BY1659">
        <f>IF(OR(cMed=0,cMed2=0,1657&gt;nFilas),NA(),IF(AND(ISNUMBER(INDEX(rMed2,1657)),ISNUMBER(INDEX(rMed,1657))),INDEX(rMed,1657),NA()))</f>
        <v>375500</v>
      </c>
    </row>
    <row r="1660">
      <c r="BX1660">
        <f>IF(OR(cMed=0,cMed2=0,1658&gt;nFilas),NA(),IF(AND(ISNUMBER(INDEX(rMed2,1658)),ISNUMBER(INDEX(rMed,1658))),INDEX(rMed2,1658),NA()))</f>
        <v>1</v>
      </c>
      <c r="BY1660">
        <f>IF(OR(cMed=0,cMed2=0,1658&gt;nFilas),NA(),IF(AND(ISNUMBER(INDEX(rMed2,1658)),ISNUMBER(INDEX(rMed,1658))),INDEX(rMed,1658),NA()))</f>
        <v>165800</v>
      </c>
    </row>
    <row r="1661">
      <c r="BX1661">
        <f>IF(OR(cMed=0,cMed2=0,1659&gt;nFilas),NA(),IF(AND(ISNUMBER(INDEX(rMed2,1659)),ISNUMBER(INDEX(rMed,1659))),INDEX(rMed2,1659),NA()))</f>
        <v>5</v>
      </c>
      <c r="BY1661">
        <f>IF(OR(cMed=0,cMed2=0,1659&gt;nFilas),NA(),IF(AND(ISNUMBER(INDEX(rMed2,1659)),ISNUMBER(INDEX(rMed,1659))),INDEX(rMed,1659),NA()))</f>
        <v>497000</v>
      </c>
    </row>
    <row r="1662">
      <c r="BX1662">
        <f>IF(OR(cMed=0,cMed2=0,1660&gt;nFilas),NA(),IF(AND(ISNUMBER(INDEX(rMed2,1660)),ISNUMBER(INDEX(rMed,1660))),INDEX(rMed2,1660),NA()))</f>
        <v>2</v>
      </c>
      <c r="BY1662">
        <f>IF(OR(cMed=0,cMed2=0,1660&gt;nFilas),NA(),IF(AND(ISNUMBER(INDEX(rMed2,1660)),ISNUMBER(INDEX(rMed,1660))),INDEX(rMed,1660),NA()))</f>
        <v>287600</v>
      </c>
    </row>
    <row r="1663">
      <c r="BX1663">
        <f>IF(OR(cMed=0,cMed2=0,1661&gt;nFilas),NA(),IF(AND(ISNUMBER(INDEX(rMed2,1661)),ISNUMBER(INDEX(rMed,1661))),INDEX(rMed2,1661),NA()))</f>
        <v>1</v>
      </c>
      <c r="BY1663">
        <f>IF(OR(cMed=0,cMed2=0,1661&gt;nFilas),NA(),IF(AND(ISNUMBER(INDEX(rMed2,1661)),ISNUMBER(INDEX(rMed,1661))),INDEX(rMed,1661),NA()))</f>
        <v>58900</v>
      </c>
    </row>
    <row r="1664">
      <c r="BX1664">
        <f>IF(OR(cMed=0,cMed2=0,1662&gt;nFilas),NA(),IF(AND(ISNUMBER(INDEX(rMed2,1662)),ISNUMBER(INDEX(rMed,1662))),INDEX(rMed2,1662),NA()))</f>
        <v>1</v>
      </c>
      <c r="BY1664">
        <f>IF(OR(cMed=0,cMed2=0,1662&gt;nFilas),NA(),IF(AND(ISNUMBER(INDEX(rMed2,1662)),ISNUMBER(INDEX(rMed,1662))),INDEX(rMed,1662),NA()))</f>
        <v>262100</v>
      </c>
    </row>
    <row r="1665">
      <c r="BX1665">
        <f>IF(OR(cMed=0,cMed2=0,1663&gt;nFilas),NA(),IF(AND(ISNUMBER(INDEX(rMed2,1663)),ISNUMBER(INDEX(rMed,1663))),INDEX(rMed2,1663),NA()))</f>
        <v>1</v>
      </c>
      <c r="BY1665">
        <f>IF(OR(cMed=0,cMed2=0,1663&gt;nFilas),NA(),IF(AND(ISNUMBER(INDEX(rMed2,1663)),ISNUMBER(INDEX(rMed,1663))),INDEX(rMed,1663),NA()))</f>
        <v>99400</v>
      </c>
    </row>
    <row r="1666">
      <c r="BX1666">
        <f>IF(OR(cMed=0,cMed2=0,1664&gt;nFilas),NA(),IF(AND(ISNUMBER(INDEX(rMed2,1664)),ISNUMBER(INDEX(rMed,1664))),INDEX(rMed2,1664),NA()))</f>
        <v>2</v>
      </c>
      <c r="BY1666">
        <f>IF(OR(cMed=0,cMed2=0,1664&gt;nFilas),NA(),IF(AND(ISNUMBER(INDEX(rMed2,1664)),ISNUMBER(INDEX(rMed,1664))),INDEX(rMed,1664),NA()))</f>
        <v>1651200</v>
      </c>
    </row>
    <row r="1667">
      <c r="BX1667">
        <f>IF(OR(cMed=0,cMed2=0,1665&gt;nFilas),NA(),IF(AND(ISNUMBER(INDEX(rMed2,1665)),ISNUMBER(INDEX(rMed,1665))),INDEX(rMed2,1665),NA()))</f>
        <v>2</v>
      </c>
      <c r="BY1667">
        <f>IF(OR(cMed=0,cMed2=0,1665&gt;nFilas),NA(),IF(AND(ISNUMBER(INDEX(rMed2,1665)),ISNUMBER(INDEX(rMed,1665))),INDEX(rMed,1665),NA()))</f>
        <v>1672800</v>
      </c>
    </row>
    <row r="1668">
      <c r="BX1668">
        <f>IF(OR(cMed=0,cMed2=0,1666&gt;nFilas),NA(),IF(AND(ISNUMBER(INDEX(rMed2,1666)),ISNUMBER(INDEX(rMed,1666))),INDEX(rMed2,1666),NA()))</f>
        <v>5</v>
      </c>
      <c r="BY1668">
        <f>IF(OR(cMed=0,cMed2=0,1666&gt;nFilas),NA(),IF(AND(ISNUMBER(INDEX(rMed2,1666)),ISNUMBER(INDEX(rMed,1666))),INDEX(rMed,1666),NA()))</f>
        <v>362000</v>
      </c>
    </row>
    <row r="1669">
      <c r="BX1669">
        <f>IF(OR(cMed=0,cMed2=0,1667&gt;nFilas),NA(),IF(AND(ISNUMBER(INDEX(rMed2,1667)),ISNUMBER(INDEX(rMed,1667))),INDEX(rMed2,1667),NA()))</f>
        <v>4</v>
      </c>
      <c r="BY1669">
        <f>IF(OR(cMed=0,cMed2=0,1667&gt;nFilas),NA(),IF(AND(ISNUMBER(INDEX(rMed2,1667)),ISNUMBER(INDEX(rMed,1667))),INDEX(rMed,1667),NA()))</f>
        <v>398800</v>
      </c>
    </row>
    <row r="1670">
      <c r="BX1670">
        <f>IF(OR(cMed=0,cMed2=0,1668&gt;nFilas),NA(),IF(AND(ISNUMBER(INDEX(rMed2,1668)),ISNUMBER(INDEX(rMed,1668))),INDEX(rMed2,1668),NA()))</f>
        <v>1</v>
      </c>
      <c r="BY1670">
        <f>IF(OR(cMed=0,cMed2=0,1668&gt;nFilas),NA(),IF(AND(ISNUMBER(INDEX(rMed2,1668)),ISNUMBER(INDEX(rMed,1668))),INDEX(rMed,1668),NA()))</f>
        <v>96300</v>
      </c>
    </row>
    <row r="1671">
      <c r="BX1671">
        <f>IF(OR(cMed=0,cMed2=0,1669&gt;nFilas),NA(),IF(AND(ISNUMBER(INDEX(rMed2,1669)),ISNUMBER(INDEX(rMed,1669))),INDEX(rMed2,1669),NA()))</f>
        <v>2</v>
      </c>
      <c r="BY1671">
        <f>IF(OR(cMed=0,cMed2=0,1669&gt;nFilas),NA(),IF(AND(ISNUMBER(INDEX(rMed2,1669)),ISNUMBER(INDEX(rMed,1669))),INDEX(rMed,1669),NA()))</f>
        <v>1808400</v>
      </c>
    </row>
    <row r="1672">
      <c r="BX1672">
        <f>IF(OR(cMed=0,cMed2=0,1670&gt;nFilas),NA(),IF(AND(ISNUMBER(INDEX(rMed2,1670)),ISNUMBER(INDEX(rMed,1670))),INDEX(rMed2,1670),NA()))</f>
        <v>3</v>
      </c>
      <c r="BY1672">
        <f>IF(OR(cMed=0,cMed2=0,1670&gt;nFilas),NA(),IF(AND(ISNUMBER(INDEX(rMed2,1670)),ISNUMBER(INDEX(rMed,1670))),INDEX(rMed,1670),NA()))</f>
        <v>231000</v>
      </c>
    </row>
    <row r="1673">
      <c r="BX1673">
        <f>IF(OR(cMed=0,cMed2=0,1671&gt;nFilas),NA(),IF(AND(ISNUMBER(INDEX(rMed2,1671)),ISNUMBER(INDEX(rMed,1671))),INDEX(rMed2,1671),NA()))</f>
        <v>4</v>
      </c>
      <c r="BY1673">
        <f>IF(OR(cMed=0,cMed2=0,1671&gt;nFilas),NA(),IF(AND(ISNUMBER(INDEX(rMed2,1671)),ISNUMBER(INDEX(rMed,1671))),INDEX(rMed,1671),NA()))</f>
        <v>358400</v>
      </c>
    </row>
    <row r="1674">
      <c r="BX1674">
        <f>IF(OR(cMed=0,cMed2=0,1672&gt;nFilas),NA(),IF(AND(ISNUMBER(INDEX(rMed2,1672)),ISNUMBER(INDEX(rMed,1672))),INDEX(rMed2,1672),NA()))</f>
        <v>2</v>
      </c>
      <c r="BY1674">
        <f>IF(OR(cMed=0,cMed2=0,1672&gt;nFilas),NA(),IF(AND(ISNUMBER(INDEX(rMed2,1672)),ISNUMBER(INDEX(rMed,1672))),INDEX(rMed,1672),NA()))</f>
        <v>367000</v>
      </c>
    </row>
    <row r="1675">
      <c r="BX1675">
        <f>IF(OR(cMed=0,cMed2=0,1673&gt;nFilas),NA(),IF(AND(ISNUMBER(INDEX(rMed2,1673)),ISNUMBER(INDEX(rMed,1673))),INDEX(rMed2,1673),NA()))</f>
        <v>1</v>
      </c>
      <c r="BY1675">
        <f>IF(OR(cMed=0,cMed2=0,1673&gt;nFilas),NA(),IF(AND(ISNUMBER(INDEX(rMed2,1673)),ISNUMBER(INDEX(rMed,1673))),INDEX(rMed,1673),NA()))</f>
        <v>96100</v>
      </c>
    </row>
    <row r="1676">
      <c r="BX1676">
        <f>IF(OR(cMed=0,cMed2=0,1674&gt;nFilas),NA(),IF(AND(ISNUMBER(INDEX(rMed2,1674)),ISNUMBER(INDEX(rMed,1674))),INDEX(rMed2,1674),NA()))</f>
        <v>2</v>
      </c>
      <c r="BY1676">
        <f>IF(OR(cMed=0,cMed2=0,1674&gt;nFilas),NA(),IF(AND(ISNUMBER(INDEX(rMed2,1674)),ISNUMBER(INDEX(rMed,1674))),INDEX(rMed,1674),NA()))</f>
        <v>358340</v>
      </c>
    </row>
    <row r="1677">
      <c r="BX1677">
        <f>IF(OR(cMed=0,cMed2=0,1675&gt;nFilas),NA(),IF(AND(ISNUMBER(INDEX(rMed2,1675)),ISNUMBER(INDEX(rMed,1675))),INDEX(rMed2,1675),NA()))</f>
        <v>1</v>
      </c>
      <c r="BY1677">
        <f>IF(OR(cMed=0,cMed2=0,1675&gt;nFilas),NA(),IF(AND(ISNUMBER(INDEX(rMed2,1675)),ISNUMBER(INDEX(rMed,1675))),INDEX(rMed,1675),NA()))</f>
        <v>104535</v>
      </c>
    </row>
    <row r="1678">
      <c r="BX1678">
        <f>IF(OR(cMed=0,cMed2=0,1676&gt;nFilas),NA(),IF(AND(ISNUMBER(INDEX(rMed2,1676)),ISNUMBER(INDEX(rMed,1676))),INDEX(rMed2,1676),NA()))</f>
        <v>3</v>
      </c>
      <c r="BY1678">
        <f>IF(OR(cMed=0,cMed2=0,1676&gt;nFilas),NA(),IF(AND(ISNUMBER(INDEX(rMed2,1676)),ISNUMBER(INDEX(rMed,1676))),INDEX(rMed,1676),NA()))</f>
        <v>290835</v>
      </c>
    </row>
    <row r="1679">
      <c r="BX1679">
        <f>IF(OR(cMed=0,cMed2=0,1677&gt;nFilas),NA(),IF(AND(ISNUMBER(INDEX(rMed2,1677)),ISNUMBER(INDEX(rMed,1677))),INDEX(rMed2,1677),NA()))</f>
        <v>3</v>
      </c>
      <c r="BY1679">
        <f>IF(OR(cMed=0,cMed2=0,1677&gt;nFilas),NA(),IF(AND(ISNUMBER(INDEX(rMed2,1677)),ISNUMBER(INDEX(rMed,1677))),INDEX(rMed,1677),NA()))</f>
        <v>3176760</v>
      </c>
    </row>
    <row r="1680">
      <c r="BX1680">
        <f>IF(OR(cMed=0,cMed2=0,1678&gt;nFilas),NA(),IF(AND(ISNUMBER(INDEX(rMed2,1678)),ISNUMBER(INDEX(rMed,1678))),INDEX(rMed2,1678),NA()))</f>
        <v>1</v>
      </c>
      <c r="BY1680">
        <f>IF(OR(cMed=0,cMed2=0,1678&gt;nFilas),NA(),IF(AND(ISNUMBER(INDEX(rMed2,1678)),ISNUMBER(INDEX(rMed,1678))),INDEX(rMed,1678),NA()))</f>
        <v>869745</v>
      </c>
    </row>
    <row r="1681">
      <c r="BX1681">
        <f>IF(OR(cMed=0,cMed2=0,1679&gt;nFilas),NA(),IF(AND(ISNUMBER(INDEX(rMed2,1679)),ISNUMBER(INDEX(rMed,1679))),INDEX(rMed2,1679),NA()))</f>
        <v>2</v>
      </c>
      <c r="BY1681">
        <f>IF(OR(cMed=0,cMed2=0,1679&gt;nFilas),NA(),IF(AND(ISNUMBER(INDEX(rMed2,1679)),ISNUMBER(INDEX(rMed,1679))),INDEX(rMed,1679),NA()))</f>
        <v>149730</v>
      </c>
    </row>
    <row r="1682">
      <c r="BX1682">
        <f>IF(OR(cMed=0,cMed2=0,1680&gt;nFilas),NA(),IF(AND(ISNUMBER(INDEX(rMed2,1680)),ISNUMBER(INDEX(rMed,1680))),INDEX(rMed2,1680),NA()))</f>
        <v>3</v>
      </c>
      <c r="BY1682">
        <f>IF(OR(cMed=0,cMed2=0,1680&gt;nFilas),NA(),IF(AND(ISNUMBER(INDEX(rMed2,1680)),ISNUMBER(INDEX(rMed,1680))),INDEX(rMed,1680),NA()))</f>
        <v>397095</v>
      </c>
    </row>
    <row r="1683">
      <c r="BX1683">
        <f>IF(OR(cMed=0,cMed2=0,1681&gt;nFilas),NA(),IF(AND(ISNUMBER(INDEX(rMed2,1681)),ISNUMBER(INDEX(rMed,1681))),INDEX(rMed2,1681),NA()))</f>
        <v>1</v>
      </c>
      <c r="BY1683">
        <f>IF(OR(cMed=0,cMed2=0,1681&gt;nFilas),NA(),IF(AND(ISNUMBER(INDEX(rMed2,1681)),ISNUMBER(INDEX(rMed,1681))),INDEX(rMed,1681),NA()))</f>
        <v>179170</v>
      </c>
    </row>
    <row r="1684">
      <c r="BX1684">
        <f>IF(OR(cMed=0,cMed2=0,1682&gt;nFilas),NA(),IF(AND(ISNUMBER(INDEX(rMed2,1682)),ISNUMBER(INDEX(rMed,1682))),INDEX(rMed2,1682),NA()))</f>
        <v>4</v>
      </c>
      <c r="BY1684">
        <f>IF(OR(cMed=0,cMed2=0,1682&gt;nFilas),NA(),IF(AND(ISNUMBER(INDEX(rMed2,1682)),ISNUMBER(INDEX(rMed,1682))),INDEX(rMed,1682),NA()))</f>
        <v>581900</v>
      </c>
    </row>
    <row r="1685">
      <c r="BX1685">
        <f>IF(OR(cMed=0,cMed2=0,1683&gt;nFilas),NA(),IF(AND(ISNUMBER(INDEX(rMed2,1683)),ISNUMBER(INDEX(rMed,1683))),INDEX(rMed2,1683),NA()))</f>
        <v>1</v>
      </c>
      <c r="BY1685">
        <f>IF(OR(cMed=0,cMed2=0,1683&gt;nFilas),NA(),IF(AND(ISNUMBER(INDEX(rMed2,1683)),ISNUMBER(INDEX(rMed,1683))),INDEX(rMed,1683),NA()))</f>
        <v>196075</v>
      </c>
    </row>
    <row r="1686">
      <c r="BX1686">
        <f>IF(OR(cMed=0,cMed2=0,1684&gt;nFilas),NA(),IF(AND(ISNUMBER(INDEX(rMed2,1684)),ISNUMBER(INDEX(rMed,1684))),INDEX(rMed2,1684),NA()))</f>
        <v>4</v>
      </c>
      <c r="BY1686">
        <f>IF(OR(cMed=0,cMed2=0,1684&gt;nFilas),NA(),IF(AND(ISNUMBER(INDEX(rMed2,1684)),ISNUMBER(INDEX(rMed,1684))),INDEX(rMed,1684),NA()))</f>
        <v>813280</v>
      </c>
    </row>
    <row r="1687">
      <c r="BX1687">
        <f>IF(OR(cMed=0,cMed2=0,1685&gt;nFilas),NA(),IF(AND(ISNUMBER(INDEX(rMed2,1685)),ISNUMBER(INDEX(rMed,1685))),INDEX(rMed2,1685),NA()))</f>
        <v>5</v>
      </c>
      <c r="BY1687">
        <f>IF(OR(cMed=0,cMed2=0,1685&gt;nFilas),NA(),IF(AND(ISNUMBER(INDEX(rMed2,1685)),ISNUMBER(INDEX(rMed,1685))),INDEX(rMed,1685),NA()))</f>
        <v>4149200</v>
      </c>
    </row>
    <row r="1688">
      <c r="BX1688">
        <f>IF(OR(cMed=0,cMed2=0,1686&gt;nFilas),NA(),IF(AND(ISNUMBER(INDEX(rMed2,1686)),ISNUMBER(INDEX(rMed,1686))),INDEX(rMed2,1686),NA()))</f>
        <v>4</v>
      </c>
      <c r="BY1688">
        <f>IF(OR(cMed=0,cMed2=0,1686&gt;nFilas),NA(),IF(AND(ISNUMBER(INDEX(rMed2,1686)),ISNUMBER(INDEX(rMed,1686))),INDEX(rMed,1686),NA()))</f>
        <v>393760</v>
      </c>
    </row>
    <row r="1689">
      <c r="BX1689">
        <f>IF(OR(cMed=0,cMed2=0,1687&gt;nFilas),NA(),IF(AND(ISNUMBER(INDEX(rMed2,1687)),ISNUMBER(INDEX(rMed,1687))),INDEX(rMed2,1687),NA()))</f>
        <v>5</v>
      </c>
      <c r="BY1689">
        <f>IF(OR(cMed=0,cMed2=0,1687&gt;nFilas),NA(),IF(AND(ISNUMBER(INDEX(rMed2,1687)),ISNUMBER(INDEX(rMed,1687))),INDEX(rMed,1687),NA()))</f>
        <v>999000</v>
      </c>
    </row>
    <row r="1690">
      <c r="BX1690">
        <f>IF(OR(cMed=0,cMed2=0,1688&gt;nFilas),NA(),IF(AND(ISNUMBER(INDEX(rMed2,1688)),ISNUMBER(INDEX(rMed,1688))),INDEX(rMed2,1688),NA()))</f>
        <v>3</v>
      </c>
      <c r="BY1690">
        <f>IF(OR(cMed=0,cMed2=0,1688&gt;nFilas),NA(),IF(AND(ISNUMBER(INDEX(rMed2,1688)),ISNUMBER(INDEX(rMed,1688))),INDEX(rMed,1688),NA()))</f>
        <v>772800</v>
      </c>
    </row>
    <row r="1691">
      <c r="BX1691">
        <f>IF(OR(cMed=0,cMed2=0,1689&gt;nFilas),NA(),IF(AND(ISNUMBER(INDEX(rMed2,1689)),ISNUMBER(INDEX(rMed,1689))),INDEX(rMed2,1689),NA()))</f>
        <v>4</v>
      </c>
      <c r="BY1691">
        <f>IF(OR(cMed=0,cMed2=0,1689&gt;nFilas),NA(),IF(AND(ISNUMBER(INDEX(rMed2,1689)),ISNUMBER(INDEX(rMed,1689))),INDEX(rMed,1689),NA()))</f>
        <v>622800</v>
      </c>
    </row>
    <row r="1692">
      <c r="BX1692">
        <f>IF(OR(cMed=0,cMed2=0,1690&gt;nFilas),NA(),IF(AND(ISNUMBER(INDEX(rMed2,1690)),ISNUMBER(INDEX(rMed,1690))),INDEX(rMed2,1690),NA()))</f>
        <v>1</v>
      </c>
      <c r="BY1692">
        <f>IF(OR(cMed=0,cMed2=0,1690&gt;nFilas),NA(),IF(AND(ISNUMBER(INDEX(rMed2,1690)),ISNUMBER(INDEX(rMed,1690))),INDEX(rMed,1690),NA()))</f>
        <v>131200</v>
      </c>
    </row>
    <row r="1693">
      <c r="BX1693">
        <f>IF(OR(cMed=0,cMed2=0,1691&gt;nFilas),NA(),IF(AND(ISNUMBER(INDEX(rMed2,1691)),ISNUMBER(INDEX(rMed,1691))),INDEX(rMed2,1691),NA()))</f>
        <v>5</v>
      </c>
      <c r="BY1693">
        <f>IF(OR(cMed=0,cMed2=0,1691&gt;nFilas),NA(),IF(AND(ISNUMBER(INDEX(rMed2,1691)),ISNUMBER(INDEX(rMed,1691))),INDEX(rMed,1691),NA()))</f>
        <v>751500</v>
      </c>
    </row>
    <row r="1694">
      <c r="BX1694">
        <f>IF(OR(cMed=0,cMed2=0,1692&gt;nFilas),NA(),IF(AND(ISNUMBER(INDEX(rMed2,1692)),ISNUMBER(INDEX(rMed,1692))),INDEX(rMed2,1692),NA()))</f>
        <v>1</v>
      </c>
      <c r="BY1694">
        <f>IF(OR(cMed=0,cMed2=0,1692&gt;nFilas),NA(),IF(AND(ISNUMBER(INDEX(rMed2,1692)),ISNUMBER(INDEX(rMed,1692))),INDEX(rMed,1692),NA()))</f>
        <v>74400</v>
      </c>
    </row>
    <row r="1695">
      <c r="BX1695">
        <f>IF(OR(cMed=0,cMed2=0,1693&gt;nFilas),NA(),IF(AND(ISNUMBER(INDEX(rMed2,1693)),ISNUMBER(INDEX(rMed,1693))),INDEX(rMed2,1693),NA()))</f>
        <v>3</v>
      </c>
      <c r="BY1695">
        <f>IF(OR(cMed=0,cMed2=0,1693&gt;nFilas),NA(),IF(AND(ISNUMBER(INDEX(rMed2,1693)),ISNUMBER(INDEX(rMed,1693))),INDEX(rMed,1693),NA()))</f>
        <v>245700</v>
      </c>
    </row>
    <row r="1696">
      <c r="BX1696">
        <f>IF(OR(cMed=0,cMed2=0,1694&gt;nFilas),NA(),IF(AND(ISNUMBER(INDEX(rMed2,1694)),ISNUMBER(INDEX(rMed,1694))),INDEX(rMed2,1694),NA()))</f>
        <v>2</v>
      </c>
      <c r="BY1696">
        <f>IF(OR(cMed=0,cMed2=0,1694&gt;nFilas),NA(),IF(AND(ISNUMBER(INDEX(rMed2,1694)),ISNUMBER(INDEX(rMed,1694))),INDEX(rMed,1694),NA()))</f>
        <v>158000</v>
      </c>
    </row>
    <row r="1697">
      <c r="BX1697">
        <f>IF(OR(cMed=0,cMed2=0,1695&gt;nFilas),NA(),IF(AND(ISNUMBER(INDEX(rMed2,1695)),ISNUMBER(INDEX(rMed,1695))),INDEX(rMed2,1695),NA()))</f>
        <v>3</v>
      </c>
      <c r="BY1697">
        <f>IF(OR(cMed=0,cMed2=0,1695&gt;nFilas),NA(),IF(AND(ISNUMBER(INDEX(rMed2,1695)),ISNUMBER(INDEX(rMed,1695))),INDEX(rMed,1695),NA()))</f>
        <v>573300</v>
      </c>
    </row>
    <row r="1698">
      <c r="BX1698">
        <f>IF(OR(cMed=0,cMed2=0,1696&gt;nFilas),NA(),IF(AND(ISNUMBER(INDEX(rMed2,1696)),ISNUMBER(INDEX(rMed,1696))),INDEX(rMed2,1696),NA()))</f>
        <v>2</v>
      </c>
      <c r="BY1698">
        <f>IF(OR(cMed=0,cMed2=0,1696&gt;nFilas),NA(),IF(AND(ISNUMBER(INDEX(rMed2,1696)),ISNUMBER(INDEX(rMed,1696))),INDEX(rMed,1696),NA()))</f>
        <v>459200</v>
      </c>
    </row>
    <row r="1699">
      <c r="BX1699">
        <f>IF(OR(cMed=0,cMed2=0,1697&gt;nFilas),NA(),IF(AND(ISNUMBER(INDEX(rMed2,1697)),ISNUMBER(INDEX(rMed,1697))),INDEX(rMed2,1697),NA()))</f>
        <v>3</v>
      </c>
      <c r="BY1699">
        <f>IF(OR(cMed=0,cMed2=0,1697&gt;nFilas),NA(),IF(AND(ISNUMBER(INDEX(rMed2,1697)),ISNUMBER(INDEX(rMed,1697))),INDEX(rMed,1697),NA()))</f>
        <v>447120</v>
      </c>
    </row>
    <row r="1700">
      <c r="BX1700">
        <f>IF(OR(cMed=0,cMed2=0,1698&gt;nFilas),NA(),IF(AND(ISNUMBER(INDEX(rMed2,1698)),ISNUMBER(INDEX(rMed,1698))),INDEX(rMed2,1698),NA()))</f>
        <v>3</v>
      </c>
      <c r="BY1700">
        <f>IF(OR(cMed=0,cMed2=0,1698&gt;nFilas),NA(),IF(AND(ISNUMBER(INDEX(rMed2,1698)),ISNUMBER(INDEX(rMed,1698))),INDEX(rMed,1698),NA()))</f>
        <v>2196615</v>
      </c>
    </row>
    <row r="1701">
      <c r="BX1701">
        <f>IF(OR(cMed=0,cMed2=0,1699&gt;nFilas),NA(),IF(AND(ISNUMBER(INDEX(rMed2,1699)),ISNUMBER(INDEX(rMed,1699))),INDEX(rMed2,1699),NA()))</f>
        <v>2</v>
      </c>
      <c r="BY1701">
        <f>IF(OR(cMed=0,cMed2=0,1699&gt;nFilas),NA(),IF(AND(ISNUMBER(INDEX(rMed2,1699)),ISNUMBER(INDEX(rMed,1699))),INDEX(rMed,1699),NA()))</f>
        <v>556140</v>
      </c>
    </row>
    <row r="1702">
      <c r="BX1702">
        <f>IF(OR(cMed=0,cMed2=0,1700&gt;nFilas),NA(),IF(AND(ISNUMBER(INDEX(rMed2,1700)),ISNUMBER(INDEX(rMed,1700))),INDEX(rMed2,1700),NA()))</f>
        <v>4</v>
      </c>
      <c r="BY1702">
        <f>IF(OR(cMed=0,cMed2=0,1700&gt;nFilas),NA(),IF(AND(ISNUMBER(INDEX(rMed2,1700)),ISNUMBER(INDEX(rMed,1700))),INDEX(rMed,1700),NA()))</f>
        <v>834900</v>
      </c>
    </row>
    <row r="1703">
      <c r="BX1703">
        <f>IF(OR(cMed=0,cMed2=0,1701&gt;nFilas),NA(),IF(AND(ISNUMBER(INDEX(rMed2,1701)),ISNUMBER(INDEX(rMed,1701))),INDEX(rMed2,1701),NA()))</f>
        <v>2</v>
      </c>
      <c r="BY1703">
        <f>IF(OR(cMed=0,cMed2=0,1701&gt;nFilas),NA(),IF(AND(ISNUMBER(INDEX(rMed2,1701)),ISNUMBER(INDEX(rMed,1701))),INDEX(rMed,1701),NA()))</f>
        <v>122130</v>
      </c>
    </row>
    <row r="1704">
      <c r="BX1704">
        <f>IF(OR(cMed=0,cMed2=0,1702&gt;nFilas),NA(),IF(AND(ISNUMBER(INDEX(rMed2,1702)),ISNUMBER(INDEX(rMed,1702))),INDEX(rMed2,1702),NA()))</f>
        <v>5</v>
      </c>
      <c r="BY1704">
        <f>IF(OR(cMed=0,cMed2=0,1702&gt;nFilas),NA(),IF(AND(ISNUMBER(INDEX(rMed2,1702)),ISNUMBER(INDEX(rMed,1702))),INDEX(rMed,1702),NA()))</f>
        <v>441025</v>
      </c>
    </row>
    <row r="1705">
      <c r="BX1705">
        <f>IF(OR(cMed=0,cMed2=0,1703&gt;nFilas),NA(),IF(AND(ISNUMBER(INDEX(rMed2,1703)),ISNUMBER(INDEX(rMed,1703))),INDEX(rMed2,1703),NA()))</f>
        <v>2</v>
      </c>
      <c r="BY1705">
        <f>IF(OR(cMed=0,cMed2=0,1703&gt;nFilas),NA(),IF(AND(ISNUMBER(INDEX(rMed2,1703)),ISNUMBER(INDEX(rMed,1703))),INDEX(rMed,1703),NA()))</f>
        <v>399510</v>
      </c>
    </row>
    <row r="1706">
      <c r="BX1706">
        <f>IF(OR(cMed=0,cMed2=0,1704&gt;nFilas),NA(),IF(AND(ISNUMBER(INDEX(rMed2,1704)),ISNUMBER(INDEX(rMed,1704))),INDEX(rMed2,1704),NA()))</f>
        <v>5</v>
      </c>
      <c r="BY1706">
        <f>IF(OR(cMed=0,cMed2=0,1704&gt;nFilas),NA(),IF(AND(ISNUMBER(INDEX(rMed2,1704)),ISNUMBER(INDEX(rMed,1704))),INDEX(rMed,1704),NA()))</f>
        <v>6142725</v>
      </c>
    </row>
    <row r="1707">
      <c r="BX1707">
        <f>IF(OR(cMed=0,cMed2=0,1705&gt;nFilas),NA(),IF(AND(ISNUMBER(INDEX(rMed2,1705)),ISNUMBER(INDEX(rMed,1705))),INDEX(rMed2,1705),NA()))</f>
        <v>4</v>
      </c>
      <c r="BY1707">
        <f>IF(OR(cMed=0,cMed2=0,1705&gt;nFilas),NA(),IF(AND(ISNUMBER(INDEX(rMed2,1705)),ISNUMBER(INDEX(rMed,1705))),INDEX(rMed,1705),NA()))</f>
        <v>619620</v>
      </c>
    </row>
    <row r="1708">
      <c r="BX1708">
        <f>IF(OR(cMed=0,cMed2=0,1706&gt;nFilas),NA(),IF(AND(ISNUMBER(INDEX(rMed2,1706)),ISNUMBER(INDEX(rMed,1706))),INDEX(rMed2,1706),NA()))</f>
        <v>1</v>
      </c>
      <c r="BY1708">
        <f>IF(OR(cMed=0,cMed2=0,1706&gt;nFilas),NA(),IF(AND(ISNUMBER(INDEX(rMed2,1706)),ISNUMBER(INDEX(rMed,1706))),INDEX(rMed,1706),NA()))</f>
        <v>755895</v>
      </c>
    </row>
    <row r="1709">
      <c r="BX1709">
        <f>IF(OR(cMed=0,cMed2=0,1707&gt;nFilas),NA(),IF(AND(ISNUMBER(INDEX(rMed2,1707)),ISNUMBER(INDEX(rMed,1707))),INDEX(rMed2,1707),NA()))</f>
        <v>4</v>
      </c>
      <c r="BY1709">
        <f>IF(OR(cMed=0,cMed2=0,1707&gt;nFilas),NA(),IF(AND(ISNUMBER(INDEX(rMed2,1707)),ISNUMBER(INDEX(rMed,1707))),INDEX(rMed,1707),NA()))</f>
        <v>4303760</v>
      </c>
    </row>
    <row r="1710">
      <c r="BX1710">
        <f>IF(OR(cMed=0,cMed2=0,1708&gt;nFilas),NA(),IF(AND(ISNUMBER(INDEX(rMed2,1708)),ISNUMBER(INDEX(rMed,1708))),INDEX(rMed2,1708),NA()))</f>
        <v>4</v>
      </c>
      <c r="BY1710">
        <f>IF(OR(cMed=0,cMed2=0,1708&gt;nFilas),NA(),IF(AND(ISNUMBER(INDEX(rMed2,1708)),ISNUMBER(INDEX(rMed,1708))),INDEX(rMed,1708),NA()))</f>
        <v>774640</v>
      </c>
    </row>
    <row r="1711">
      <c r="BX1711">
        <f>IF(OR(cMed=0,cMed2=0,1709&gt;nFilas),NA(),IF(AND(ISNUMBER(INDEX(rMed2,1709)),ISNUMBER(INDEX(rMed,1709))),INDEX(rMed2,1709),NA()))</f>
        <v>5</v>
      </c>
      <c r="BY1711">
        <f>IF(OR(cMed=0,cMed2=0,1709&gt;nFilas),NA(),IF(AND(ISNUMBER(INDEX(rMed2,1709)),ISNUMBER(INDEX(rMed,1709))),INDEX(rMed,1709),NA()))</f>
        <v>5632125</v>
      </c>
    </row>
    <row r="1712">
      <c r="BX1712">
        <f>IF(OR(cMed=0,cMed2=0,1710&gt;nFilas),NA(),IF(AND(ISNUMBER(INDEX(rMed2,1710)),ISNUMBER(INDEX(rMed,1710))),INDEX(rMed2,1710),NA()))</f>
        <v>3</v>
      </c>
      <c r="BY1712">
        <f>IF(OR(cMed=0,cMed2=0,1710&gt;nFilas),NA(),IF(AND(ISNUMBER(INDEX(rMed2,1710)),ISNUMBER(INDEX(rMed,1710))),INDEX(rMed,1710),NA()))</f>
        <v>234945</v>
      </c>
    </row>
    <row r="1713">
      <c r="BX1713">
        <f>IF(OR(cMed=0,cMed2=0,1711&gt;nFilas),NA(),IF(AND(ISNUMBER(INDEX(rMed2,1711)),ISNUMBER(INDEX(rMed,1711))),INDEX(rMed2,1711),NA()))</f>
        <v>4</v>
      </c>
      <c r="BY1713">
        <f>IF(OR(cMed=0,cMed2=0,1711&gt;nFilas),NA(),IF(AND(ISNUMBER(INDEX(rMed2,1711)),ISNUMBER(INDEX(rMed,1711))),INDEX(rMed,1711),NA()))</f>
        <v>681260</v>
      </c>
    </row>
    <row r="1714">
      <c r="BX1714">
        <f>IF(OR(cMed=0,cMed2=0,1712&gt;nFilas),NA(),IF(AND(ISNUMBER(INDEX(rMed2,1712)),ISNUMBER(INDEX(rMed,1712))),INDEX(rMed2,1712),NA()))</f>
        <v>1</v>
      </c>
      <c r="BY1714">
        <f>IF(OR(cMed=0,cMed2=0,1712&gt;nFilas),NA(),IF(AND(ISNUMBER(INDEX(rMed2,1712)),ISNUMBER(INDEX(rMed,1712))),INDEX(rMed,1712),NA()))</f>
        <v>112000</v>
      </c>
    </row>
    <row r="1715">
      <c r="BX1715">
        <f>IF(OR(cMed=0,cMed2=0,1713&gt;nFilas),NA(),IF(AND(ISNUMBER(INDEX(rMed2,1713)),ISNUMBER(INDEX(rMed,1713))),INDEX(rMed2,1713),NA()))</f>
        <v>2</v>
      </c>
      <c r="BY1715">
        <f>IF(OR(cMed=0,cMed2=0,1713&gt;nFilas),NA(),IF(AND(ISNUMBER(INDEX(rMed2,1713)),ISNUMBER(INDEX(rMed,1713))),INDEX(rMed,1713),NA()))</f>
        <v>202200</v>
      </c>
    </row>
    <row r="1716">
      <c r="BX1716">
        <f>IF(OR(cMed=0,cMed2=0,1714&gt;nFilas),NA(),IF(AND(ISNUMBER(INDEX(rMed2,1714)),ISNUMBER(INDEX(rMed,1714))),INDEX(rMed2,1714),NA()))</f>
        <v>3</v>
      </c>
      <c r="BY1716">
        <f>IF(OR(cMed=0,cMed2=0,1714&gt;nFilas),NA(),IF(AND(ISNUMBER(INDEX(rMed2,1714)),ISNUMBER(INDEX(rMed,1714))),INDEX(rMed,1714),NA()))</f>
        <v>393300</v>
      </c>
    </row>
    <row r="1717">
      <c r="BX1717">
        <f>IF(OR(cMed=0,cMed2=0,1715&gt;nFilas),NA(),IF(AND(ISNUMBER(INDEX(rMed2,1715)),ISNUMBER(INDEX(rMed,1715))),INDEX(rMed2,1715),NA()))</f>
        <v>1</v>
      </c>
      <c r="BY1717">
        <f>IF(OR(cMed=0,cMed2=0,1715&gt;nFilas),NA(),IF(AND(ISNUMBER(INDEX(rMed2,1715)),ISNUMBER(INDEX(rMed,1715))),INDEX(rMed,1715),NA()))</f>
        <v>71600</v>
      </c>
    </row>
    <row r="1718">
      <c r="BX1718">
        <f>IF(OR(cMed=0,cMed2=0,1716&gt;nFilas),NA(),IF(AND(ISNUMBER(INDEX(rMed2,1716)),ISNUMBER(INDEX(rMed,1716))),INDEX(rMed2,1716),NA()))</f>
        <v>4</v>
      </c>
      <c r="BY1718">
        <f>IF(OR(cMed=0,cMed2=0,1716&gt;nFilas),NA(),IF(AND(ISNUMBER(INDEX(rMed2,1716)),ISNUMBER(INDEX(rMed,1716))),INDEX(rMed,1716),NA()))</f>
        <v>3046400</v>
      </c>
    </row>
    <row r="1719">
      <c r="BX1719">
        <f>IF(OR(cMed=0,cMed2=0,1717&gt;nFilas),NA(),IF(AND(ISNUMBER(INDEX(rMed2,1717)),ISNUMBER(INDEX(rMed,1717))),INDEX(rMed2,1717),NA()))</f>
        <v>1</v>
      </c>
      <c r="BY1719">
        <f>IF(OR(cMed=0,cMed2=0,1717&gt;nFilas),NA(),IF(AND(ISNUMBER(INDEX(rMed2,1717)),ISNUMBER(INDEX(rMed,1717))),INDEX(rMed,1717),NA()))</f>
        <v>260400</v>
      </c>
    </row>
    <row r="1720">
      <c r="BX1720">
        <f>IF(OR(cMed=0,cMed2=0,1718&gt;nFilas),NA(),IF(AND(ISNUMBER(INDEX(rMed2,1718)),ISNUMBER(INDEX(rMed,1718))),INDEX(rMed2,1718),NA()))</f>
        <v>2</v>
      </c>
      <c r="BY1720">
        <f>IF(OR(cMed=0,cMed2=0,1718&gt;nFilas),NA(),IF(AND(ISNUMBER(INDEX(rMed2,1718)),ISNUMBER(INDEX(rMed,1718))),INDEX(rMed,1718),NA()))</f>
        <v>1375400</v>
      </c>
    </row>
    <row r="1721">
      <c r="BX1721">
        <f>IF(OR(cMed=0,cMed2=0,1719&gt;nFilas),NA(),IF(AND(ISNUMBER(INDEX(rMed2,1719)),ISNUMBER(INDEX(rMed,1719))),INDEX(rMed2,1719),NA()))</f>
        <v>5</v>
      </c>
      <c r="BY1721">
        <f>IF(OR(cMed=0,cMed2=0,1719&gt;nFilas),NA(),IF(AND(ISNUMBER(INDEX(rMed2,1719)),ISNUMBER(INDEX(rMed,1719))),INDEX(rMed,1719),NA()))</f>
        <v>473000</v>
      </c>
    </row>
    <row r="1722">
      <c r="BX1722">
        <f>IF(OR(cMed=0,cMed2=0,1720&gt;nFilas),NA(),IF(AND(ISNUMBER(INDEX(rMed2,1720)),ISNUMBER(INDEX(rMed,1720))),INDEX(rMed2,1720),NA()))</f>
        <v>5</v>
      </c>
      <c r="BY1722">
        <f>IF(OR(cMed=0,cMed2=0,1720&gt;nFilas),NA(),IF(AND(ISNUMBER(INDEX(rMed2,1720)),ISNUMBER(INDEX(rMed,1720))),INDEX(rMed,1720),NA()))</f>
        <v>1017000</v>
      </c>
    </row>
    <row r="1723">
      <c r="BX1723">
        <f>IF(OR(cMed=0,cMed2=0,1721&gt;nFilas),NA(),IF(AND(ISNUMBER(INDEX(rMed2,1721)),ISNUMBER(INDEX(rMed,1721))),INDEX(rMed2,1721),NA()))</f>
        <v>5</v>
      </c>
      <c r="BY1723">
        <f>IF(OR(cMed=0,cMed2=0,1721&gt;nFilas),NA(),IF(AND(ISNUMBER(INDEX(rMed2,1721)),ISNUMBER(INDEX(rMed,1721))),INDEX(rMed,1721),NA()))</f>
        <v>1056500</v>
      </c>
    </row>
    <row r="1724">
      <c r="BX1724">
        <f>IF(OR(cMed=0,cMed2=0,1722&gt;nFilas),NA(),IF(AND(ISNUMBER(INDEX(rMed2,1722)),ISNUMBER(INDEX(rMed,1722))),INDEX(rMed2,1722),NA()))</f>
        <v>5</v>
      </c>
      <c r="BY1724">
        <f>IF(OR(cMed=0,cMed2=0,1722&gt;nFilas),NA(),IF(AND(ISNUMBER(INDEX(rMed2,1722)),ISNUMBER(INDEX(rMed,1722))),INDEX(rMed,1722),NA()))</f>
        <v>884000</v>
      </c>
    </row>
    <row r="1725">
      <c r="BX1725">
        <f>IF(OR(cMed=0,cMed2=0,1723&gt;nFilas),NA(),IF(AND(ISNUMBER(INDEX(rMed2,1723)),ISNUMBER(INDEX(rMed,1723))),INDEX(rMed2,1723),NA()))</f>
        <v>1</v>
      </c>
      <c r="BY1725">
        <f>IF(OR(cMed=0,cMed2=0,1723&gt;nFilas),NA(),IF(AND(ISNUMBER(INDEX(rMed2,1723)),ISNUMBER(INDEX(rMed,1723))),INDEX(rMed,1723),NA()))</f>
        <v>263200</v>
      </c>
    </row>
    <row r="1726">
      <c r="BX1726">
        <f>IF(OR(cMed=0,cMed2=0,1724&gt;nFilas),NA(),IF(AND(ISNUMBER(INDEX(rMed2,1724)),ISNUMBER(INDEX(rMed,1724))),INDEX(rMed2,1724),NA()))</f>
        <v>3</v>
      </c>
      <c r="BY1726">
        <f>IF(OR(cMed=0,cMed2=0,1724&gt;nFilas),NA(),IF(AND(ISNUMBER(INDEX(rMed2,1724)),ISNUMBER(INDEX(rMed,1724))),INDEX(rMed,1724),NA()))</f>
        <v>345600</v>
      </c>
    </row>
    <row r="1727">
      <c r="BX1727">
        <f>IF(OR(cMed=0,cMed2=0,1725&gt;nFilas),NA(),IF(AND(ISNUMBER(INDEX(rMed2,1725)),ISNUMBER(INDEX(rMed,1725))),INDEX(rMed2,1725),NA()))</f>
        <v>2</v>
      </c>
      <c r="BY1727">
        <f>IF(OR(cMed=0,cMed2=0,1725&gt;nFilas),NA(),IF(AND(ISNUMBER(INDEX(rMed2,1725)),ISNUMBER(INDEX(rMed,1725))),INDEX(rMed,1725),NA()))</f>
        <v>294200</v>
      </c>
    </row>
    <row r="1728">
      <c r="BX1728">
        <f>IF(OR(cMed=0,cMed2=0,1726&gt;nFilas),NA(),IF(AND(ISNUMBER(INDEX(rMed2,1726)),ISNUMBER(INDEX(rMed,1726))),INDEX(rMed2,1726),NA()))</f>
        <v>3</v>
      </c>
      <c r="BY1728">
        <f>IF(OR(cMed=0,cMed2=0,1726&gt;nFilas),NA(),IF(AND(ISNUMBER(INDEX(rMed2,1726)),ISNUMBER(INDEX(rMed,1726))),INDEX(rMed,1726),NA()))</f>
        <v>262800</v>
      </c>
    </row>
    <row r="1729">
      <c r="BX1729">
        <f>IF(OR(cMed=0,cMed2=0,1727&gt;nFilas),NA(),IF(AND(ISNUMBER(INDEX(rMed2,1727)),ISNUMBER(INDEX(rMed,1727))),INDEX(rMed2,1727),NA()))</f>
        <v>4</v>
      </c>
      <c r="BY1729">
        <f>IF(OR(cMed=0,cMed2=0,1727&gt;nFilas),NA(),IF(AND(ISNUMBER(INDEX(rMed2,1727)),ISNUMBER(INDEX(rMed,1727))),INDEX(rMed,1727),NA()))</f>
        <v>615600</v>
      </c>
    </row>
    <row r="1730">
      <c r="BX1730">
        <f>IF(OR(cMed=0,cMed2=0,1728&gt;nFilas),NA(),IF(AND(ISNUMBER(INDEX(rMed2,1728)),ISNUMBER(INDEX(rMed,1728))),INDEX(rMed2,1728),NA()))</f>
        <v>2</v>
      </c>
      <c r="BY1730">
        <f>IF(OR(cMed=0,cMed2=0,1728&gt;nFilas),NA(),IF(AND(ISNUMBER(INDEX(rMed2,1728)),ISNUMBER(INDEX(rMed,1728))),INDEX(rMed,1728),NA()))</f>
        <v>1918660</v>
      </c>
    </row>
    <row r="1731">
      <c r="BX1731">
        <f>IF(OR(cMed=0,cMed2=0,1729&gt;nFilas),NA(),IF(AND(ISNUMBER(INDEX(rMed2,1729)),ISNUMBER(INDEX(rMed,1729))),INDEX(rMed2,1729),NA()))</f>
        <v>3</v>
      </c>
      <c r="BY1731">
        <f>IF(OR(cMed=0,cMed2=0,1729&gt;nFilas),NA(),IF(AND(ISNUMBER(INDEX(rMed2,1729)),ISNUMBER(INDEX(rMed,1729))),INDEX(rMed,1729),NA()))</f>
        <v>524400</v>
      </c>
    </row>
    <row r="1732">
      <c r="BX1732">
        <f>IF(OR(cMed=0,cMed2=0,1730&gt;nFilas),NA(),IF(AND(ISNUMBER(INDEX(rMed2,1730)),ISNUMBER(INDEX(rMed,1730))),INDEX(rMed2,1730),NA()))</f>
        <v>3</v>
      </c>
      <c r="BY1732">
        <f>IF(OR(cMed=0,cMed2=0,1730&gt;nFilas),NA(),IF(AND(ISNUMBER(INDEX(rMed2,1730)),ISNUMBER(INDEX(rMed,1730))),INDEX(rMed,1730),NA()))</f>
        <v>697590</v>
      </c>
    </row>
    <row r="1733">
      <c r="BX1733">
        <f>IF(OR(cMed=0,cMed2=0,1731&gt;nFilas),NA(),IF(AND(ISNUMBER(INDEX(rMed2,1731)),ISNUMBER(INDEX(rMed,1731))),INDEX(rMed2,1731),NA()))</f>
        <v>4</v>
      </c>
      <c r="BY1733">
        <f>IF(OR(cMed=0,cMed2=0,1731&gt;nFilas),NA(),IF(AND(ISNUMBER(INDEX(rMed2,1731)),ISNUMBER(INDEX(rMed,1731))),INDEX(rMed,1731),NA()))</f>
        <v>753480</v>
      </c>
    </row>
    <row r="1734">
      <c r="BX1734">
        <f>IF(OR(cMed=0,cMed2=0,1732&gt;nFilas),NA(),IF(AND(ISNUMBER(INDEX(rMed2,1732)),ISNUMBER(INDEX(rMed,1732))),INDEX(rMed2,1732),NA()))</f>
        <v>2</v>
      </c>
      <c r="BY1734">
        <f>IF(OR(cMed=0,cMed2=0,1732&gt;nFilas),NA(),IF(AND(ISNUMBER(INDEX(rMed2,1732)),ISNUMBER(INDEX(rMed,1732))),INDEX(rMed,1732),NA()))</f>
        <v>208150</v>
      </c>
    </row>
    <row r="1735">
      <c r="BX1735">
        <f>IF(OR(cMed=0,cMed2=0,1733&gt;nFilas),NA(),IF(AND(ISNUMBER(INDEX(rMed2,1733)),ISNUMBER(INDEX(rMed,1733))),INDEX(rMed2,1733),NA()))</f>
        <v>2</v>
      </c>
      <c r="BY1735">
        <f>IF(OR(cMed=0,cMed2=0,1733&gt;nFilas),NA(),IF(AND(ISNUMBER(INDEX(rMed2,1733)),ISNUMBER(INDEX(rMed,1733))),INDEX(rMed,1733),NA()))</f>
        <v>215740</v>
      </c>
    </row>
    <row r="1736">
      <c r="BX1736">
        <f>IF(OR(cMed=0,cMed2=0,1734&gt;nFilas),NA(),IF(AND(ISNUMBER(INDEX(rMed2,1734)),ISNUMBER(INDEX(rMed,1734))),INDEX(rMed2,1734),NA()))</f>
        <v>5</v>
      </c>
      <c r="BY1736">
        <f>IF(OR(cMed=0,cMed2=0,1734&gt;nFilas),NA(),IF(AND(ISNUMBER(INDEX(rMed2,1734)),ISNUMBER(INDEX(rMed,1734))),INDEX(rMed,1734),NA()))</f>
        <v>1350100</v>
      </c>
    </row>
    <row r="1737">
      <c r="BX1737">
        <f>IF(OR(cMed=0,cMed2=0,1735&gt;nFilas),NA(),IF(AND(ISNUMBER(INDEX(rMed2,1735)),ISNUMBER(INDEX(rMed,1735))),INDEX(rMed2,1735),NA()))</f>
        <v>1</v>
      </c>
      <c r="BY1737">
        <f>IF(OR(cMed=0,cMed2=0,1735&gt;nFilas),NA(),IF(AND(ISNUMBER(INDEX(rMed2,1735)),ISNUMBER(INDEX(rMed,1735))),INDEX(rMed,1735),NA()))</f>
        <v>153100</v>
      </c>
    </row>
    <row r="1738">
      <c r="BX1738">
        <f>IF(OR(cMed=0,cMed2=0,1736&gt;nFilas),NA(),IF(AND(ISNUMBER(INDEX(rMed2,1736)),ISNUMBER(INDEX(rMed,1736))),INDEX(rMed2,1736),NA()))</f>
        <v>5</v>
      </c>
      <c r="BY1738">
        <f>IF(OR(cMed=0,cMed2=0,1736&gt;nFilas),NA(),IF(AND(ISNUMBER(INDEX(rMed2,1736)),ISNUMBER(INDEX(rMed,1736))),INDEX(rMed,1736),NA()))</f>
        <v>366000</v>
      </c>
    </row>
    <row r="1739">
      <c r="BX1739">
        <f>IF(OR(cMed=0,cMed2=0,1737&gt;nFilas),NA(),IF(AND(ISNUMBER(INDEX(rMed2,1737)),ISNUMBER(INDEX(rMed,1737))),INDEX(rMed2,1737),NA()))</f>
        <v>2</v>
      </c>
      <c r="BY1739">
        <f>IF(OR(cMed=0,cMed2=0,1737&gt;nFilas),NA(),IF(AND(ISNUMBER(INDEX(rMed2,1737)),ISNUMBER(INDEX(rMed,1737))),INDEX(rMed,1737),NA()))</f>
        <v>1873800</v>
      </c>
    </row>
    <row r="1740">
      <c r="BX1740">
        <f>IF(OR(cMed=0,cMed2=0,1738&gt;nFilas),NA(),IF(AND(ISNUMBER(INDEX(rMed2,1738)),ISNUMBER(INDEX(rMed,1738))),INDEX(rMed2,1738),NA()))</f>
        <v>4</v>
      </c>
      <c r="BY1740">
        <f>IF(OR(cMed=0,cMed2=0,1738&gt;nFilas),NA(),IF(AND(ISNUMBER(INDEX(rMed2,1738)),ISNUMBER(INDEX(rMed,1738))),INDEX(rMed,1738),NA()))</f>
        <v>199200</v>
      </c>
    </row>
    <row r="1741">
      <c r="BX1741">
        <f>IF(OR(cMed=0,cMed2=0,1739&gt;nFilas),NA(),IF(AND(ISNUMBER(INDEX(rMed2,1739)),ISNUMBER(INDEX(rMed,1739))),INDEX(rMed2,1739),NA()))</f>
        <v>1</v>
      </c>
      <c r="BY1741">
        <f>IF(OR(cMed=0,cMed2=0,1739&gt;nFilas),NA(),IF(AND(ISNUMBER(INDEX(rMed2,1739)),ISNUMBER(INDEX(rMed,1739))),INDEX(rMed,1739),NA()))</f>
        <v>154800</v>
      </c>
    </row>
    <row r="1742">
      <c r="BX1742">
        <f>IF(OR(cMed=0,cMed2=0,1740&gt;nFilas),NA(),IF(AND(ISNUMBER(INDEX(rMed2,1740)),ISNUMBER(INDEX(rMed,1740))),INDEX(rMed2,1740),NA()))</f>
        <v>3</v>
      </c>
      <c r="BY1742">
        <f>IF(OR(cMed=0,cMed2=0,1740&gt;nFilas),NA(),IF(AND(ISNUMBER(INDEX(rMed2,1740)),ISNUMBER(INDEX(rMed,1740))),INDEX(rMed,1740),NA()))</f>
        <v>518700</v>
      </c>
    </row>
    <row r="1743">
      <c r="BX1743">
        <f>IF(OR(cMed=0,cMed2=0,1741&gt;nFilas),NA(),IF(AND(ISNUMBER(INDEX(rMed2,1741)),ISNUMBER(INDEX(rMed,1741))),INDEX(rMed2,1741),NA()))</f>
        <v>3</v>
      </c>
      <c r="BY1743">
        <f>IF(OR(cMed=0,cMed2=0,1741&gt;nFilas),NA(),IF(AND(ISNUMBER(INDEX(rMed2,1741)),ISNUMBER(INDEX(rMed,1741))),INDEX(rMed,1741),NA()))</f>
        <v>1976700</v>
      </c>
    </row>
    <row r="1744">
      <c r="BX1744">
        <f>IF(OR(cMed=0,cMed2=0,1742&gt;nFilas),NA(),IF(AND(ISNUMBER(INDEX(rMed2,1742)),ISNUMBER(INDEX(rMed,1742))),INDEX(rMed2,1742),NA()))</f>
        <v>5</v>
      </c>
      <c r="BY1744">
        <f>IF(OR(cMed=0,cMed2=0,1742&gt;nFilas),NA(),IF(AND(ISNUMBER(INDEX(rMed2,1742)),ISNUMBER(INDEX(rMed,1742))),INDEX(rMed,1742),NA()))</f>
        <v>805500</v>
      </c>
    </row>
    <row r="1745">
      <c r="BX1745">
        <f>IF(OR(cMed=0,cMed2=0,1743&gt;nFilas),NA(),IF(AND(ISNUMBER(INDEX(rMed2,1743)),ISNUMBER(INDEX(rMed,1743))),INDEX(rMed2,1743),NA()))</f>
        <v>2</v>
      </c>
      <c r="BY1745">
        <f>IF(OR(cMed=0,cMed2=0,1743&gt;nFilas),NA(),IF(AND(ISNUMBER(INDEX(rMed2,1743)),ISNUMBER(INDEX(rMed,1743))),INDEX(rMed,1743),NA()))</f>
        <v>320800</v>
      </c>
    </row>
    <row r="1746">
      <c r="BX1746">
        <f>IF(OR(cMed=0,cMed2=0,1744&gt;nFilas),NA(),IF(AND(ISNUMBER(INDEX(rMed2,1744)),ISNUMBER(INDEX(rMed,1744))),INDEX(rMed2,1744),NA()))</f>
        <v>4</v>
      </c>
      <c r="BY1746">
        <f>IF(OR(cMed=0,cMed2=0,1744&gt;nFilas),NA(),IF(AND(ISNUMBER(INDEX(rMed2,1744)),ISNUMBER(INDEX(rMed,1744))),INDEX(rMed,1744),NA()))</f>
        <v>820640</v>
      </c>
    </row>
    <row r="1747">
      <c r="BX1747">
        <f>IF(OR(cMed=0,cMed2=0,1745&gt;nFilas),NA(),IF(AND(ISNUMBER(INDEX(rMed2,1745)),ISNUMBER(INDEX(rMed,1745))),INDEX(rMed2,1745),NA()))</f>
        <v>4</v>
      </c>
      <c r="BY1747">
        <f>IF(OR(cMed=0,cMed2=0,1745&gt;nFilas),NA(),IF(AND(ISNUMBER(INDEX(rMed2,1745)),ISNUMBER(INDEX(rMed,1745))),INDEX(rMed,1745),NA()))</f>
        <v>347760</v>
      </c>
    </row>
    <row r="1748">
      <c r="BX1748">
        <f>IF(OR(cMed=0,cMed2=0,1746&gt;nFilas),NA(),IF(AND(ISNUMBER(INDEX(rMed2,1746)),ISNUMBER(INDEX(rMed,1746))),INDEX(rMed2,1746),NA()))</f>
        <v>4</v>
      </c>
      <c r="BY1748">
        <f>IF(OR(cMed=0,cMed2=0,1746&gt;nFilas),NA(),IF(AND(ISNUMBER(INDEX(rMed2,1746)),ISNUMBER(INDEX(rMed,1746))),INDEX(rMed,1746),NA()))</f>
        <v>808680</v>
      </c>
    </row>
    <row r="1749">
      <c r="BX1749">
        <f>IF(OR(cMed=0,cMed2=0,1747&gt;nFilas),NA(),IF(AND(ISNUMBER(INDEX(rMed2,1747)),ISNUMBER(INDEX(rMed,1747))),INDEX(rMed2,1747),NA()))</f>
        <v>5</v>
      </c>
      <c r="BY1749">
        <f>IF(OR(cMed=0,cMed2=0,1747&gt;nFilas),NA(),IF(AND(ISNUMBER(INDEX(rMed2,1747)),ISNUMBER(INDEX(rMed,1747))),INDEX(rMed,1747),NA()))</f>
        <v>5993800</v>
      </c>
    </row>
    <row r="1750">
      <c r="BX1750">
        <f>IF(OR(cMed=0,cMed2=0,1748&gt;nFilas),NA(),IF(AND(ISNUMBER(INDEX(rMed2,1748)),ISNUMBER(INDEX(rMed,1748))),INDEX(rMed2,1748),NA()))</f>
        <v>5</v>
      </c>
      <c r="BY1750">
        <f>IF(OR(cMed=0,cMed2=0,1748&gt;nFilas),NA(),IF(AND(ISNUMBER(INDEX(rMed2,1748)),ISNUMBER(INDEX(rMed,1748))),INDEX(rMed,1748),NA()))</f>
        <v>629625</v>
      </c>
    </row>
    <row r="1751">
      <c r="BX1751">
        <f>IF(OR(cMed=0,cMed2=0,1749&gt;nFilas),NA(),IF(AND(ISNUMBER(INDEX(rMed2,1749)),ISNUMBER(INDEX(rMed,1749))),INDEX(rMed2,1749),NA()))</f>
        <v>3</v>
      </c>
      <c r="BY1751">
        <f>IF(OR(cMed=0,cMed2=0,1749&gt;nFilas),NA(),IF(AND(ISNUMBER(INDEX(rMed2,1749)),ISNUMBER(INDEX(rMed,1749))),INDEX(rMed,1749),NA()))</f>
        <v>642045</v>
      </c>
    </row>
    <row r="1752">
      <c r="BX1752">
        <f>IF(OR(cMed=0,cMed2=0,1750&gt;nFilas),NA(),IF(AND(ISNUMBER(INDEX(rMed2,1750)),ISNUMBER(INDEX(rMed,1750))),INDEX(rMed2,1750),NA()))</f>
        <v>5</v>
      </c>
      <c r="BY1752">
        <f>IF(OR(cMed=0,cMed2=0,1750&gt;nFilas),NA(),IF(AND(ISNUMBER(INDEX(rMed2,1750)),ISNUMBER(INDEX(rMed,1750))),INDEX(rMed,1750),NA()))</f>
        <v>478975</v>
      </c>
    </row>
    <row r="1753">
      <c r="BX1753">
        <f>IF(OR(cMed=0,cMed2=0,1751&gt;nFilas),NA(),IF(AND(ISNUMBER(INDEX(rMed2,1751)),ISNUMBER(INDEX(rMed,1751))),INDEX(rMed2,1751),NA()))</f>
        <v>4</v>
      </c>
      <c r="BY1753">
        <f>IF(OR(cMed=0,cMed2=0,1751&gt;nFilas),NA(),IF(AND(ISNUMBER(INDEX(rMed2,1751)),ISNUMBER(INDEX(rMed,1751))),INDEX(rMed,1751),NA()))</f>
        <v>536820</v>
      </c>
    </row>
    <row r="1754">
      <c r="BX1754">
        <f>IF(OR(cMed=0,cMed2=0,1752&gt;nFilas),NA(),IF(AND(ISNUMBER(INDEX(rMed2,1752)),ISNUMBER(INDEX(rMed,1752))),INDEX(rMed2,1752),NA()))</f>
        <v>4</v>
      </c>
      <c r="BY1754">
        <f>IF(OR(cMed=0,cMed2=0,1752&gt;nFilas),NA(),IF(AND(ISNUMBER(INDEX(rMed2,1752)),ISNUMBER(INDEX(rMed,1752))),INDEX(rMed,1752),NA()))</f>
        <v>250240</v>
      </c>
    </row>
    <row r="1755">
      <c r="BX1755">
        <f>IF(OR(cMed=0,cMed2=0,1753&gt;nFilas),NA(),IF(AND(ISNUMBER(INDEX(rMed2,1753)),ISNUMBER(INDEX(rMed,1753))),INDEX(rMed2,1753),NA()))</f>
        <v>2</v>
      </c>
      <c r="BY1755">
        <f>IF(OR(cMed=0,cMed2=0,1753&gt;nFilas),NA(),IF(AND(ISNUMBER(INDEX(rMed2,1753)),ISNUMBER(INDEX(rMed,1753))),INDEX(rMed,1753),NA()))</f>
        <v>1454520</v>
      </c>
    </row>
    <row r="1756">
      <c r="BX1756">
        <f>IF(OR(cMed=0,cMed2=0,1754&gt;nFilas),NA(),IF(AND(ISNUMBER(INDEX(rMed2,1754)),ISNUMBER(INDEX(rMed,1754))),INDEX(rMed2,1754),NA()))</f>
        <v>2</v>
      </c>
      <c r="BY1756">
        <f>IF(OR(cMed=0,cMed2=0,1754&gt;nFilas),NA(),IF(AND(ISNUMBER(INDEX(rMed2,1754)),ISNUMBER(INDEX(rMed,1754))),INDEX(rMed,1754),NA()))</f>
        <v>475640</v>
      </c>
    </row>
    <row r="1757">
      <c r="BX1757">
        <f>IF(OR(cMed=0,cMed2=0,1755&gt;nFilas),NA(),IF(AND(ISNUMBER(INDEX(rMed2,1755)),ISNUMBER(INDEX(rMed,1755))),INDEX(rMed2,1755),NA()))</f>
        <v>4</v>
      </c>
      <c r="BY1757">
        <f>IF(OR(cMed=0,cMed2=0,1755&gt;nFilas),NA(),IF(AND(ISNUMBER(INDEX(rMed2,1755)),ISNUMBER(INDEX(rMed,1755))),INDEX(rMed,1755),NA()))</f>
        <v>4491440</v>
      </c>
    </row>
    <row r="1758">
      <c r="BX1758">
        <f>IF(OR(cMed=0,cMed2=0,1756&gt;nFilas),NA(),IF(AND(ISNUMBER(INDEX(rMed2,1756)),ISNUMBER(INDEX(rMed,1756))),INDEX(rMed2,1756),NA()))</f>
        <v>2</v>
      </c>
      <c r="BY1758">
        <f>IF(OR(cMed=0,cMed2=0,1756&gt;nFilas),NA(),IF(AND(ISNUMBER(INDEX(rMed2,1756)),ISNUMBER(INDEX(rMed,1756))),INDEX(rMed,1756),NA()))</f>
        <v>158010</v>
      </c>
    </row>
    <row r="1759">
      <c r="BX1759">
        <f>IF(OR(cMed=0,cMed2=0,1757&gt;nFilas),NA(),IF(AND(ISNUMBER(INDEX(rMed2,1757)),ISNUMBER(INDEX(rMed,1757))),INDEX(rMed2,1757),NA()))</f>
        <v>3</v>
      </c>
      <c r="BY1759">
        <f>IF(OR(cMed=0,cMed2=0,1757&gt;nFilas),NA(),IF(AND(ISNUMBER(INDEX(rMed2,1757)),ISNUMBER(INDEX(rMed,1757))),INDEX(rMed,1757),NA()))</f>
        <v>610650</v>
      </c>
    </row>
    <row r="1760">
      <c r="BX1760">
        <f>IF(OR(cMed=0,cMed2=0,1758&gt;nFilas),NA(),IF(AND(ISNUMBER(INDEX(rMed2,1758)),ISNUMBER(INDEX(rMed,1758))),INDEX(rMed2,1758),NA()))</f>
        <v>2</v>
      </c>
      <c r="BY1760">
        <f>IF(OR(cMed=0,cMed2=0,1758&gt;nFilas),NA(),IF(AND(ISNUMBER(INDEX(rMed2,1758)),ISNUMBER(INDEX(rMed,1758))),INDEX(rMed,1758),NA()))</f>
        <v>297390</v>
      </c>
    </row>
    <row r="1761">
      <c r="BX1761">
        <f>IF(OR(cMed=0,cMed2=0,1759&gt;nFilas),NA(),IF(AND(ISNUMBER(INDEX(rMed2,1759)),ISNUMBER(INDEX(rMed,1759))),INDEX(rMed2,1759),NA()))</f>
        <v>1</v>
      </c>
      <c r="BY1761">
        <f>IF(OR(cMed=0,cMed2=0,1759&gt;nFilas),NA(),IF(AND(ISNUMBER(INDEX(rMed2,1759)),ISNUMBER(INDEX(rMed,1759))),INDEX(rMed,1759),NA()))</f>
        <v>117300</v>
      </c>
    </row>
    <row r="1762">
      <c r="BX1762">
        <f>IF(OR(cMed=0,cMed2=0,1760&gt;nFilas),NA(),IF(AND(ISNUMBER(INDEX(rMed2,1760)),ISNUMBER(INDEX(rMed,1760))),INDEX(rMed2,1760),NA()))</f>
        <v>4</v>
      </c>
      <c r="BY1762">
        <f>IF(OR(cMed=0,cMed2=0,1760&gt;nFilas),NA(),IF(AND(ISNUMBER(INDEX(rMed2,1760)),ISNUMBER(INDEX(rMed,1760))),INDEX(rMed,1760),NA()))</f>
        <v>1020800</v>
      </c>
    </row>
    <row r="1763">
      <c r="BX1763">
        <f>IF(OR(cMed=0,cMed2=0,1761&gt;nFilas),NA(),IF(AND(ISNUMBER(INDEX(rMed2,1761)),ISNUMBER(INDEX(rMed,1761))),INDEX(rMed2,1761),NA()))</f>
        <v>5</v>
      </c>
      <c r="BY1763">
        <f>IF(OR(cMed=0,cMed2=0,1761&gt;nFilas),NA(),IF(AND(ISNUMBER(INDEX(rMed2,1761)),ISNUMBER(INDEX(rMed,1761))),INDEX(rMed,1761),NA()))</f>
        <v>1142000</v>
      </c>
    </row>
    <row r="1764">
      <c r="BX1764">
        <f>IF(OR(cMed=0,cMed2=0,1762&gt;nFilas),NA(),IF(AND(ISNUMBER(INDEX(rMed2,1762)),ISNUMBER(INDEX(rMed,1762))),INDEX(rMed2,1762),NA()))</f>
        <v>4</v>
      </c>
      <c r="BY1764">
        <f>IF(OR(cMed=0,cMed2=0,1762&gt;nFilas),NA(),IF(AND(ISNUMBER(INDEX(rMed2,1762)),ISNUMBER(INDEX(rMed,1762))),INDEX(rMed,1762),NA()))</f>
        <v>314800</v>
      </c>
    </row>
    <row r="1765">
      <c r="BX1765">
        <f>IF(OR(cMed=0,cMed2=0,1763&gt;nFilas),NA(),IF(AND(ISNUMBER(INDEX(rMed2,1763)),ISNUMBER(INDEX(rMed,1763))),INDEX(rMed2,1763),NA()))</f>
        <v>4</v>
      </c>
      <c r="BY1765">
        <f>IF(OR(cMed=0,cMed2=0,1763&gt;nFilas),NA(),IF(AND(ISNUMBER(INDEX(rMed2,1763)),ISNUMBER(INDEX(rMed,1763))),INDEX(rMed,1763),NA()))</f>
        <v>3754800</v>
      </c>
    </row>
    <row r="1766">
      <c r="BX1766">
        <f>IF(OR(cMed=0,cMed2=0,1764&gt;nFilas),NA(),IF(AND(ISNUMBER(INDEX(rMed2,1764)),ISNUMBER(INDEX(rMed,1764))),INDEX(rMed2,1764),NA()))</f>
        <v>4</v>
      </c>
      <c r="BY1766">
        <f>IF(OR(cMed=0,cMed2=0,1764&gt;nFilas),NA(),IF(AND(ISNUMBER(INDEX(rMed2,1764)),ISNUMBER(INDEX(rMed,1764))),INDEX(rMed,1764),NA()))</f>
        <v>877200</v>
      </c>
    </row>
    <row r="1767">
      <c r="BX1767">
        <f>IF(OR(cMed=0,cMed2=0,1765&gt;nFilas),NA(),IF(AND(ISNUMBER(INDEX(rMed2,1765)),ISNUMBER(INDEX(rMed,1765))),INDEX(rMed2,1765),NA()))</f>
        <v>3</v>
      </c>
      <c r="BY1767">
        <f>IF(OR(cMed=0,cMed2=0,1765&gt;nFilas),NA(),IF(AND(ISNUMBER(INDEX(rMed2,1765)),ISNUMBER(INDEX(rMed,1765))),INDEX(rMed,1765),NA()))</f>
        <v>503700</v>
      </c>
    </row>
    <row r="1768">
      <c r="BX1768">
        <f>IF(OR(cMed=0,cMed2=0,1766&gt;nFilas),NA(),IF(AND(ISNUMBER(INDEX(rMed2,1766)),ISNUMBER(INDEX(rMed,1766))),INDEX(rMed2,1766),NA()))</f>
        <v>5</v>
      </c>
      <c r="BY1768">
        <f>IF(OR(cMed=0,cMed2=0,1766&gt;nFilas),NA(),IF(AND(ISNUMBER(INDEX(rMed2,1766)),ISNUMBER(INDEX(rMed,1766))),INDEX(rMed,1766),NA()))</f>
        <v>520500</v>
      </c>
    </row>
    <row r="1769">
      <c r="BX1769">
        <f>IF(OR(cMed=0,cMed2=0,1767&gt;nFilas),NA(),IF(AND(ISNUMBER(INDEX(rMed2,1767)),ISNUMBER(INDEX(rMed,1767))),INDEX(rMed2,1767),NA()))</f>
        <v>2</v>
      </c>
      <c r="BY1769">
        <f>IF(OR(cMed=0,cMed2=0,1767&gt;nFilas),NA(),IF(AND(ISNUMBER(INDEX(rMed2,1767)),ISNUMBER(INDEX(rMed,1767))),INDEX(rMed,1767),NA()))</f>
        <v>1849200</v>
      </c>
    </row>
    <row r="1770">
      <c r="BX1770">
        <f>IF(OR(cMed=0,cMed2=0,1768&gt;nFilas),NA(),IF(AND(ISNUMBER(INDEX(rMed2,1768)),ISNUMBER(INDEX(rMed,1768))),INDEX(rMed2,1768),NA()))</f>
        <v>1</v>
      </c>
      <c r="BY1770">
        <f>IF(OR(cMed=0,cMed2=0,1768&gt;nFilas),NA(),IF(AND(ISNUMBER(INDEX(rMed2,1768)),ISNUMBER(INDEX(rMed,1768))),INDEX(rMed,1768),NA()))</f>
        <v>213500</v>
      </c>
    </row>
    <row r="1771">
      <c r="BX1771">
        <f>IF(OR(cMed=0,cMed2=0,1769&gt;nFilas),NA(),IF(AND(ISNUMBER(INDEX(rMed2,1769)),ISNUMBER(INDEX(rMed,1769))),INDEX(rMed2,1769),NA()))</f>
        <v>1</v>
      </c>
      <c r="BY1771">
        <f>IF(OR(cMed=0,cMed2=0,1769&gt;nFilas),NA(),IF(AND(ISNUMBER(INDEX(rMed2,1769)),ISNUMBER(INDEX(rMed,1769))),INDEX(rMed,1769),NA()))</f>
        <v>108100</v>
      </c>
    </row>
    <row r="1772">
      <c r="BX1772">
        <f>IF(OR(cMed=0,cMed2=0,1770&gt;nFilas),NA(),IF(AND(ISNUMBER(INDEX(rMed2,1770)),ISNUMBER(INDEX(rMed,1770))),INDEX(rMed2,1770),NA()))</f>
        <v>1</v>
      </c>
      <c r="BY1772">
        <f>IF(OR(cMed=0,cMed2=0,1770&gt;nFilas),NA(),IF(AND(ISNUMBER(INDEX(rMed2,1770)),ISNUMBER(INDEX(rMed,1770))),INDEX(rMed,1770),NA()))</f>
        <v>97100</v>
      </c>
    </row>
    <row r="1773">
      <c r="BX1773">
        <f>IF(OR(cMed=0,cMed2=0,1771&gt;nFilas),NA(),IF(AND(ISNUMBER(INDEX(rMed2,1771)),ISNUMBER(INDEX(rMed,1771))),INDEX(rMed2,1771),NA()))</f>
        <v>3</v>
      </c>
      <c r="BY1773">
        <f>IF(OR(cMed=0,cMed2=0,1771&gt;nFilas),NA(),IF(AND(ISNUMBER(INDEX(rMed2,1771)),ISNUMBER(INDEX(rMed,1771))),INDEX(rMed,1771),NA()))</f>
        <v>274800</v>
      </c>
    </row>
    <row r="1774">
      <c r="BX1774">
        <f>IF(OR(cMed=0,cMed2=0,1772&gt;nFilas),NA(),IF(AND(ISNUMBER(INDEX(rMed2,1772)),ISNUMBER(INDEX(rMed,1772))),INDEX(rMed2,1772),NA()))</f>
        <v>4</v>
      </c>
      <c r="BY1774">
        <f>IF(OR(cMed=0,cMed2=0,1772&gt;nFilas),NA(),IF(AND(ISNUMBER(INDEX(rMed2,1772)),ISNUMBER(INDEX(rMed,1772))),INDEX(rMed,1772),NA()))</f>
        <v>761600</v>
      </c>
    </row>
    <row r="1775">
      <c r="BX1775">
        <f>IF(OR(cMed=0,cMed2=0,1773&gt;nFilas),NA(),IF(AND(ISNUMBER(INDEX(rMed2,1773)),ISNUMBER(INDEX(rMed,1773))),INDEX(rMed2,1773),NA()))</f>
        <v>3</v>
      </c>
      <c r="BY1775">
        <f>IF(OR(cMed=0,cMed2=0,1773&gt;nFilas),NA(),IF(AND(ISNUMBER(INDEX(rMed2,1773)),ISNUMBER(INDEX(rMed,1773))),INDEX(rMed,1773),NA()))</f>
        <v>2183400</v>
      </c>
    </row>
    <row r="1776">
      <c r="BX1776">
        <f>IF(OR(cMed=0,cMed2=0,1774&gt;nFilas),NA(),IF(AND(ISNUMBER(INDEX(rMed2,1774)),ISNUMBER(INDEX(rMed,1774))),INDEX(rMed2,1774),NA()))</f>
        <v>4</v>
      </c>
      <c r="BY1776">
        <f>IF(OR(cMed=0,cMed2=0,1774&gt;nFilas),NA(),IF(AND(ISNUMBER(INDEX(rMed2,1774)),ISNUMBER(INDEX(rMed,1774))),INDEX(rMed,1774),NA()))</f>
        <v>2628800</v>
      </c>
    </row>
    <row r="1777">
      <c r="BX1777">
        <f>IF(OR(cMed=0,cMed2=0,1775&gt;nFilas),NA(),IF(AND(ISNUMBER(INDEX(rMed2,1775)),ISNUMBER(INDEX(rMed,1775))),INDEX(rMed2,1775),NA()))</f>
        <v>3</v>
      </c>
      <c r="BY1777">
        <f>IF(OR(cMed=0,cMed2=0,1775&gt;nFilas),NA(),IF(AND(ISNUMBER(INDEX(rMed2,1775)),ISNUMBER(INDEX(rMed,1775))),INDEX(rMed,1775),NA()))</f>
        <v>2891400</v>
      </c>
    </row>
    <row r="1778">
      <c r="BX1778">
        <f>IF(OR(cMed=0,cMed2=0,1776&gt;nFilas),NA(),IF(AND(ISNUMBER(INDEX(rMed2,1776)),ISNUMBER(INDEX(rMed,1776))),INDEX(rMed2,1776),NA()))</f>
        <v>4</v>
      </c>
      <c r="BY1778">
        <f>IF(OR(cMed=0,cMed2=0,1776&gt;nFilas),NA(),IF(AND(ISNUMBER(INDEX(rMed2,1776)),ISNUMBER(INDEX(rMed,1776))),INDEX(rMed,1776),NA()))</f>
        <v>3894800</v>
      </c>
    </row>
    <row r="1779">
      <c r="BX1779">
        <f>IF(OR(cMed=0,cMed2=0,1777&gt;nFilas),NA(),IF(AND(ISNUMBER(INDEX(rMed2,1777)),ISNUMBER(INDEX(rMed,1777))),INDEX(rMed2,1777),NA()))</f>
        <v>5</v>
      </c>
      <c r="BY1779">
        <f>IF(OR(cMed=0,cMed2=0,1777&gt;nFilas),NA(),IF(AND(ISNUMBER(INDEX(rMed2,1777)),ISNUMBER(INDEX(rMed,1777))),INDEX(rMed,1777),NA()))</f>
        <v>633075</v>
      </c>
    </row>
    <row r="1780">
      <c r="BX1780">
        <f>IF(OR(cMed=0,cMed2=0,1778&gt;nFilas),NA(),IF(AND(ISNUMBER(INDEX(rMed2,1778)),ISNUMBER(INDEX(rMed,1778))),INDEX(rMed2,1778),NA()))</f>
        <v>1</v>
      </c>
      <c r="BY1780">
        <f>IF(OR(cMed=0,cMed2=0,1778&gt;nFilas),NA(),IF(AND(ISNUMBER(INDEX(rMed2,1778)),ISNUMBER(INDEX(rMed,1778))),INDEX(rMed,1778),NA()))</f>
        <v>130525</v>
      </c>
    </row>
    <row r="1781">
      <c r="BX1781">
        <f>IF(OR(cMed=0,cMed2=0,1779&gt;nFilas),NA(),IF(AND(ISNUMBER(INDEX(rMed2,1779)),ISNUMBER(INDEX(rMed,1779))),INDEX(rMed2,1779),NA()))</f>
        <v>4</v>
      </c>
      <c r="BY1781">
        <f>IF(OR(cMed=0,cMed2=0,1779&gt;nFilas),NA(),IF(AND(ISNUMBER(INDEX(rMed2,1779)),ISNUMBER(INDEX(rMed,1779))),INDEX(rMed,1779),NA()))</f>
        <v>348680</v>
      </c>
    </row>
    <row r="1782">
      <c r="BX1782">
        <f>IF(OR(cMed=0,cMed2=0,1780&gt;nFilas),NA(),IF(AND(ISNUMBER(INDEX(rMed2,1780)),ISNUMBER(INDEX(rMed,1780))),INDEX(rMed2,1780),NA()))</f>
        <v>5</v>
      </c>
      <c r="BY1782">
        <f>IF(OR(cMed=0,cMed2=0,1780&gt;nFilas),NA(),IF(AND(ISNUMBER(INDEX(rMed2,1780)),ISNUMBER(INDEX(rMed,1780))),INDEX(rMed,1780),NA()))</f>
        <v>678500</v>
      </c>
    </row>
    <row r="1783">
      <c r="BX1783">
        <f>IF(OR(cMed=0,cMed2=0,1781&gt;nFilas),NA(),IF(AND(ISNUMBER(INDEX(rMed2,1781)),ISNUMBER(INDEX(rMed,1781))),INDEX(rMed2,1781),NA()))</f>
        <v>1</v>
      </c>
      <c r="BY1783">
        <f>IF(OR(cMed=0,cMed2=0,1781&gt;nFilas),NA(),IF(AND(ISNUMBER(INDEX(rMed2,1781)),ISNUMBER(INDEX(rMed,1781))),INDEX(rMed,1781),NA()))</f>
        <v>102695</v>
      </c>
    </row>
    <row r="1784">
      <c r="BX1784">
        <f>IF(OR(cMed=0,cMed2=0,1782&gt;nFilas),NA(),IF(AND(ISNUMBER(INDEX(rMed2,1782)),ISNUMBER(INDEX(rMed,1782))),INDEX(rMed2,1782),NA()))</f>
        <v>4</v>
      </c>
      <c r="BY1784">
        <f>IF(OR(cMed=0,cMed2=0,1782&gt;nFilas),NA(),IF(AND(ISNUMBER(INDEX(rMed2,1782)),ISNUMBER(INDEX(rMed,1782))),INDEX(rMed,1782),NA()))</f>
        <v>1070420</v>
      </c>
    </row>
    <row r="1785">
      <c r="BX1785">
        <f>IF(OR(cMed=0,cMed2=0,1783&gt;nFilas),NA(),IF(AND(ISNUMBER(INDEX(rMed2,1783)),ISNUMBER(INDEX(rMed,1783))),INDEX(rMed2,1783),NA()))</f>
        <v>3</v>
      </c>
      <c r="BY1785">
        <f>IF(OR(cMed=0,cMed2=0,1783&gt;nFilas),NA(),IF(AND(ISNUMBER(INDEX(rMed2,1783)),ISNUMBER(INDEX(rMed,1783))),INDEX(rMed,1783),NA()))</f>
        <v>281175</v>
      </c>
    </row>
    <row r="1786">
      <c r="BX1786">
        <f>IF(OR(cMed=0,cMed2=0,1784&gt;nFilas),NA(),IF(AND(ISNUMBER(INDEX(rMed2,1784)),ISNUMBER(INDEX(rMed,1784))),INDEX(rMed2,1784),NA()))</f>
        <v>2</v>
      </c>
      <c r="BY1786">
        <f>IF(OR(cMed=0,cMed2=0,1784&gt;nFilas),NA(),IF(AND(ISNUMBER(INDEX(rMed2,1784)),ISNUMBER(INDEX(rMed,1784))),INDEX(rMed,1784),NA()))</f>
        <v>187450</v>
      </c>
    </row>
    <row r="1787">
      <c r="BX1787">
        <f>IF(OR(cMed=0,cMed2=0,1785&gt;nFilas),NA(),IF(AND(ISNUMBER(INDEX(rMed2,1785)),ISNUMBER(INDEX(rMed,1785))),INDEX(rMed2,1785),NA()))</f>
        <v>3</v>
      </c>
      <c r="BY1787">
        <f>IF(OR(cMed=0,cMed2=0,1785&gt;nFilas),NA(),IF(AND(ISNUMBER(INDEX(rMed2,1785)),ISNUMBER(INDEX(rMed,1785))),INDEX(rMed,1785),NA()))</f>
        <v>420210</v>
      </c>
    </row>
    <row r="1788">
      <c r="BX1788">
        <f>IF(OR(cMed=0,cMed2=0,1786&gt;nFilas),NA(),IF(AND(ISNUMBER(INDEX(rMed2,1786)),ISNUMBER(INDEX(rMed,1786))),INDEX(rMed2,1786),NA()))</f>
        <v>5</v>
      </c>
      <c r="BY1788">
        <f>IF(OR(cMed=0,cMed2=0,1786&gt;nFilas),NA(),IF(AND(ISNUMBER(INDEX(rMed2,1786)),ISNUMBER(INDEX(rMed,1786))),INDEX(rMed,1786),NA()))</f>
        <v>809600</v>
      </c>
    </row>
    <row r="1789">
      <c r="BX1789">
        <f>IF(OR(cMed=0,cMed2=0,1787&gt;nFilas),NA(),IF(AND(ISNUMBER(INDEX(rMed2,1787)),ISNUMBER(INDEX(rMed,1787))),INDEX(rMed2,1787),NA()))</f>
        <v>2</v>
      </c>
      <c r="BY1789">
        <f>IF(OR(cMed=0,cMed2=0,1787&gt;nFilas),NA(),IF(AND(ISNUMBER(INDEX(rMed2,1787)),ISNUMBER(INDEX(rMed,1787))),INDEX(rMed,1787),NA()))</f>
        <v>322230</v>
      </c>
    </row>
    <row r="1790">
      <c r="BX1790">
        <f>IF(OR(cMed=0,cMed2=0,1788&gt;nFilas),NA(),IF(AND(ISNUMBER(INDEX(rMed2,1788)),ISNUMBER(INDEX(rMed,1788))),INDEX(rMed2,1788),NA()))</f>
        <v>3</v>
      </c>
      <c r="BY1790">
        <f>IF(OR(cMed=0,cMed2=0,1788&gt;nFilas),NA(),IF(AND(ISNUMBER(INDEX(rMed2,1788)),ISNUMBER(INDEX(rMed,1788))),INDEX(rMed,1788),NA()))</f>
        <v>260400</v>
      </c>
    </row>
    <row r="1791">
      <c r="BX1791">
        <f>IF(OR(cMed=0,cMed2=0,1789&gt;nFilas),NA(),IF(AND(ISNUMBER(INDEX(rMed2,1789)),ISNUMBER(INDEX(rMed,1789))),INDEX(rMed2,1789),NA()))</f>
        <v>5</v>
      </c>
      <c r="BY1791">
        <f>IF(OR(cMed=0,cMed2=0,1789&gt;nFilas),NA(),IF(AND(ISNUMBER(INDEX(rMed2,1789)),ISNUMBER(INDEX(rMed,1789))),INDEX(rMed,1789),NA()))</f>
        <v>558000</v>
      </c>
    </row>
    <row r="1792">
      <c r="BX1792">
        <f>IF(OR(cMed=0,cMed2=0,1790&gt;nFilas),NA(),IF(AND(ISNUMBER(INDEX(rMed2,1790)),ISNUMBER(INDEX(rMed,1790))),INDEX(rMed2,1790),NA()))</f>
        <v>3</v>
      </c>
      <c r="BY1792">
        <f>IF(OR(cMed=0,cMed2=0,1790&gt;nFilas),NA(),IF(AND(ISNUMBER(INDEX(rMed2,1790)),ISNUMBER(INDEX(rMed,1790))),INDEX(rMed,1790),NA()))</f>
        <v>391500</v>
      </c>
    </row>
    <row r="1793">
      <c r="BX1793">
        <f>IF(OR(cMed=0,cMed2=0,1791&gt;nFilas),NA(),IF(AND(ISNUMBER(INDEX(rMed2,1791)),ISNUMBER(INDEX(rMed,1791))),INDEX(rMed2,1791),NA()))</f>
        <v>5</v>
      </c>
      <c r="BY1793">
        <f>IF(OR(cMed=0,cMed2=0,1791&gt;nFilas),NA(),IF(AND(ISNUMBER(INDEX(rMed2,1791)),ISNUMBER(INDEX(rMed,1791))),INDEX(rMed,1791),NA()))</f>
        <v>577500</v>
      </c>
    </row>
    <row r="1794">
      <c r="BX1794">
        <f>IF(OR(cMed=0,cMed2=0,1792&gt;nFilas),NA(),IF(AND(ISNUMBER(INDEX(rMed2,1792)),ISNUMBER(INDEX(rMed,1792))),INDEX(rMed2,1792),NA()))</f>
        <v>1</v>
      </c>
      <c r="BY1794">
        <f>IF(OR(cMed=0,cMed2=0,1792&gt;nFilas),NA(),IF(AND(ISNUMBER(INDEX(rMed2,1792)),ISNUMBER(INDEX(rMed,1792))),INDEX(rMed,1792),NA()))</f>
        <v>76300</v>
      </c>
    </row>
    <row r="1795">
      <c r="BX1795">
        <f>IF(OR(cMed=0,cMed2=0,1793&gt;nFilas),NA(),IF(AND(ISNUMBER(INDEX(rMed2,1793)),ISNUMBER(INDEX(rMed,1793))),INDEX(rMed2,1793),NA()))</f>
        <v>1</v>
      </c>
      <c r="BY1795">
        <f>IF(OR(cMed=0,cMed2=0,1793&gt;nFilas),NA(),IF(AND(ISNUMBER(INDEX(rMed2,1793)),ISNUMBER(INDEX(rMed,1793))),INDEX(rMed,1793),NA()))</f>
        <v>50800</v>
      </c>
    </row>
    <row r="1796">
      <c r="BX1796">
        <f>IF(OR(cMed=0,cMed2=0,1794&gt;nFilas),NA(),IF(AND(ISNUMBER(INDEX(rMed2,1794)),ISNUMBER(INDEX(rMed,1794))),INDEX(rMed2,1794),NA()))</f>
        <v>2</v>
      </c>
      <c r="BY1796">
        <f>IF(OR(cMed=0,cMed2=0,1794&gt;nFilas),NA(),IF(AND(ISNUMBER(INDEX(rMed2,1794)),ISNUMBER(INDEX(rMed,1794))),INDEX(rMed,1794),NA()))</f>
        <v>500800</v>
      </c>
    </row>
    <row r="1797">
      <c r="BX1797">
        <f>IF(OR(cMed=0,cMed2=0,1795&gt;nFilas),NA(),IF(AND(ISNUMBER(INDEX(rMed2,1795)),ISNUMBER(INDEX(rMed,1795))),INDEX(rMed2,1795),NA()))</f>
        <v>4</v>
      </c>
      <c r="BY1797">
        <f>IF(OR(cMed=0,cMed2=0,1795&gt;nFilas),NA(),IF(AND(ISNUMBER(INDEX(rMed2,1795)),ISNUMBER(INDEX(rMed,1795))),INDEX(rMed,1795),NA()))</f>
        <v>730800</v>
      </c>
    </row>
    <row r="1798">
      <c r="BX1798">
        <f>IF(OR(cMed=0,cMed2=0,1796&gt;nFilas),NA(),IF(AND(ISNUMBER(INDEX(rMed2,1796)),ISNUMBER(INDEX(rMed,1796))),INDEX(rMed2,1796),NA()))</f>
        <v>2</v>
      </c>
      <c r="BY1798">
        <f>IF(OR(cMed=0,cMed2=0,1796&gt;nFilas),NA(),IF(AND(ISNUMBER(INDEX(rMed2,1796)),ISNUMBER(INDEX(rMed,1796))),INDEX(rMed,1796),NA()))</f>
        <v>247800</v>
      </c>
    </row>
    <row r="1799">
      <c r="BX1799">
        <f>IF(OR(cMed=0,cMed2=0,1797&gt;nFilas),NA(),IF(AND(ISNUMBER(INDEX(rMed2,1797)),ISNUMBER(INDEX(rMed,1797))),INDEX(rMed2,1797),NA()))</f>
        <v>3</v>
      </c>
      <c r="BY1799">
        <f>IF(OR(cMed=0,cMed2=0,1797&gt;nFilas),NA(),IF(AND(ISNUMBER(INDEX(rMed2,1797)),ISNUMBER(INDEX(rMed,1797))),INDEX(rMed,1797),NA()))</f>
        <v>585900</v>
      </c>
    </row>
    <row r="1800">
      <c r="BX1800">
        <f>IF(OR(cMed=0,cMed2=0,1798&gt;nFilas),NA(),IF(AND(ISNUMBER(INDEX(rMed2,1798)),ISNUMBER(INDEX(rMed,1798))),INDEX(rMed2,1798),NA()))</f>
        <v>2</v>
      </c>
      <c r="BY1800">
        <f>IF(OR(cMed=0,cMed2=0,1798&gt;nFilas),NA(),IF(AND(ISNUMBER(INDEX(rMed2,1798)),ISNUMBER(INDEX(rMed,1798))),INDEX(rMed,1798),NA()))</f>
        <v>179200</v>
      </c>
    </row>
    <row r="1801">
      <c r="BX1801">
        <f>IF(OR(cMed=0,cMed2=0,1799&gt;nFilas),NA(),IF(AND(ISNUMBER(INDEX(rMed2,1799)),ISNUMBER(INDEX(rMed,1799))),INDEX(rMed2,1799),NA()))</f>
        <v>1</v>
      </c>
      <c r="BY1801">
        <f>IF(OR(cMed=0,cMed2=0,1799&gt;nFilas),NA(),IF(AND(ISNUMBER(INDEX(rMed2,1799)),ISNUMBER(INDEX(rMed,1799))),INDEX(rMed,1799),NA()))</f>
        <v>1060100</v>
      </c>
    </row>
    <row r="1802">
      <c r="BX1802">
        <f>IF(OR(cMed=0,cMed2=0,1800&gt;nFilas),NA(),IF(AND(ISNUMBER(INDEX(rMed2,1800)),ISNUMBER(INDEX(rMed,1800))),INDEX(rMed2,1800),NA()))</f>
        <v>3</v>
      </c>
      <c r="BY1802">
        <f>IF(OR(cMed=0,cMed2=0,1800&gt;nFilas),NA(),IF(AND(ISNUMBER(INDEX(rMed2,1800)),ISNUMBER(INDEX(rMed,1800))),INDEX(rMed,1800),NA()))</f>
        <v>299700</v>
      </c>
    </row>
    <row r="1803">
      <c r="BX1803">
        <f>IF(OR(cMed=0,cMed2=0,1801&gt;nFilas),NA(),IF(AND(ISNUMBER(INDEX(rMed2,1801)),ISNUMBER(INDEX(rMed,1801))),INDEX(rMed2,1801),NA()))</f>
        <v>1</v>
      </c>
      <c r="BY1803">
        <f>IF(OR(cMed=0,cMed2=0,1801&gt;nFilas),NA(),IF(AND(ISNUMBER(INDEX(rMed2,1801)),ISNUMBER(INDEX(rMed,1801))),INDEX(rMed,1801),NA()))</f>
        <v>666500</v>
      </c>
    </row>
    <row r="1804">
      <c r="BX1804">
        <f>IF(OR(cMed=0,cMed2=0,1802&gt;nFilas),NA(),IF(AND(ISNUMBER(INDEX(rMed2,1802)),ISNUMBER(INDEX(rMed,1802))),INDEX(rMed2,1802),NA()))</f>
        <v>5</v>
      </c>
      <c r="BY1804">
        <f>IF(OR(cMed=0,cMed2=0,1802&gt;nFilas),NA(),IF(AND(ISNUMBER(INDEX(rMed2,1802)),ISNUMBER(INDEX(rMed,1802))),INDEX(rMed,1802),NA()))</f>
        <v>4082500</v>
      </c>
    </row>
    <row r="1805">
      <c r="BX1805">
        <f>IF(OR(cMed=0,cMed2=0,1803&gt;nFilas),NA(),IF(AND(ISNUMBER(INDEX(rMed2,1803)),ISNUMBER(INDEX(rMed,1803))),INDEX(rMed2,1803),NA()))</f>
        <v>1</v>
      </c>
      <c r="BY1805">
        <f>IF(OR(cMed=0,cMed2=0,1803&gt;nFilas),NA(),IF(AND(ISNUMBER(INDEX(rMed2,1803)),ISNUMBER(INDEX(rMed,1803))),INDEX(rMed,1803),NA()))</f>
        <v>76015</v>
      </c>
    </row>
    <row r="1806">
      <c r="BX1806">
        <f>IF(OR(cMed=0,cMed2=0,1804&gt;nFilas),NA(),IF(AND(ISNUMBER(INDEX(rMed2,1804)),ISNUMBER(INDEX(rMed,1804))),INDEX(rMed2,1804),NA()))</f>
        <v>3</v>
      </c>
      <c r="BY1806">
        <f>IF(OR(cMed=0,cMed2=0,1804&gt;nFilas),NA(),IF(AND(ISNUMBER(INDEX(rMed2,1804)),ISNUMBER(INDEX(rMed,1804))),INDEX(rMed,1804),NA()))</f>
        <v>372255</v>
      </c>
    </row>
    <row r="1807">
      <c r="BX1807">
        <f>IF(OR(cMed=0,cMed2=0,1805&gt;nFilas),NA(),IF(AND(ISNUMBER(INDEX(rMed2,1805)),ISNUMBER(INDEX(rMed,1805))),INDEX(rMed2,1805),NA()))</f>
        <v>3</v>
      </c>
      <c r="BY1807">
        <f>IF(OR(cMed=0,cMed2=0,1805&gt;nFilas),NA(),IF(AND(ISNUMBER(INDEX(rMed2,1805)),ISNUMBER(INDEX(rMed,1805))),INDEX(rMed,1805),NA()))</f>
        <v>278070</v>
      </c>
    </row>
    <row r="1808">
      <c r="BX1808">
        <f>IF(OR(cMed=0,cMed2=0,1806&gt;nFilas),NA(),IF(AND(ISNUMBER(INDEX(rMed2,1806)),ISNUMBER(INDEX(rMed,1806))),INDEX(rMed2,1806),NA()))</f>
        <v>4</v>
      </c>
      <c r="BY1808">
        <f>IF(OR(cMed=0,cMed2=0,1806&gt;nFilas),NA(),IF(AND(ISNUMBER(INDEX(rMed2,1806)),ISNUMBER(INDEX(rMed,1806))),INDEX(rMed,1806),NA()))</f>
        <v>643540</v>
      </c>
    </row>
    <row r="1809">
      <c r="BX1809">
        <f>IF(OR(cMed=0,cMed2=0,1807&gt;nFilas),NA(),IF(AND(ISNUMBER(INDEX(rMed2,1807)),ISNUMBER(INDEX(rMed,1807))),INDEX(rMed2,1807),NA()))</f>
        <v>5</v>
      </c>
      <c r="BY1809">
        <f>IF(OR(cMed=0,cMed2=0,1807&gt;nFilas),NA(),IF(AND(ISNUMBER(INDEX(rMed2,1807)),ISNUMBER(INDEX(rMed,1807))),INDEX(rMed,1807),NA()))</f>
        <v>568675</v>
      </c>
    </row>
    <row r="1810">
      <c r="BX1810">
        <f>IF(OR(cMed=0,cMed2=0,1808&gt;nFilas),NA(),IF(AND(ISNUMBER(INDEX(rMed2,1808)),ISNUMBER(INDEX(rMed,1808))),INDEX(rMed2,1808),NA()))</f>
        <v>2</v>
      </c>
      <c r="BY1810">
        <f>IF(OR(cMed=0,cMed2=0,1808&gt;nFilas),NA(),IF(AND(ISNUMBER(INDEX(rMed2,1808)),ISNUMBER(INDEX(rMed,1808))),INDEX(rMed,1808),NA()))</f>
        <v>504850</v>
      </c>
    </row>
    <row r="1811">
      <c r="BX1811">
        <f>IF(OR(cMed=0,cMed2=0,1809&gt;nFilas),NA(),IF(AND(ISNUMBER(INDEX(rMed2,1809)),ISNUMBER(INDEX(rMed,1809))),INDEX(rMed2,1809),NA()))</f>
        <v>4</v>
      </c>
      <c r="BY1811">
        <f>IF(OR(cMed=0,cMed2=0,1809&gt;nFilas),NA(),IF(AND(ISNUMBER(INDEX(rMed2,1809)),ISNUMBER(INDEX(rMed,1809))),INDEX(rMed,1809),NA()))</f>
        <v>337640</v>
      </c>
    </row>
    <row r="1812">
      <c r="BX1812">
        <f>IF(OR(cMed=0,cMed2=0,1810&gt;nFilas),NA(),IF(AND(ISNUMBER(INDEX(rMed2,1810)),ISNUMBER(INDEX(rMed,1810))),INDEX(rMed2,1810),NA()))</f>
        <v>1</v>
      </c>
      <c r="BY1812">
        <f>IF(OR(cMed=0,cMed2=0,1810&gt;nFilas),NA(),IF(AND(ISNUMBER(INDEX(rMed2,1810)),ISNUMBER(INDEX(rMed,1810))),INDEX(rMed,1810),NA()))</f>
        <v>65320</v>
      </c>
    </row>
    <row r="1813">
      <c r="BX1813">
        <f>IF(OR(cMed=0,cMed2=0,1811&gt;nFilas),NA(),IF(AND(ISNUMBER(INDEX(rMed2,1811)),ISNUMBER(INDEX(rMed,1811))),INDEX(rMed2,1811),NA()))</f>
        <v>2</v>
      </c>
      <c r="BY1813">
        <f>IF(OR(cMed=0,cMed2=0,1811&gt;nFilas),NA(),IF(AND(ISNUMBER(INDEX(rMed2,1811)),ISNUMBER(INDEX(rMed,1811))),INDEX(rMed,1811),NA()))</f>
        <v>184460</v>
      </c>
    </row>
    <row r="1814">
      <c r="BX1814">
        <f>IF(OR(cMed=0,cMed2=0,1812&gt;nFilas),NA(),IF(AND(ISNUMBER(INDEX(rMed2,1812)),ISNUMBER(INDEX(rMed,1812))),INDEX(rMed2,1812),NA()))</f>
        <v>4</v>
      </c>
      <c r="BY1814">
        <f>IF(OR(cMed=0,cMed2=0,1812&gt;nFilas),NA(),IF(AND(ISNUMBER(INDEX(rMed2,1812)),ISNUMBER(INDEX(rMed,1812))),INDEX(rMed,1812),NA()))</f>
        <v>343160</v>
      </c>
    </row>
    <row r="1815">
      <c r="BX1815">
        <f>IF(OR(cMed=0,cMed2=0,1813&gt;nFilas),NA(),IF(AND(ISNUMBER(INDEX(rMed2,1813)),ISNUMBER(INDEX(rMed,1813))),INDEX(rMed2,1813),NA()))</f>
        <v>1</v>
      </c>
      <c r="BY1815">
        <f>IF(OR(cMed=0,cMed2=0,1813&gt;nFilas),NA(),IF(AND(ISNUMBER(INDEX(rMed2,1813)),ISNUMBER(INDEX(rMed,1813))),INDEX(rMed,1813),NA()))</f>
        <v>1111475</v>
      </c>
    </row>
    <row r="1816">
      <c r="BX1816">
        <f>IF(OR(cMed=0,cMed2=0,1814&gt;nFilas),NA(),IF(AND(ISNUMBER(INDEX(rMed2,1814)),ISNUMBER(INDEX(rMed,1814))),INDEX(rMed2,1814),NA()))</f>
        <v>1</v>
      </c>
      <c r="BY1816">
        <f>IF(OR(cMed=0,cMed2=0,1814&gt;nFilas),NA(),IF(AND(ISNUMBER(INDEX(rMed2,1814)),ISNUMBER(INDEX(rMed,1814))),INDEX(rMed,1814),NA()))</f>
        <v>118450</v>
      </c>
    </row>
    <row r="1817">
      <c r="BX1817">
        <f>IF(OR(cMed=0,cMed2=0,1815&gt;nFilas),NA(),IF(AND(ISNUMBER(INDEX(rMed2,1815)),ISNUMBER(INDEX(rMed,1815))),INDEX(rMed2,1815),NA()))</f>
        <v>3</v>
      </c>
      <c r="BY1817">
        <f>IF(OR(cMed=0,cMed2=0,1815&gt;nFilas),NA(),IF(AND(ISNUMBER(INDEX(rMed2,1815)),ISNUMBER(INDEX(rMed,1815))),INDEX(rMed,1815),NA()))</f>
        <v>2777940</v>
      </c>
    </row>
    <row r="1818">
      <c r="BX1818">
        <f>IF(OR(cMed=0,cMed2=0,1816&gt;nFilas),NA(),IF(AND(ISNUMBER(INDEX(rMed2,1816)),ISNUMBER(INDEX(rMed,1816))),INDEX(rMed2,1816),NA()))</f>
        <v>1</v>
      </c>
      <c r="BY1818">
        <f>IF(OR(cMed=0,cMed2=0,1816&gt;nFilas),NA(),IF(AND(ISNUMBER(INDEX(rMed2,1816)),ISNUMBER(INDEX(rMed,1816))),INDEX(rMed,1816),NA()))</f>
        <v>181400</v>
      </c>
    </row>
    <row r="1819">
      <c r="BX1819">
        <f>IF(OR(cMed=0,cMed2=0,1817&gt;nFilas),NA(),IF(AND(ISNUMBER(INDEX(rMed2,1817)),ISNUMBER(INDEX(rMed,1817))),INDEX(rMed2,1817),NA()))</f>
        <v>1</v>
      </c>
      <c r="BY1819">
        <f>IF(OR(cMed=0,cMed2=0,1817&gt;nFilas),NA(),IF(AND(ISNUMBER(INDEX(rMed2,1817)),ISNUMBER(INDEX(rMed,1817))),INDEX(rMed,1817),NA()))</f>
        <v>775800</v>
      </c>
    </row>
    <row r="1820">
      <c r="BX1820">
        <f>IF(OR(cMed=0,cMed2=0,1818&gt;nFilas),NA(),IF(AND(ISNUMBER(INDEX(rMed2,1818)),ISNUMBER(INDEX(rMed,1818))),INDEX(rMed2,1818),NA()))</f>
        <v>2</v>
      </c>
      <c r="BY1820">
        <f>IF(OR(cMed=0,cMed2=0,1818&gt;nFilas),NA(),IF(AND(ISNUMBER(INDEX(rMed2,1818)),ISNUMBER(INDEX(rMed,1818))),INDEX(rMed,1818),NA()))</f>
        <v>1820400</v>
      </c>
    </row>
    <row r="1821">
      <c r="BX1821">
        <f>IF(OR(cMed=0,cMed2=0,1819&gt;nFilas),NA(),IF(AND(ISNUMBER(INDEX(rMed2,1819)),ISNUMBER(INDEX(rMed,1819))),INDEX(rMed2,1819),NA()))</f>
        <v>4</v>
      </c>
      <c r="BY1821">
        <f>IF(OR(cMed=0,cMed2=0,1819&gt;nFilas),NA(),IF(AND(ISNUMBER(INDEX(rMed2,1819)),ISNUMBER(INDEX(rMed,1819))),INDEX(rMed,1819),NA()))</f>
        <v>3177600</v>
      </c>
    </row>
    <row r="1822">
      <c r="BX1822">
        <f>IF(OR(cMed=0,cMed2=0,1820&gt;nFilas),NA(),IF(AND(ISNUMBER(INDEX(rMed2,1820)),ISNUMBER(INDEX(rMed,1820))),INDEX(rMed2,1820),NA()))</f>
        <v>5</v>
      </c>
      <c r="BY1822">
        <f>IF(OR(cMed=0,cMed2=0,1820&gt;nFilas),NA(),IF(AND(ISNUMBER(INDEX(rMed2,1820)),ISNUMBER(INDEX(rMed,1820))),INDEX(rMed,1820),NA()))</f>
        <v>438500</v>
      </c>
    </row>
    <row r="1823">
      <c r="BX1823">
        <f>IF(OR(cMed=0,cMed2=0,1821&gt;nFilas),NA(),IF(AND(ISNUMBER(INDEX(rMed2,1821)),ISNUMBER(INDEX(rMed,1821))),INDEX(rMed2,1821),NA()))</f>
        <v>4</v>
      </c>
      <c r="BY1823">
        <f>IF(OR(cMed=0,cMed2=0,1821&gt;nFilas),NA(),IF(AND(ISNUMBER(INDEX(rMed2,1821)),ISNUMBER(INDEX(rMed,1821))),INDEX(rMed,1821),NA()))</f>
        <v>539200</v>
      </c>
    </row>
    <row r="1824">
      <c r="BX1824">
        <f>IF(OR(cMed=0,cMed2=0,1822&gt;nFilas),NA(),IF(AND(ISNUMBER(INDEX(rMed2,1822)),ISNUMBER(INDEX(rMed,1822))),INDEX(rMed2,1822),NA()))</f>
        <v>4</v>
      </c>
      <c r="BY1824">
        <f>IF(OR(cMed=0,cMed2=0,1822&gt;nFilas),NA(),IF(AND(ISNUMBER(INDEX(rMed2,1822)),ISNUMBER(INDEX(rMed,1822))),INDEX(rMed,1822),NA()))</f>
        <v>468400</v>
      </c>
    </row>
    <row r="1825">
      <c r="BX1825">
        <f>IF(OR(cMed=0,cMed2=0,1823&gt;nFilas),NA(),IF(AND(ISNUMBER(INDEX(rMed2,1823)),ISNUMBER(INDEX(rMed,1823))),INDEX(rMed2,1823),NA()))</f>
        <v>5</v>
      </c>
      <c r="BY1825">
        <f>IF(OR(cMed=0,cMed2=0,1823&gt;nFilas),NA(),IF(AND(ISNUMBER(INDEX(rMed2,1823)),ISNUMBER(INDEX(rMed,1823))),INDEX(rMed,1823),NA()))</f>
        <v>291500</v>
      </c>
    </row>
    <row r="1826">
      <c r="BX1826">
        <f>IF(OR(cMed=0,cMed2=0,1824&gt;nFilas),NA(),IF(AND(ISNUMBER(INDEX(rMed2,1824)),ISNUMBER(INDEX(rMed,1824))),INDEX(rMed2,1824),NA()))</f>
        <v>3</v>
      </c>
      <c r="BY1826">
        <f>IF(OR(cMed=0,cMed2=0,1824&gt;nFilas),NA(),IF(AND(ISNUMBER(INDEX(rMed2,1824)),ISNUMBER(INDEX(rMed,1824))),INDEX(rMed,1824),NA()))</f>
        <v>2799000</v>
      </c>
    </row>
    <row r="1827">
      <c r="BX1827">
        <f>IF(OR(cMed=0,cMed2=0,1825&gt;nFilas),NA(),IF(AND(ISNUMBER(INDEX(rMed2,1825)),ISNUMBER(INDEX(rMed,1825))),INDEX(rMed2,1825),NA()))</f>
        <v>1</v>
      </c>
      <c r="BY1827">
        <f>IF(OR(cMed=0,cMed2=0,1825&gt;nFilas),NA(),IF(AND(ISNUMBER(INDEX(rMed2,1825)),ISNUMBER(INDEX(rMed,1825))),INDEX(rMed,1825),NA()))</f>
        <v>189000</v>
      </c>
    </row>
    <row r="1828">
      <c r="BX1828">
        <f>IF(OR(cMed=0,cMed2=0,1826&gt;nFilas),NA(),IF(AND(ISNUMBER(INDEX(rMed2,1826)),ISNUMBER(INDEX(rMed,1826))),INDEX(rMed2,1826),NA()))</f>
        <v>4</v>
      </c>
      <c r="BY1828">
        <f>IF(OR(cMed=0,cMed2=0,1826&gt;nFilas),NA(),IF(AND(ISNUMBER(INDEX(rMed2,1826)),ISNUMBER(INDEX(rMed,1826))),INDEX(rMed,1826),NA()))</f>
        <v>304800</v>
      </c>
    </row>
    <row r="1829">
      <c r="BX1829">
        <f>IF(OR(cMed=0,cMed2=0,1827&gt;nFilas),NA(),IF(AND(ISNUMBER(INDEX(rMed2,1827)),ISNUMBER(INDEX(rMed,1827))),INDEX(rMed2,1827),NA()))</f>
        <v>1</v>
      </c>
      <c r="BY1829">
        <f>IF(OR(cMed=0,cMed2=0,1827&gt;nFilas),NA(),IF(AND(ISNUMBER(INDEX(rMed2,1827)),ISNUMBER(INDEX(rMed,1827))),INDEX(rMed,1827),NA()))</f>
        <v>98600</v>
      </c>
    </row>
    <row r="1830">
      <c r="BX1830">
        <f>IF(OR(cMed=0,cMed2=0,1828&gt;nFilas),NA(),IF(AND(ISNUMBER(INDEX(rMed2,1828)),ISNUMBER(INDEX(rMed,1828))),INDEX(rMed2,1828),NA()))</f>
        <v>2</v>
      </c>
      <c r="BY1830">
        <f>IF(OR(cMed=0,cMed2=0,1828&gt;nFilas),NA(),IF(AND(ISNUMBER(INDEX(rMed2,1828)),ISNUMBER(INDEX(rMed,1828))),INDEX(rMed,1828),NA()))</f>
        <v>167200</v>
      </c>
    </row>
    <row r="1831">
      <c r="BX1831">
        <f>IF(OR(cMed=0,cMed2=0,1829&gt;nFilas),NA(),IF(AND(ISNUMBER(INDEX(rMed2,1829)),ISNUMBER(INDEX(rMed,1829))),INDEX(rMed2,1829),NA()))</f>
        <v>3</v>
      </c>
      <c r="BY1831">
        <f>IF(OR(cMed=0,cMed2=0,1829&gt;nFilas),NA(),IF(AND(ISNUMBER(INDEX(rMed2,1829)),ISNUMBER(INDEX(rMed,1829))),INDEX(rMed,1829),NA()))</f>
        <v>699000</v>
      </c>
    </row>
    <row r="1832">
      <c r="BX1832">
        <f>IF(OR(cMed=0,cMed2=0,1830&gt;nFilas),NA(),IF(AND(ISNUMBER(INDEX(rMed2,1830)),ISNUMBER(INDEX(rMed,1830))),INDEX(rMed2,1830),NA()))</f>
        <v>4</v>
      </c>
      <c r="BY1832">
        <f>IF(OR(cMed=0,cMed2=0,1830&gt;nFilas),NA(),IF(AND(ISNUMBER(INDEX(rMed2,1830)),ISNUMBER(INDEX(rMed,1830))),INDEX(rMed,1830),NA()))</f>
        <v>454800</v>
      </c>
    </row>
    <row r="1833">
      <c r="BX1833">
        <f>IF(OR(cMed=0,cMed2=0,1831&gt;nFilas),NA(),IF(AND(ISNUMBER(INDEX(rMed2,1831)),ISNUMBER(INDEX(rMed,1831))),INDEX(rMed2,1831),NA()))</f>
        <v>4</v>
      </c>
      <c r="BY1833">
        <f>IF(OR(cMed=0,cMed2=0,1831&gt;nFilas),NA(),IF(AND(ISNUMBER(INDEX(rMed2,1831)),ISNUMBER(INDEX(rMed,1831))),INDEX(rMed,1831),NA()))</f>
        <v>607600</v>
      </c>
    </row>
    <row r="1834">
      <c r="BX1834">
        <f>IF(OR(cMed=0,cMed2=0,1832&gt;nFilas),NA(),IF(AND(ISNUMBER(INDEX(rMed2,1832)),ISNUMBER(INDEX(rMed,1832))),INDEX(rMed2,1832),NA()))</f>
        <v>1</v>
      </c>
      <c r="BY1834">
        <f>IF(OR(cMed=0,cMed2=0,1832&gt;nFilas),NA(),IF(AND(ISNUMBER(INDEX(rMed2,1832)),ISNUMBER(INDEX(rMed,1832))),INDEX(rMed,1832),NA()))</f>
        <v>209800</v>
      </c>
    </row>
    <row r="1835">
      <c r="BX1835">
        <f>IF(OR(cMed=0,cMed2=0,1833&gt;nFilas),NA(),IF(AND(ISNUMBER(INDEX(rMed2,1833)),ISNUMBER(INDEX(rMed,1833))),INDEX(rMed2,1833),NA()))</f>
        <v>2</v>
      </c>
      <c r="BY1835">
        <f>IF(OR(cMed=0,cMed2=0,1833&gt;nFilas),NA(),IF(AND(ISNUMBER(INDEX(rMed2,1833)),ISNUMBER(INDEX(rMed,1833))),INDEX(rMed,1833),NA()))</f>
        <v>194200</v>
      </c>
    </row>
    <row r="1836">
      <c r="BX1836">
        <f>IF(OR(cMed=0,cMed2=0,1834&gt;nFilas),NA(),IF(AND(ISNUMBER(INDEX(rMed2,1834)),ISNUMBER(INDEX(rMed,1834))),INDEX(rMed2,1834),NA()))</f>
        <v>4</v>
      </c>
      <c r="BY1836">
        <f>IF(OR(cMed=0,cMed2=0,1834&gt;nFilas),NA(),IF(AND(ISNUMBER(INDEX(rMed2,1834)),ISNUMBER(INDEX(rMed,1834))),INDEX(rMed,1834),NA()))</f>
        <v>2774000</v>
      </c>
    </row>
    <row r="1837">
      <c r="BX1837">
        <f>IF(OR(cMed=0,cMed2=0,1835&gt;nFilas),NA(),IF(AND(ISNUMBER(INDEX(rMed2,1835)),ISNUMBER(INDEX(rMed,1835))),INDEX(rMed2,1835),NA()))</f>
        <v>3</v>
      </c>
      <c r="BY1837">
        <f>IF(OR(cMed=0,cMed2=0,1835&gt;nFilas),NA(),IF(AND(ISNUMBER(INDEX(rMed2,1835)),ISNUMBER(INDEX(rMed,1835))),INDEX(rMed,1835),NA()))</f>
        <v>448200</v>
      </c>
    </row>
    <row r="1838">
      <c r="BX1838">
        <f>IF(OR(cMed=0,cMed2=0,1836&gt;nFilas),NA(),IF(AND(ISNUMBER(INDEX(rMed2,1836)),ISNUMBER(INDEX(rMed,1836))),INDEX(rMed2,1836),NA()))</f>
        <v>5</v>
      </c>
      <c r="BY1838">
        <f>IF(OR(cMed=0,cMed2=0,1836&gt;nFilas),NA(),IF(AND(ISNUMBER(INDEX(rMed2,1836)),ISNUMBER(INDEX(rMed,1836))),INDEX(rMed,1836),NA()))</f>
        <v>442000</v>
      </c>
    </row>
    <row r="1839">
      <c r="BX1839">
        <f>IF(OR(cMed=0,cMed2=0,1837&gt;nFilas),NA(),IF(AND(ISNUMBER(INDEX(rMed2,1837)),ISNUMBER(INDEX(rMed,1837))),INDEX(rMed2,1837),NA()))</f>
        <v>1</v>
      </c>
      <c r="BY1839">
        <f>IF(OR(cMed=0,cMed2=0,1837&gt;nFilas),NA(),IF(AND(ISNUMBER(INDEX(rMed2,1837)),ISNUMBER(INDEX(rMed,1837))),INDEX(rMed,1837),NA()))</f>
        <v>963585</v>
      </c>
    </row>
    <row r="1840">
      <c r="BX1840">
        <f>IF(OR(cMed=0,cMed2=0,1838&gt;nFilas),NA(),IF(AND(ISNUMBER(INDEX(rMed2,1838)),ISNUMBER(INDEX(rMed,1838))),INDEX(rMed2,1838),NA()))</f>
        <v>2</v>
      </c>
      <c r="BY1840">
        <f>IF(OR(cMed=0,cMed2=0,1838&gt;nFilas),NA(),IF(AND(ISNUMBER(INDEX(rMed2,1838)),ISNUMBER(INDEX(rMed,1838))),INDEX(rMed,1838),NA()))</f>
        <v>420670</v>
      </c>
    </row>
    <row r="1841">
      <c r="BX1841">
        <f>IF(OR(cMed=0,cMed2=0,1839&gt;nFilas),NA(),IF(AND(ISNUMBER(INDEX(rMed2,1839)),ISNUMBER(INDEX(rMed,1839))),INDEX(rMed2,1839),NA()))</f>
        <v>3</v>
      </c>
      <c r="BY1841">
        <f>IF(OR(cMed=0,cMed2=0,1839&gt;nFilas),NA(),IF(AND(ISNUMBER(INDEX(rMed2,1839)),ISNUMBER(INDEX(rMed,1839))),INDEX(rMed,1839),NA()))</f>
        <v>641700</v>
      </c>
    </row>
    <row r="1842">
      <c r="BX1842">
        <f>IF(OR(cMed=0,cMed2=0,1840&gt;nFilas),NA(),IF(AND(ISNUMBER(INDEX(rMed2,1840)),ISNUMBER(INDEX(rMed,1840))),INDEX(rMed2,1840),NA()))</f>
        <v>5</v>
      </c>
      <c r="BY1842">
        <f>IF(OR(cMed=0,cMed2=0,1840&gt;nFilas),NA(),IF(AND(ISNUMBER(INDEX(rMed2,1840)),ISNUMBER(INDEX(rMed,1840))),INDEX(rMed,1840),NA()))</f>
        <v>714150</v>
      </c>
    </row>
    <row r="1843">
      <c r="BX1843">
        <f>IF(OR(cMed=0,cMed2=0,1841&gt;nFilas),NA(),IF(AND(ISNUMBER(INDEX(rMed2,1841)),ISNUMBER(INDEX(rMed,1841))),INDEX(rMed2,1841),NA()))</f>
        <v>4</v>
      </c>
      <c r="BY1843">
        <f>IF(OR(cMed=0,cMed2=0,1841&gt;nFilas),NA(),IF(AND(ISNUMBER(INDEX(rMed2,1841)),ISNUMBER(INDEX(rMed,1841))),INDEX(rMed,1841),NA()))</f>
        <v>310960</v>
      </c>
    </row>
    <row r="1844">
      <c r="BX1844">
        <f>IF(OR(cMed=0,cMed2=0,1842&gt;nFilas),NA(),IF(AND(ISNUMBER(INDEX(rMed2,1842)),ISNUMBER(INDEX(rMed,1842))),INDEX(rMed2,1842),NA()))</f>
        <v>1</v>
      </c>
      <c r="BY1844">
        <f>IF(OR(cMed=0,cMed2=0,1842&gt;nFilas),NA(),IF(AND(ISNUMBER(INDEX(rMed2,1842)),ISNUMBER(INDEX(rMed,1842))),INDEX(rMed,1842),NA()))</f>
        <v>98440</v>
      </c>
    </row>
    <row r="1845">
      <c r="BX1845">
        <f>IF(OR(cMed=0,cMed2=0,1843&gt;nFilas),NA(),IF(AND(ISNUMBER(INDEX(rMed2,1843)),ISNUMBER(INDEX(rMed,1843))),INDEX(rMed2,1843),NA()))</f>
        <v>3</v>
      </c>
      <c r="BY1845">
        <f>IF(OR(cMed=0,cMed2=0,1843&gt;nFilas),NA(),IF(AND(ISNUMBER(INDEX(rMed2,1843)),ISNUMBER(INDEX(rMed,1843))),INDEX(rMed,1843),NA()))</f>
        <v>2140380</v>
      </c>
    </row>
    <row r="1846">
      <c r="BX1846">
        <f>IF(OR(cMed=0,cMed2=0,1844&gt;nFilas),NA(),IF(AND(ISNUMBER(INDEX(rMed2,1844)),ISNUMBER(INDEX(rMed,1844))),INDEX(rMed2,1844),NA()))</f>
        <v>1</v>
      </c>
      <c r="BY1846">
        <f>IF(OR(cMed=0,cMed2=0,1844&gt;nFilas),NA(),IF(AND(ISNUMBER(INDEX(rMed2,1844)),ISNUMBER(INDEX(rMed,1844))),INDEX(rMed,1844),NA()))</f>
        <v>1250510</v>
      </c>
    </row>
    <row r="1847">
      <c r="BX1847">
        <f>IF(OR(cMed=0,cMed2=0,1845&gt;nFilas),NA(),IF(AND(ISNUMBER(INDEX(rMed2,1845)),ISNUMBER(INDEX(rMed,1845))),INDEX(rMed2,1845),NA()))</f>
        <v>3</v>
      </c>
      <c r="BY1847">
        <f>IF(OR(cMed=0,cMed2=0,1845&gt;nFilas),NA(),IF(AND(ISNUMBER(INDEX(rMed2,1845)),ISNUMBER(INDEX(rMed,1845))),INDEX(rMed,1845),NA()))</f>
        <v>513015</v>
      </c>
    </row>
    <row r="1848">
      <c r="BX1848">
        <f>IF(OR(cMed=0,cMed2=0,1846&gt;nFilas),NA(),IF(AND(ISNUMBER(INDEX(rMed2,1846)),ISNUMBER(INDEX(rMed,1846))),INDEX(rMed2,1846),NA()))</f>
        <v>1</v>
      </c>
      <c r="BY1848">
        <f>IF(OR(cMed=0,cMed2=0,1846&gt;nFilas),NA(),IF(AND(ISNUMBER(INDEX(rMed2,1846)),ISNUMBER(INDEX(rMed,1846))),INDEX(rMed,1846),NA()))</f>
        <v>871470</v>
      </c>
    </row>
    <row r="1849">
      <c r="BX1849">
        <f>IF(OR(cMed=0,cMed2=0,1847&gt;nFilas),NA(),IF(AND(ISNUMBER(INDEX(rMed2,1847)),ISNUMBER(INDEX(rMed,1847))),INDEX(rMed2,1847),NA()))</f>
        <v>3</v>
      </c>
      <c r="BY1849">
        <f>IF(OR(cMed=0,cMed2=0,1847&gt;nFilas),NA(),IF(AND(ISNUMBER(INDEX(rMed2,1847)),ISNUMBER(INDEX(rMed,1847))),INDEX(rMed,1847),NA()))</f>
        <v>422280</v>
      </c>
    </row>
    <row r="1850">
      <c r="BX1850">
        <f>IF(OR(cMed=0,cMed2=0,1848&gt;nFilas),NA(),IF(AND(ISNUMBER(INDEX(rMed2,1848)),ISNUMBER(INDEX(rMed,1848))),INDEX(rMed2,1848),NA()))</f>
        <v>1</v>
      </c>
      <c r="BY1850">
        <f>IF(OR(cMed=0,cMed2=0,1848&gt;nFilas),NA(),IF(AND(ISNUMBER(INDEX(rMed2,1848)),ISNUMBER(INDEX(rMed,1848))),INDEX(rMed,1848),NA()))</f>
        <v>165255</v>
      </c>
    </row>
    <row r="1851">
      <c r="BX1851">
        <f>IF(OR(cMed=0,cMed2=0,1849&gt;nFilas),NA(),IF(AND(ISNUMBER(INDEX(rMed2,1849)),ISNUMBER(INDEX(rMed,1849))),INDEX(rMed2,1849),NA()))</f>
        <v>5</v>
      </c>
      <c r="BY1851">
        <f>IF(OR(cMed=0,cMed2=0,1849&gt;nFilas),NA(),IF(AND(ISNUMBER(INDEX(rMed2,1849)),ISNUMBER(INDEX(rMed,1849))),INDEX(rMed,1849),NA()))</f>
        <v>296700</v>
      </c>
    </row>
    <row r="1852">
      <c r="BX1852">
        <f>IF(OR(cMed=0,cMed2=0,1850&gt;nFilas),NA(),IF(AND(ISNUMBER(INDEX(rMed2,1850)),ISNUMBER(INDEX(rMed,1850))),INDEX(rMed2,1850),NA()))</f>
        <v>4</v>
      </c>
      <c r="BY1852">
        <f>IF(OR(cMed=0,cMed2=0,1850&gt;nFilas),NA(),IF(AND(ISNUMBER(INDEX(rMed2,1850)),ISNUMBER(INDEX(rMed,1850))),INDEX(rMed,1850),NA()))</f>
        <v>337180</v>
      </c>
    </row>
    <row r="1853">
      <c r="BX1853">
        <f>IF(OR(cMed=0,cMed2=0,1851&gt;nFilas),NA(),IF(AND(ISNUMBER(INDEX(rMed2,1851)),ISNUMBER(INDEX(rMed,1851))),INDEX(rMed2,1851),NA()))</f>
        <v>2</v>
      </c>
      <c r="BY1853">
        <f>IF(OR(cMed=0,cMed2=0,1851&gt;nFilas),NA(),IF(AND(ISNUMBER(INDEX(rMed2,1851)),ISNUMBER(INDEX(rMed,1851))),INDEX(rMed,1851),NA()))</f>
        <v>151800</v>
      </c>
    </row>
    <row r="1854">
      <c r="BX1854">
        <f>IF(OR(cMed=0,cMed2=0,1852&gt;nFilas),NA(),IF(AND(ISNUMBER(INDEX(rMed2,1852)),ISNUMBER(INDEX(rMed,1852))),INDEX(rMed2,1852),NA()))</f>
        <v>3</v>
      </c>
      <c r="BY1854">
        <f>IF(OR(cMed=0,cMed2=0,1852&gt;nFilas),NA(),IF(AND(ISNUMBER(INDEX(rMed2,1852)),ISNUMBER(INDEX(rMed,1852))),INDEX(rMed,1852),NA()))</f>
        <v>2755515</v>
      </c>
    </row>
    <row r="1855">
      <c r="BX1855">
        <f>IF(OR(cMed=0,cMed2=0,1853&gt;nFilas),NA(),IF(AND(ISNUMBER(INDEX(rMed2,1853)),ISNUMBER(INDEX(rMed,1853))),INDEX(rMed2,1853),NA()))</f>
        <v>2</v>
      </c>
      <c r="BY1855">
        <f>IF(OR(cMed=0,cMed2=0,1853&gt;nFilas),NA(),IF(AND(ISNUMBER(INDEX(rMed2,1853)),ISNUMBER(INDEX(rMed,1853))),INDEX(rMed,1853),NA()))</f>
        <v>263810</v>
      </c>
    </row>
    <row r="1856">
      <c r="BX1856">
        <f>IF(OR(cMed=0,cMed2=0,1854&gt;nFilas),NA(),IF(AND(ISNUMBER(INDEX(rMed2,1854)),ISNUMBER(INDEX(rMed,1854))),INDEX(rMed2,1854),NA()))</f>
        <v>4</v>
      </c>
      <c r="BY1856">
        <f>IF(OR(cMed=0,cMed2=0,1854&gt;nFilas),NA(),IF(AND(ISNUMBER(INDEX(rMed2,1854)),ISNUMBER(INDEX(rMed,1854))),INDEX(rMed,1854),NA()))</f>
        <v>1115500</v>
      </c>
    </row>
    <row r="1857">
      <c r="BX1857">
        <f>IF(OR(cMed=0,cMed2=0,1855&gt;nFilas),NA(),IF(AND(ISNUMBER(INDEX(rMed2,1855)),ISNUMBER(INDEX(rMed,1855))),INDEX(rMed2,1855),NA()))</f>
        <v>5</v>
      </c>
      <c r="BY1857">
        <f>IF(OR(cMed=0,cMed2=0,1855&gt;nFilas),NA(),IF(AND(ISNUMBER(INDEX(rMed2,1855)),ISNUMBER(INDEX(rMed,1855))),INDEX(rMed,1855),NA()))</f>
        <v>556000</v>
      </c>
    </row>
    <row r="1858">
      <c r="BX1858">
        <f>IF(OR(cMed=0,cMed2=0,1856&gt;nFilas),NA(),IF(AND(ISNUMBER(INDEX(rMed2,1856)),ISNUMBER(INDEX(rMed,1856))),INDEX(rMed2,1856),NA()))</f>
        <v>1</v>
      </c>
      <c r="BY1858">
        <f>IF(OR(cMed=0,cMed2=0,1856&gt;nFilas),NA(),IF(AND(ISNUMBER(INDEX(rMed2,1856)),ISNUMBER(INDEX(rMed,1856))),INDEX(rMed,1856),NA()))</f>
        <v>619700</v>
      </c>
    </row>
    <row r="1859">
      <c r="BX1859">
        <f>IF(OR(cMed=0,cMed2=0,1857&gt;nFilas),NA(),IF(AND(ISNUMBER(INDEX(rMed2,1857)),ISNUMBER(INDEX(rMed,1857))),INDEX(rMed2,1857),NA()))</f>
        <v>3</v>
      </c>
      <c r="BY1859">
        <f>IF(OR(cMed=0,cMed2=0,1857&gt;nFilas),NA(),IF(AND(ISNUMBER(INDEX(rMed2,1857)),ISNUMBER(INDEX(rMed,1857))),INDEX(rMed,1857),NA()))</f>
        <v>259200</v>
      </c>
    </row>
    <row r="1860">
      <c r="BX1860">
        <f>IF(OR(cMed=0,cMed2=0,1858&gt;nFilas),NA(),IF(AND(ISNUMBER(INDEX(rMed2,1858)),ISNUMBER(INDEX(rMed,1858))),INDEX(rMed2,1858),NA()))</f>
        <v>4</v>
      </c>
      <c r="BY1860">
        <f>IF(OR(cMed=0,cMed2=0,1858&gt;nFilas),NA(),IF(AND(ISNUMBER(INDEX(rMed2,1858)),ISNUMBER(INDEX(rMed,1858))),INDEX(rMed,1858),NA()))</f>
        <v>406400</v>
      </c>
    </row>
    <row r="1861">
      <c r="BX1861">
        <f>IF(OR(cMed=0,cMed2=0,1859&gt;nFilas),NA(),IF(AND(ISNUMBER(INDEX(rMed2,1859)),ISNUMBER(INDEX(rMed,1859))),INDEX(rMed2,1859),NA()))</f>
        <v>1</v>
      </c>
      <c r="BY1861">
        <f>IF(OR(cMed=0,cMed2=0,1859&gt;nFilas),NA(),IF(AND(ISNUMBER(INDEX(rMed2,1859)),ISNUMBER(INDEX(rMed,1859))),INDEX(rMed,1859),NA()))</f>
        <v>107400</v>
      </c>
    </row>
    <row r="1862">
      <c r="BX1862">
        <f>IF(OR(cMed=0,cMed2=0,1860&gt;nFilas),NA(),IF(AND(ISNUMBER(INDEX(rMed2,1860)),ISNUMBER(INDEX(rMed,1860))),INDEX(rMed2,1860),NA()))</f>
        <v>2</v>
      </c>
      <c r="BY1862">
        <f>IF(OR(cMed=0,cMed2=0,1860&gt;nFilas),NA(),IF(AND(ISNUMBER(INDEX(rMed2,1860)),ISNUMBER(INDEX(rMed,1860))),INDEX(rMed,1860),NA()))</f>
        <v>212600</v>
      </c>
    </row>
    <row r="1863">
      <c r="BX1863">
        <f>IF(OR(cMed=0,cMed2=0,1861&gt;nFilas),NA(),IF(AND(ISNUMBER(INDEX(rMed2,1861)),ISNUMBER(INDEX(rMed,1861))),INDEX(rMed2,1861),NA()))</f>
        <v>1</v>
      </c>
      <c r="BY1863">
        <f>IF(OR(cMed=0,cMed2=0,1861&gt;nFilas),NA(),IF(AND(ISNUMBER(INDEX(rMed2,1861)),ISNUMBER(INDEX(rMed,1861))),INDEX(rMed,1861),NA()))</f>
        <v>263600</v>
      </c>
    </row>
    <row r="1864">
      <c r="BX1864">
        <f>IF(OR(cMed=0,cMed2=0,1862&gt;nFilas),NA(),IF(AND(ISNUMBER(INDEX(rMed2,1862)),ISNUMBER(INDEX(rMed,1862))),INDEX(rMed2,1862),NA()))</f>
        <v>2</v>
      </c>
      <c r="BY1864">
        <f>IF(OR(cMed=0,cMed2=0,1862&gt;nFilas),NA(),IF(AND(ISNUMBER(INDEX(rMed2,1862)),ISNUMBER(INDEX(rMed,1862))),INDEX(rMed,1862),NA()))</f>
        <v>304200</v>
      </c>
    </row>
    <row r="1865">
      <c r="BX1865">
        <f>IF(OR(cMed=0,cMed2=0,1863&gt;nFilas),NA(),IF(AND(ISNUMBER(INDEX(rMed2,1863)),ISNUMBER(INDEX(rMed,1863))),INDEX(rMed2,1863),NA()))</f>
        <v>5</v>
      </c>
      <c r="BY1865">
        <f>IF(OR(cMed=0,cMed2=0,1863&gt;nFilas),NA(),IF(AND(ISNUMBER(INDEX(rMed2,1863)),ISNUMBER(INDEX(rMed,1863))),INDEX(rMed,1863),NA()))</f>
        <v>1351000</v>
      </c>
    </row>
    <row r="1866">
      <c r="BX1866">
        <f>IF(OR(cMed=0,cMed2=0,1864&gt;nFilas),NA(),IF(AND(ISNUMBER(INDEX(rMed2,1864)),ISNUMBER(INDEX(rMed,1864))),INDEX(rMed2,1864),NA()))</f>
        <v>3</v>
      </c>
      <c r="BY1866">
        <f>IF(OR(cMed=0,cMed2=0,1864&gt;nFilas),NA(),IF(AND(ISNUMBER(INDEX(rMed2,1864)),ISNUMBER(INDEX(rMed,1864))),INDEX(rMed,1864),NA()))</f>
        <v>369840</v>
      </c>
    </row>
    <row r="1867">
      <c r="BX1867">
        <f>IF(OR(cMed=0,cMed2=0,1865&gt;nFilas),NA(),IF(AND(ISNUMBER(INDEX(rMed2,1865)),ISNUMBER(INDEX(rMed,1865))),INDEX(rMed2,1865),NA()))</f>
        <v>2</v>
      </c>
      <c r="BY1867">
        <f>IF(OR(cMed=0,cMed2=0,1865&gt;nFilas),NA(),IF(AND(ISNUMBER(INDEX(rMed2,1865)),ISNUMBER(INDEX(rMed,1865))),INDEX(rMed,1865),NA()))</f>
        <v>486220</v>
      </c>
    </row>
    <row r="1868">
      <c r="BX1868">
        <f>IF(OR(cMed=0,cMed2=0,1866&gt;nFilas),NA(),IF(AND(ISNUMBER(INDEX(rMed2,1866)),ISNUMBER(INDEX(rMed,1866))),INDEX(rMed2,1866),NA()))</f>
        <v>3</v>
      </c>
      <c r="BY1868">
        <f>IF(OR(cMed=0,cMed2=0,1866&gt;nFilas),NA(),IF(AND(ISNUMBER(INDEX(rMed2,1866)),ISNUMBER(INDEX(rMed,1866))),INDEX(rMed,1866),NA()))</f>
        <v>268065</v>
      </c>
    </row>
    <row r="1869">
      <c r="BX1869">
        <f>IF(OR(cMed=0,cMed2=0,1867&gt;nFilas),NA(),IF(AND(ISNUMBER(INDEX(rMed2,1867)),ISNUMBER(INDEX(rMed,1867))),INDEX(rMed2,1867),NA()))</f>
        <v>2</v>
      </c>
      <c r="BY1869">
        <f>IF(OR(cMed=0,cMed2=0,1867&gt;nFilas),NA(),IF(AND(ISNUMBER(INDEX(rMed2,1867)),ISNUMBER(INDEX(rMed,1867))),INDEX(rMed,1867),NA()))</f>
        <v>194580</v>
      </c>
    </row>
    <row r="1870">
      <c r="BX1870">
        <f>IF(OR(cMed=0,cMed2=0,1868&gt;nFilas),NA(),IF(AND(ISNUMBER(INDEX(rMed2,1868)),ISNUMBER(INDEX(rMed,1868))),INDEX(rMed2,1868),NA()))</f>
        <v>2</v>
      </c>
      <c r="BY1870">
        <f>IF(OR(cMed=0,cMed2=0,1868&gt;nFilas),NA(),IF(AND(ISNUMBER(INDEX(rMed2,1868)),ISNUMBER(INDEX(rMed,1868))),INDEX(rMed,1868),NA()))</f>
        <v>251850</v>
      </c>
    </row>
    <row r="1871">
      <c r="BX1871">
        <f>IF(OR(cMed=0,cMed2=0,1869&gt;nFilas),NA(),IF(AND(ISNUMBER(INDEX(rMed2,1869)),ISNUMBER(INDEX(rMed,1869))),INDEX(rMed2,1869),NA()))</f>
        <v>1</v>
      </c>
      <c r="BY1871">
        <f>IF(OR(cMed=0,cMed2=0,1869&gt;nFilas),NA(),IF(AND(ISNUMBER(INDEX(rMed2,1869)),ISNUMBER(INDEX(rMed,1869))),INDEX(rMed,1869),NA()))</f>
        <v>106950</v>
      </c>
    </row>
    <row r="1872">
      <c r="BX1872">
        <f>IF(OR(cMed=0,cMed2=0,1870&gt;nFilas),NA(),IF(AND(ISNUMBER(INDEX(rMed2,1870)),ISNUMBER(INDEX(rMed,1870))),INDEX(rMed2,1870),NA()))</f>
        <v>2</v>
      </c>
      <c r="BY1872">
        <f>IF(OR(cMed=0,cMed2=0,1870&gt;nFilas),NA(),IF(AND(ISNUMBER(INDEX(rMed2,1870)),ISNUMBER(INDEX(rMed,1870))),INDEX(rMed,1870),NA()))</f>
        <v>218730</v>
      </c>
    </row>
    <row r="1873">
      <c r="BX1873">
        <f>IF(OR(cMed=0,cMed2=0,1871&gt;nFilas),NA(),IF(AND(ISNUMBER(INDEX(rMed2,1871)),ISNUMBER(INDEX(rMed,1871))),INDEX(rMed2,1871),NA()))</f>
        <v>5</v>
      </c>
      <c r="BY1873">
        <f>IF(OR(cMed=0,cMed2=0,1871&gt;nFilas),NA(),IF(AND(ISNUMBER(INDEX(rMed2,1871)),ISNUMBER(INDEX(rMed,1871))),INDEX(rMed,1871),NA()))</f>
        <v>871125</v>
      </c>
    </row>
    <row r="1874">
      <c r="BX1874">
        <f>IF(OR(cMed=0,cMed2=0,1872&gt;nFilas),NA(),IF(AND(ISNUMBER(INDEX(rMed2,1872)),ISNUMBER(INDEX(rMed,1872))),INDEX(rMed2,1872),NA()))</f>
        <v>2</v>
      </c>
      <c r="BY1874">
        <f>IF(OR(cMed=0,cMed2=0,1872&gt;nFilas),NA(),IF(AND(ISNUMBER(INDEX(rMed2,1872)),ISNUMBER(INDEX(rMed,1872))),INDEX(rMed,1872),NA()))</f>
        <v>377200</v>
      </c>
    </row>
    <row r="1875">
      <c r="BX1875">
        <f>IF(OR(cMed=0,cMed2=0,1873&gt;nFilas),NA(),IF(AND(ISNUMBER(INDEX(rMed2,1873)),ISNUMBER(INDEX(rMed,1873))),INDEX(rMed2,1873),NA()))</f>
        <v>1</v>
      </c>
      <c r="BY1875">
        <f>IF(OR(cMed=0,cMed2=0,1873&gt;nFilas),NA(),IF(AND(ISNUMBER(INDEX(rMed2,1873)),ISNUMBER(INDEX(rMed,1873))),INDEX(rMed,1873),NA()))</f>
        <v>171465</v>
      </c>
    </row>
    <row r="1876">
      <c r="BX1876">
        <f>IF(OR(cMed=0,cMed2=0,1874&gt;nFilas),NA(),IF(AND(ISNUMBER(INDEX(rMed2,1874)),ISNUMBER(INDEX(rMed,1874))),INDEX(rMed2,1874),NA()))</f>
        <v>5</v>
      </c>
      <c r="BY1876">
        <f>IF(OR(cMed=0,cMed2=0,1874&gt;nFilas),NA(),IF(AND(ISNUMBER(INDEX(rMed2,1874)),ISNUMBER(INDEX(rMed,1874))),INDEX(rMed,1874),NA()))</f>
        <v>1390350</v>
      </c>
    </row>
    <row r="1877">
      <c r="BX1877">
        <f>IF(OR(cMed=0,cMed2=0,1875&gt;nFilas),NA(),IF(AND(ISNUMBER(INDEX(rMed2,1875)),ISNUMBER(INDEX(rMed,1875))),INDEX(rMed2,1875),NA()))</f>
        <v>4</v>
      </c>
      <c r="BY1877">
        <f>IF(OR(cMed=0,cMed2=0,1875&gt;nFilas),NA(),IF(AND(ISNUMBER(INDEX(rMed2,1875)),ISNUMBER(INDEX(rMed,1875))),INDEX(rMed,1875),NA()))</f>
        <v>4255600</v>
      </c>
    </row>
    <row r="1878">
      <c r="BX1878">
        <f>IF(OR(cMed=0,cMed2=0,1876&gt;nFilas),NA(),IF(AND(ISNUMBER(INDEX(rMed2,1876)),ISNUMBER(INDEX(rMed,1876))),INDEX(rMed2,1876),NA()))</f>
        <v>5</v>
      </c>
      <c r="BY1878">
        <f>IF(OR(cMed=0,cMed2=0,1876&gt;nFilas),NA(),IF(AND(ISNUMBER(INDEX(rMed2,1876)),ISNUMBER(INDEX(rMed,1876))),INDEX(rMed,1876),NA()))</f>
        <v>374000</v>
      </c>
    </row>
    <row r="1879">
      <c r="BX1879">
        <f>IF(OR(cMed=0,cMed2=0,1877&gt;nFilas),NA(),IF(AND(ISNUMBER(INDEX(rMed2,1877)),ISNUMBER(INDEX(rMed,1877))),INDEX(rMed2,1877),NA()))</f>
        <v>4</v>
      </c>
      <c r="BY1879">
        <f>IF(OR(cMed=0,cMed2=0,1877&gt;nFilas),NA(),IF(AND(ISNUMBER(INDEX(rMed2,1877)),ISNUMBER(INDEX(rMed,1877))),INDEX(rMed,1877),NA()))</f>
        <v>261600</v>
      </c>
    </row>
    <row r="1880">
      <c r="BX1880">
        <f>IF(OR(cMed=0,cMed2=0,1878&gt;nFilas),NA(),IF(AND(ISNUMBER(INDEX(rMed2,1878)),ISNUMBER(INDEX(rMed,1878))),INDEX(rMed2,1878),NA()))</f>
        <v>3</v>
      </c>
      <c r="BY1880">
        <f>IF(OR(cMed=0,cMed2=0,1878&gt;nFilas),NA(),IF(AND(ISNUMBER(INDEX(rMed2,1878)),ISNUMBER(INDEX(rMed,1878))),INDEX(rMed,1878),NA()))</f>
        <v>171000</v>
      </c>
    </row>
    <row r="1881">
      <c r="BX1881">
        <f>IF(OR(cMed=0,cMed2=0,1879&gt;nFilas),NA(),IF(AND(ISNUMBER(INDEX(rMed2,1879)),ISNUMBER(INDEX(rMed,1879))),INDEX(rMed2,1879),NA()))</f>
        <v>5</v>
      </c>
      <c r="BY1881">
        <f>IF(OR(cMed=0,cMed2=0,1879&gt;nFilas),NA(),IF(AND(ISNUMBER(INDEX(rMed2,1879)),ISNUMBER(INDEX(rMed,1879))),INDEX(rMed,1879),NA()))</f>
        <v>450500</v>
      </c>
    </row>
    <row r="1882">
      <c r="BX1882">
        <f>IF(OR(cMed=0,cMed2=0,1880&gt;nFilas),NA(),IF(AND(ISNUMBER(INDEX(rMed2,1880)),ISNUMBER(INDEX(rMed,1880))),INDEX(rMed2,1880),NA()))</f>
        <v>1</v>
      </c>
      <c r="BY1882">
        <f>IF(OR(cMed=0,cMed2=0,1880&gt;nFilas),NA(),IF(AND(ISNUMBER(INDEX(rMed2,1880)),ISNUMBER(INDEX(rMed,1880))),INDEX(rMed,1880),NA()))</f>
        <v>121400</v>
      </c>
    </row>
    <row r="1883">
      <c r="BX1883">
        <f>IF(OR(cMed=0,cMed2=0,1881&gt;nFilas),NA(),IF(AND(ISNUMBER(INDEX(rMed2,1881)),ISNUMBER(INDEX(rMed,1881))),INDEX(rMed2,1881),NA()))</f>
        <v>2</v>
      </c>
      <c r="BY1883">
        <f>IF(OR(cMed=0,cMed2=0,1881&gt;nFilas),NA(),IF(AND(ISNUMBER(INDEX(rMed2,1881)),ISNUMBER(INDEX(rMed,1881))),INDEX(rMed,1881),NA()))</f>
        <v>1861600</v>
      </c>
    </row>
    <row r="1884">
      <c r="BX1884">
        <f>IF(OR(cMed=0,cMed2=0,1882&gt;nFilas),NA(),IF(AND(ISNUMBER(INDEX(rMed2,1882)),ISNUMBER(INDEX(rMed,1882))),INDEX(rMed2,1882),NA()))</f>
        <v>3</v>
      </c>
      <c r="BY1884">
        <f>IF(OR(cMed=0,cMed2=0,1882&gt;nFilas),NA(),IF(AND(ISNUMBER(INDEX(rMed2,1882)),ISNUMBER(INDEX(rMed,1882))),INDEX(rMed,1882),NA()))</f>
        <v>416400</v>
      </c>
    </row>
    <row r="1885">
      <c r="BX1885">
        <f>IF(OR(cMed=0,cMed2=0,1883&gt;nFilas),NA(),IF(AND(ISNUMBER(INDEX(rMed2,1883)),ISNUMBER(INDEX(rMed,1883))),INDEX(rMed2,1883),NA()))</f>
        <v>5</v>
      </c>
      <c r="BY1885">
        <f>IF(OR(cMed=0,cMed2=0,1883&gt;nFilas),NA(),IF(AND(ISNUMBER(INDEX(rMed2,1883)),ISNUMBER(INDEX(rMed,1883))),INDEX(rMed,1883),NA()))</f>
        <v>3728500</v>
      </c>
    </row>
    <row r="1886">
      <c r="BX1886">
        <f>IF(OR(cMed=0,cMed2=0,1884&gt;nFilas),NA(),IF(AND(ISNUMBER(INDEX(rMed2,1884)),ISNUMBER(INDEX(rMed,1884))),INDEX(rMed2,1884),NA()))</f>
        <v>1</v>
      </c>
      <c r="BY1886">
        <f>IF(OR(cMed=0,cMed2=0,1884&gt;nFilas),NA(),IF(AND(ISNUMBER(INDEX(rMed2,1884)),ISNUMBER(INDEX(rMed,1884))),INDEX(rMed,1884),NA()))</f>
        <v>249100</v>
      </c>
    </row>
    <row r="1887">
      <c r="BX1887">
        <f>IF(OR(cMed=0,cMed2=0,1885&gt;nFilas),NA(),IF(AND(ISNUMBER(INDEX(rMed2,1885)),ISNUMBER(INDEX(rMed,1885))),INDEX(rMed2,1885),NA()))</f>
        <v>5</v>
      </c>
      <c r="BY1887">
        <f>IF(OR(cMed=0,cMed2=0,1885&gt;nFilas),NA(),IF(AND(ISNUMBER(INDEX(rMed2,1885)),ISNUMBER(INDEX(rMed,1885))),INDEX(rMed,1885),NA()))</f>
        <v>562000</v>
      </c>
    </row>
    <row r="1888">
      <c r="BX1888">
        <f>IF(OR(cMed=0,cMed2=0,1886&gt;nFilas),NA(),IF(AND(ISNUMBER(INDEX(rMed2,1886)),ISNUMBER(INDEX(rMed,1886))),INDEX(rMed2,1886),NA()))</f>
        <v>3</v>
      </c>
      <c r="BY1888">
        <f>IF(OR(cMed=0,cMed2=0,1886&gt;nFilas),NA(),IF(AND(ISNUMBER(INDEX(rMed2,1886)),ISNUMBER(INDEX(rMed,1886))),INDEX(rMed,1886),NA()))</f>
        <v>240000</v>
      </c>
    </row>
    <row r="1889">
      <c r="BX1889">
        <f>IF(OR(cMed=0,cMed2=0,1887&gt;nFilas),NA(),IF(AND(ISNUMBER(INDEX(rMed2,1887)),ISNUMBER(INDEX(rMed,1887))),INDEX(rMed2,1887),NA()))</f>
        <v>4</v>
      </c>
      <c r="BY1889">
        <f>IF(OR(cMed=0,cMed2=0,1887&gt;nFilas),NA(),IF(AND(ISNUMBER(INDEX(rMed2,1887)),ISNUMBER(INDEX(rMed,1887))),INDEX(rMed,1887),NA()))</f>
        <v>619600</v>
      </c>
    </row>
    <row r="1890">
      <c r="BX1890">
        <f>IF(OR(cMed=0,cMed2=0,1888&gt;nFilas),NA(),IF(AND(ISNUMBER(INDEX(rMed2,1888)),ISNUMBER(INDEX(rMed,1888))),INDEX(rMed2,1888),NA()))</f>
        <v>5</v>
      </c>
      <c r="BY1890">
        <f>IF(OR(cMed=0,cMed2=0,1888&gt;nFilas),NA(),IF(AND(ISNUMBER(INDEX(rMed2,1888)),ISNUMBER(INDEX(rMed,1888))),INDEX(rMed,1888),NA()))</f>
        <v>542500</v>
      </c>
    </row>
    <row r="1891">
      <c r="BX1891">
        <f>IF(OR(cMed=0,cMed2=0,1889&gt;nFilas),NA(),IF(AND(ISNUMBER(INDEX(rMed2,1889)),ISNUMBER(INDEX(rMed,1889))),INDEX(rMed2,1889),NA()))</f>
        <v>3</v>
      </c>
      <c r="BY1891">
        <f>IF(OR(cMed=0,cMed2=0,1889&gt;nFilas),NA(),IF(AND(ISNUMBER(INDEX(rMed2,1889)),ISNUMBER(INDEX(rMed,1889))),INDEX(rMed,1889),NA()))</f>
        <v>310200</v>
      </c>
    </row>
    <row r="1892">
      <c r="BX1892">
        <f>IF(OR(cMed=0,cMed2=0,1890&gt;nFilas),NA(),IF(AND(ISNUMBER(INDEX(rMed2,1890)),ISNUMBER(INDEX(rMed,1890))),INDEX(rMed2,1890),NA()))</f>
        <v>2</v>
      </c>
      <c r="BY1892">
        <f>IF(OR(cMed=0,cMed2=0,1890&gt;nFilas),NA(),IF(AND(ISNUMBER(INDEX(rMed2,1890)),ISNUMBER(INDEX(rMed,1890))),INDEX(rMed,1890),NA()))</f>
        <v>341000</v>
      </c>
    </row>
    <row r="1893">
      <c r="BX1893">
        <f>IF(OR(cMed=0,cMed2=0,1891&gt;nFilas),NA(),IF(AND(ISNUMBER(INDEX(rMed2,1891)),ISNUMBER(INDEX(rMed,1891))),INDEX(rMed2,1891),NA()))</f>
        <v>4</v>
      </c>
      <c r="BY1893">
        <f>IF(OR(cMed=0,cMed2=0,1891&gt;nFilas),NA(),IF(AND(ISNUMBER(INDEX(rMed2,1891)),ISNUMBER(INDEX(rMed,1891))),INDEX(rMed,1891),NA()))</f>
        <v>535600</v>
      </c>
    </row>
    <row r="1894">
      <c r="BX1894">
        <f>IF(OR(cMed=0,cMed2=0,1892&gt;nFilas),NA(),IF(AND(ISNUMBER(INDEX(rMed2,1892)),ISNUMBER(INDEX(rMed,1892))),INDEX(rMed2,1892),NA()))</f>
        <v>5</v>
      </c>
      <c r="BY1894">
        <f>IF(OR(cMed=0,cMed2=0,1892&gt;nFilas),NA(),IF(AND(ISNUMBER(INDEX(rMed2,1892)),ISNUMBER(INDEX(rMed,1892))),INDEX(rMed,1892),NA()))</f>
        <v>433500</v>
      </c>
    </row>
    <row r="1895">
      <c r="BX1895">
        <f>IF(OR(cMed=0,cMed2=0,1893&gt;nFilas),NA(),IF(AND(ISNUMBER(INDEX(rMed2,1893)),ISNUMBER(INDEX(rMed,1893))),INDEX(rMed2,1893),NA()))</f>
        <v>5</v>
      </c>
      <c r="BY1895">
        <f>IF(OR(cMed=0,cMed2=0,1893&gt;nFilas),NA(),IF(AND(ISNUMBER(INDEX(rMed2,1893)),ISNUMBER(INDEX(rMed,1893))),INDEX(rMed,1893),NA()))</f>
        <v>896000</v>
      </c>
    </row>
    <row r="1896">
      <c r="BX1896">
        <f>IF(OR(cMed=0,cMed2=0,1894&gt;nFilas),NA(),IF(AND(ISNUMBER(INDEX(rMed2,1894)),ISNUMBER(INDEX(rMed,1894))),INDEX(rMed2,1894),NA()))</f>
        <v>3</v>
      </c>
      <c r="BY1896">
        <f>IF(OR(cMed=0,cMed2=0,1894&gt;nFilas),NA(),IF(AND(ISNUMBER(INDEX(rMed2,1894)),ISNUMBER(INDEX(rMed,1894))),INDEX(rMed,1894),NA()))</f>
        <v>3209190</v>
      </c>
    </row>
    <row r="1897">
      <c r="BX1897">
        <f>IF(OR(cMed=0,cMed2=0,1895&gt;nFilas),NA(),IF(AND(ISNUMBER(INDEX(rMed2,1895)),ISNUMBER(INDEX(rMed,1895))),INDEX(rMed2,1895),NA()))</f>
        <v>5</v>
      </c>
      <c r="BY1897">
        <f>IF(OR(cMed=0,cMed2=0,1895&gt;nFilas),NA(),IF(AND(ISNUMBER(INDEX(rMed2,1895)),ISNUMBER(INDEX(rMed,1895))),INDEX(rMed,1895),NA()))</f>
        <v>329475</v>
      </c>
    </row>
    <row r="1898">
      <c r="BX1898">
        <f>IF(OR(cMed=0,cMed2=0,1896&gt;nFilas),NA(),IF(AND(ISNUMBER(INDEX(rMed2,1896)),ISNUMBER(INDEX(rMed,1896))),INDEX(rMed2,1896),NA()))</f>
        <v>4</v>
      </c>
      <c r="BY1898">
        <f>IF(OR(cMed=0,cMed2=0,1896&gt;nFilas),NA(),IF(AND(ISNUMBER(INDEX(rMed2,1896)),ISNUMBER(INDEX(rMed,1896))),INDEX(rMed,1896),NA()))</f>
        <v>4812060</v>
      </c>
    </row>
    <row r="1899">
      <c r="BX1899">
        <f>IF(OR(cMed=0,cMed2=0,1897&gt;nFilas),NA(),IF(AND(ISNUMBER(INDEX(rMed2,1897)),ISNUMBER(INDEX(rMed,1897))),INDEX(rMed2,1897),NA()))</f>
        <v>1</v>
      </c>
      <c r="BY1899">
        <f>IF(OR(cMed=0,cMed2=0,1897&gt;nFilas),NA(),IF(AND(ISNUMBER(INDEX(rMed2,1897)),ISNUMBER(INDEX(rMed,1897))),INDEX(rMed,1897),NA()))</f>
        <v>126155</v>
      </c>
    </row>
    <row r="1900">
      <c r="BX1900">
        <f>IF(OR(cMed=0,cMed2=0,1898&gt;nFilas),NA(),IF(AND(ISNUMBER(INDEX(rMed2,1898)),ISNUMBER(INDEX(rMed,1898))),INDEX(rMed2,1898),NA()))</f>
        <v>4</v>
      </c>
      <c r="BY1900">
        <f>IF(OR(cMed=0,cMed2=0,1898&gt;nFilas),NA(),IF(AND(ISNUMBER(INDEX(rMed2,1898)),ISNUMBER(INDEX(rMed,1898))),INDEX(rMed,1898),NA()))</f>
        <v>455400</v>
      </c>
    </row>
    <row r="1901">
      <c r="BX1901">
        <f>IF(OR(cMed=0,cMed2=0,1899&gt;nFilas),NA(),IF(AND(ISNUMBER(INDEX(rMed2,1899)),ISNUMBER(INDEX(rMed,1899))),INDEX(rMed2,1899),NA()))</f>
        <v>4</v>
      </c>
      <c r="BY1901">
        <f>IF(OR(cMed=0,cMed2=0,1899&gt;nFilas),NA(),IF(AND(ISNUMBER(INDEX(rMed2,1899)),ISNUMBER(INDEX(rMed,1899))),INDEX(rMed,1899),NA()))</f>
        <v>481620</v>
      </c>
    </row>
    <row r="1902">
      <c r="BX1902">
        <f>IF(OR(cMed=0,cMed2=0,1900&gt;nFilas),NA(),IF(AND(ISNUMBER(INDEX(rMed2,1900)),ISNUMBER(INDEX(rMed,1900))),INDEX(rMed2,1900),NA()))</f>
        <v>4</v>
      </c>
      <c r="BY1902">
        <f>IF(OR(cMed=0,cMed2=0,1900&gt;nFilas),NA(),IF(AND(ISNUMBER(INDEX(rMed2,1900)),ISNUMBER(INDEX(rMed,1900))),INDEX(rMed,1900),NA()))</f>
        <v>605820</v>
      </c>
    </row>
    <row r="1903">
      <c r="BX1903">
        <f>IF(OR(cMed=0,cMed2=0,1901&gt;nFilas),NA(),IF(AND(ISNUMBER(INDEX(rMed2,1901)),ISNUMBER(INDEX(rMed,1901))),INDEX(rMed2,1901),NA()))</f>
        <v>1</v>
      </c>
      <c r="BY1903">
        <f>IF(OR(cMed=0,cMed2=0,1901&gt;nFilas),NA(),IF(AND(ISNUMBER(INDEX(rMed2,1901)),ISNUMBER(INDEX(rMed,1901))),INDEX(rMed,1901),NA()))</f>
        <v>87400</v>
      </c>
    </row>
    <row r="1904">
      <c r="BX1904">
        <f>IF(OR(cMed=0,cMed2=0,1902&gt;nFilas),NA(),IF(AND(ISNUMBER(INDEX(rMed2,1902)),ISNUMBER(INDEX(rMed,1902))),INDEX(rMed2,1902),NA()))</f>
        <v>5</v>
      </c>
      <c r="BY1904">
        <f>IF(OR(cMed=0,cMed2=0,1902&gt;nFilas),NA(),IF(AND(ISNUMBER(INDEX(rMed2,1902)),ISNUMBER(INDEX(rMed,1902))),INDEX(rMed,1902),NA()))</f>
        <v>422625</v>
      </c>
    </row>
    <row r="1905">
      <c r="BX1905">
        <f>IF(OR(cMed=0,cMed2=0,1903&gt;nFilas),NA(),IF(AND(ISNUMBER(INDEX(rMed2,1903)),ISNUMBER(INDEX(rMed,1903))),INDEX(rMed2,1903),NA()))</f>
        <v>3</v>
      </c>
      <c r="BY1905">
        <f>IF(OR(cMed=0,cMed2=0,1903&gt;nFilas),NA(),IF(AND(ISNUMBER(INDEX(rMed2,1903)),ISNUMBER(INDEX(rMed,1903))),INDEX(rMed,1903),NA()))</f>
        <v>3075330</v>
      </c>
    </row>
    <row r="1906">
      <c r="BX1906">
        <f>IF(OR(cMed=0,cMed2=0,1904&gt;nFilas),NA(),IF(AND(ISNUMBER(INDEX(rMed2,1904)),ISNUMBER(INDEX(rMed,1904))),INDEX(rMed2,1904),NA()))</f>
        <v>4</v>
      </c>
      <c r="BY1906">
        <f>IF(OR(cMed=0,cMed2=0,1904&gt;nFilas),NA(),IF(AND(ISNUMBER(INDEX(rMed2,1904)),ISNUMBER(INDEX(rMed,1904))),INDEX(rMed,1904),NA()))</f>
        <v>883200</v>
      </c>
    </row>
    <row r="1907">
      <c r="BX1907">
        <f>IF(OR(cMed=0,cMed2=0,1905&gt;nFilas),NA(),IF(AND(ISNUMBER(INDEX(rMed2,1905)),ISNUMBER(INDEX(rMed,1905))),INDEX(rMed2,1905),NA()))</f>
        <v>4</v>
      </c>
      <c r="BY1907">
        <f>IF(OR(cMed=0,cMed2=0,1905&gt;nFilas),NA(),IF(AND(ISNUMBER(INDEX(rMed2,1905)),ISNUMBER(INDEX(rMed,1905))),INDEX(rMed,1905),NA()))</f>
        <v>1010620</v>
      </c>
    </row>
    <row r="1908">
      <c r="BX1908">
        <f>IF(OR(cMed=0,cMed2=0,1906&gt;nFilas),NA(),IF(AND(ISNUMBER(INDEX(rMed2,1906)),ISNUMBER(INDEX(rMed,1906))),INDEX(rMed2,1906),NA()))</f>
        <v>3</v>
      </c>
      <c r="BY1908">
        <f>IF(OR(cMed=0,cMed2=0,1906&gt;nFilas),NA(),IF(AND(ISNUMBER(INDEX(rMed2,1906)),ISNUMBER(INDEX(rMed,1906))),INDEX(rMed,1906),NA()))</f>
        <v>2990400</v>
      </c>
    </row>
    <row r="1909">
      <c r="BX1909">
        <f>IF(OR(cMed=0,cMed2=0,1907&gt;nFilas),NA(),IF(AND(ISNUMBER(INDEX(rMed2,1907)),ISNUMBER(INDEX(rMed,1907))),INDEX(rMed2,1907),NA()))</f>
        <v>4</v>
      </c>
      <c r="BY1909">
        <f>IF(OR(cMed=0,cMed2=0,1907&gt;nFilas),NA(),IF(AND(ISNUMBER(INDEX(rMed2,1907)),ISNUMBER(INDEX(rMed,1907))),INDEX(rMed,1907),NA()))</f>
        <v>3098800</v>
      </c>
    </row>
    <row r="1910">
      <c r="BX1910">
        <f>IF(OR(cMed=0,cMed2=0,1908&gt;nFilas),NA(),IF(AND(ISNUMBER(INDEX(rMed2,1908)),ISNUMBER(INDEX(rMed,1908))),INDEX(rMed2,1908),NA()))</f>
        <v>5</v>
      </c>
      <c r="BY1910">
        <f>IF(OR(cMed=0,cMed2=0,1908&gt;nFilas),NA(),IF(AND(ISNUMBER(INDEX(rMed2,1908)),ISNUMBER(INDEX(rMed,1908))),INDEX(rMed,1908),NA()))</f>
        <v>4534500</v>
      </c>
    </row>
    <row r="1911">
      <c r="BX1911">
        <f>IF(OR(cMed=0,cMed2=0,1909&gt;nFilas),NA(),IF(AND(ISNUMBER(INDEX(rMed2,1909)),ISNUMBER(INDEX(rMed,1909))),INDEX(rMed2,1909),NA()))</f>
        <v>5</v>
      </c>
      <c r="BY1911">
        <f>IF(OR(cMed=0,cMed2=0,1909&gt;nFilas),NA(),IF(AND(ISNUMBER(INDEX(rMed2,1909)),ISNUMBER(INDEX(rMed,1909))),INDEX(rMed,1909),NA()))</f>
        <v>627500</v>
      </c>
    </row>
    <row r="1912">
      <c r="BX1912">
        <f>IF(OR(cMed=0,cMed2=0,1910&gt;nFilas),NA(),IF(AND(ISNUMBER(INDEX(rMed2,1910)),ISNUMBER(INDEX(rMed,1910))),INDEX(rMed2,1910),NA()))</f>
        <v>5</v>
      </c>
      <c r="BY1912">
        <f>IF(OR(cMed=0,cMed2=0,1910&gt;nFilas),NA(),IF(AND(ISNUMBER(INDEX(rMed2,1910)),ISNUMBER(INDEX(rMed,1910))),INDEX(rMed,1910),NA()))</f>
        <v>903500</v>
      </c>
    </row>
    <row r="1913">
      <c r="BX1913">
        <f>IF(OR(cMed=0,cMed2=0,1911&gt;nFilas),NA(),IF(AND(ISNUMBER(INDEX(rMed2,1911)),ISNUMBER(INDEX(rMed,1911))),INDEX(rMed2,1911),NA()))</f>
        <v>3</v>
      </c>
      <c r="BY1913">
        <f>IF(OR(cMed=0,cMed2=0,1911&gt;nFilas),NA(),IF(AND(ISNUMBER(INDEX(rMed2,1911)),ISNUMBER(INDEX(rMed,1911))),INDEX(rMed,1911),NA()))</f>
        <v>173400</v>
      </c>
    </row>
    <row r="1914">
      <c r="BX1914">
        <f>IF(OR(cMed=0,cMed2=0,1912&gt;nFilas),NA(),IF(AND(ISNUMBER(INDEX(rMed2,1912)),ISNUMBER(INDEX(rMed,1912))),INDEX(rMed2,1912),NA()))</f>
        <v>5</v>
      </c>
      <c r="BY1914">
        <f>IF(OR(cMed=0,cMed2=0,1912&gt;nFilas),NA(),IF(AND(ISNUMBER(INDEX(rMed2,1912)),ISNUMBER(INDEX(rMed,1912))),INDEX(rMed,1912),NA()))</f>
        <v>4877500</v>
      </c>
    </row>
    <row r="1915">
      <c r="BX1915">
        <f>IF(OR(cMed=0,cMed2=0,1913&gt;nFilas),NA(),IF(AND(ISNUMBER(INDEX(rMed2,1913)),ISNUMBER(INDEX(rMed,1913))),INDEX(rMed2,1913),NA()))</f>
        <v>1</v>
      </c>
      <c r="BY1915">
        <f>IF(OR(cMed=0,cMed2=0,1913&gt;nFilas),NA(),IF(AND(ISNUMBER(INDEX(rMed2,1913)),ISNUMBER(INDEX(rMed,1913))),INDEX(rMed,1913),NA()))</f>
        <v>679100</v>
      </c>
    </row>
    <row r="1916">
      <c r="BX1916">
        <f>IF(OR(cMed=0,cMed2=0,1914&gt;nFilas),NA(),IF(AND(ISNUMBER(INDEX(rMed2,1914)),ISNUMBER(INDEX(rMed,1914))),INDEX(rMed2,1914),NA()))</f>
        <v>5</v>
      </c>
      <c r="BY1916">
        <f>IF(OR(cMed=0,cMed2=0,1914&gt;nFilas),NA(),IF(AND(ISNUMBER(INDEX(rMed2,1914)),ISNUMBER(INDEX(rMed,1914))),INDEX(rMed,1914),NA()))</f>
        <v>3958500</v>
      </c>
    </row>
    <row r="1917">
      <c r="BX1917">
        <f>IF(OR(cMed=0,cMed2=0,1915&gt;nFilas),NA(),IF(AND(ISNUMBER(INDEX(rMed2,1915)),ISNUMBER(INDEX(rMed,1915))),INDEX(rMed2,1915),NA()))</f>
        <v>2</v>
      </c>
      <c r="BY1917">
        <f>IF(OR(cMed=0,cMed2=0,1915&gt;nFilas),NA(),IF(AND(ISNUMBER(INDEX(rMed2,1915)),ISNUMBER(INDEX(rMed,1915))),INDEX(rMed,1915),NA()))</f>
        <v>142400</v>
      </c>
    </row>
    <row r="1918">
      <c r="BX1918">
        <f>IF(OR(cMed=0,cMed2=0,1916&gt;nFilas),NA(),IF(AND(ISNUMBER(INDEX(rMed2,1916)),ISNUMBER(INDEX(rMed,1916))),INDEX(rMed2,1916),NA()))</f>
        <v>4</v>
      </c>
      <c r="BY1918">
        <f>IF(OR(cMed=0,cMed2=0,1916&gt;nFilas),NA(),IF(AND(ISNUMBER(INDEX(rMed2,1916)),ISNUMBER(INDEX(rMed,1916))),INDEX(rMed,1916),NA()))</f>
        <v>256400</v>
      </c>
    </row>
    <row r="1919">
      <c r="BX1919">
        <f>IF(OR(cMed=0,cMed2=0,1917&gt;nFilas),NA(),IF(AND(ISNUMBER(INDEX(rMed2,1917)),ISNUMBER(INDEX(rMed,1917))),INDEX(rMed2,1917),NA()))</f>
        <v>2</v>
      </c>
      <c r="BY1919">
        <f>IF(OR(cMed=0,cMed2=0,1917&gt;nFilas),NA(),IF(AND(ISNUMBER(INDEX(rMed2,1917)),ISNUMBER(INDEX(rMed,1917))),INDEX(rMed,1917),NA()))</f>
        <v>280400</v>
      </c>
    </row>
    <row r="1920">
      <c r="BX1920">
        <f>IF(OR(cMed=0,cMed2=0,1918&gt;nFilas),NA(),IF(AND(ISNUMBER(INDEX(rMed2,1918)),ISNUMBER(INDEX(rMed,1918))),INDEX(rMed2,1918),NA()))</f>
        <v>1</v>
      </c>
      <c r="BY1920">
        <f>IF(OR(cMed=0,cMed2=0,1918&gt;nFilas),NA(),IF(AND(ISNUMBER(INDEX(rMed2,1918)),ISNUMBER(INDEX(rMed,1918))),INDEX(rMed,1918),NA()))</f>
        <v>85700</v>
      </c>
    </row>
    <row r="1921">
      <c r="BX1921">
        <f>IF(OR(cMed=0,cMed2=0,1919&gt;nFilas),NA(),IF(AND(ISNUMBER(INDEX(rMed2,1919)),ISNUMBER(INDEX(rMed,1919))),INDEX(rMed2,1919),NA()))</f>
        <v>1</v>
      </c>
      <c r="BY1921">
        <f>IF(OR(cMed=0,cMed2=0,1919&gt;nFilas),NA(),IF(AND(ISNUMBER(INDEX(rMed2,1919)),ISNUMBER(INDEX(rMed,1919))),INDEX(rMed,1919),NA()))</f>
        <v>93600</v>
      </c>
    </row>
    <row r="1922">
      <c r="BX1922">
        <f>IF(OR(cMed=0,cMed2=0,1920&gt;nFilas),NA(),IF(AND(ISNUMBER(INDEX(rMed2,1920)),ISNUMBER(INDEX(rMed,1920))),INDEX(rMed2,1920),NA()))</f>
        <v>4</v>
      </c>
      <c r="BY1922">
        <f>IF(OR(cMed=0,cMed2=0,1920&gt;nFilas),NA(),IF(AND(ISNUMBER(INDEX(rMed2,1920)),ISNUMBER(INDEX(rMed,1920))),INDEX(rMed,1920),NA()))</f>
        <v>376000</v>
      </c>
    </row>
    <row r="1923">
      <c r="BX1923">
        <f>IF(OR(cMed=0,cMed2=0,1921&gt;nFilas),NA(),IF(AND(ISNUMBER(INDEX(rMed2,1921)),ISNUMBER(INDEX(rMed,1921))),INDEX(rMed2,1921),NA()))</f>
        <v>4</v>
      </c>
      <c r="BY1923">
        <f>IF(OR(cMed=0,cMed2=0,1921&gt;nFilas),NA(),IF(AND(ISNUMBER(INDEX(rMed2,1921)),ISNUMBER(INDEX(rMed,1921))),INDEX(rMed,1921),NA()))</f>
        <v>483600</v>
      </c>
    </row>
    <row r="1924">
      <c r="BX1924">
        <f>IF(OR(cMed=0,cMed2=0,1922&gt;nFilas),NA(),IF(AND(ISNUMBER(INDEX(rMed2,1922)),ISNUMBER(INDEX(rMed,1922))),INDEX(rMed2,1922),NA()))</f>
        <v>5</v>
      </c>
      <c r="BY1924">
        <f>IF(OR(cMed=0,cMed2=0,1922&gt;nFilas),NA(),IF(AND(ISNUMBER(INDEX(rMed2,1922)),ISNUMBER(INDEX(rMed,1922))),INDEX(rMed,1922),NA()))</f>
        <v>867000</v>
      </c>
    </row>
    <row r="1925">
      <c r="BX1925">
        <f>IF(OR(cMed=0,cMed2=0,1923&gt;nFilas),NA(),IF(AND(ISNUMBER(INDEX(rMed2,1923)),ISNUMBER(INDEX(rMed,1923))),INDEX(rMed2,1923),NA()))</f>
        <v>2</v>
      </c>
      <c r="BY1925">
        <f>IF(OR(cMed=0,cMed2=0,1923&gt;nFilas),NA(),IF(AND(ISNUMBER(INDEX(rMed2,1923)),ISNUMBER(INDEX(rMed,1923))),INDEX(rMed,1923),NA()))</f>
        <v>145800</v>
      </c>
    </row>
    <row r="1926">
      <c r="BX1926">
        <f>IF(OR(cMed=0,cMed2=0,1924&gt;nFilas),NA(),IF(AND(ISNUMBER(INDEX(rMed2,1924)),ISNUMBER(INDEX(rMed,1924))),INDEX(rMed2,1924),NA()))</f>
        <v>3</v>
      </c>
      <c r="BY1926">
        <f>IF(OR(cMed=0,cMed2=0,1924&gt;nFilas),NA(),IF(AND(ISNUMBER(INDEX(rMed2,1924)),ISNUMBER(INDEX(rMed,1924))),INDEX(rMed,1924),NA()))</f>
        <v>227700</v>
      </c>
    </row>
    <row r="1927">
      <c r="BX1927">
        <f>IF(OR(cMed=0,cMed2=0,1925&gt;nFilas),NA(),IF(AND(ISNUMBER(INDEX(rMed2,1925)),ISNUMBER(INDEX(rMed,1925))),INDEX(rMed2,1925),NA()))</f>
        <v>3</v>
      </c>
      <c r="BY1927">
        <f>IF(OR(cMed=0,cMed2=0,1925&gt;nFilas),NA(),IF(AND(ISNUMBER(INDEX(rMed2,1925)),ISNUMBER(INDEX(rMed,1925))),INDEX(rMed,1925),NA()))</f>
        <v>431940</v>
      </c>
    </row>
    <row r="1928">
      <c r="BX1928">
        <f>IF(OR(cMed=0,cMed2=0,1926&gt;nFilas),NA(),IF(AND(ISNUMBER(INDEX(rMed2,1926)),ISNUMBER(INDEX(rMed,1926))),INDEX(rMed2,1926),NA()))</f>
        <v>2</v>
      </c>
      <c r="BY1928">
        <f>IF(OR(cMed=0,cMed2=0,1926&gt;nFilas),NA(),IF(AND(ISNUMBER(INDEX(rMed2,1926)),ISNUMBER(INDEX(rMed,1926))),INDEX(rMed,1926),NA()))</f>
        <v>273700</v>
      </c>
    </row>
    <row r="1929">
      <c r="BX1929">
        <f>IF(OR(cMed=0,cMed2=0,1927&gt;nFilas),NA(),IF(AND(ISNUMBER(INDEX(rMed2,1927)),ISNUMBER(INDEX(rMed,1927))),INDEX(rMed2,1927),NA()))</f>
        <v>2</v>
      </c>
      <c r="BY1929">
        <f>IF(OR(cMed=0,cMed2=0,1927&gt;nFilas),NA(),IF(AND(ISNUMBER(INDEX(rMed2,1927)),ISNUMBER(INDEX(rMed,1927))),INDEX(rMed,1927),NA()))</f>
        <v>558210</v>
      </c>
    </row>
    <row r="1930">
      <c r="BX1930">
        <f>IF(OR(cMed=0,cMed2=0,1928&gt;nFilas),NA(),IF(AND(ISNUMBER(INDEX(rMed2,1928)),ISNUMBER(INDEX(rMed,1928))),INDEX(rMed2,1928),NA()))</f>
        <v>1</v>
      </c>
      <c r="BY1930">
        <f>IF(OR(cMed=0,cMed2=0,1928&gt;nFilas),NA(),IF(AND(ISNUMBER(INDEX(rMed2,1928)),ISNUMBER(INDEX(rMed,1928))),INDEX(rMed,1928),NA()))</f>
        <v>77280</v>
      </c>
    </row>
    <row r="1931">
      <c r="BX1931">
        <f>IF(OR(cMed=0,cMed2=0,1929&gt;nFilas),NA(),IF(AND(ISNUMBER(INDEX(rMed2,1929)),ISNUMBER(INDEX(rMed,1929))),INDEX(rMed2,1929),NA()))</f>
        <v>3</v>
      </c>
      <c r="BY1931">
        <f>IF(OR(cMed=0,cMed2=0,1929&gt;nFilas),NA(),IF(AND(ISNUMBER(INDEX(rMed2,1929)),ISNUMBER(INDEX(rMed,1929))),INDEX(rMed,1929),NA()))</f>
        <v>517500</v>
      </c>
    </row>
    <row r="1932">
      <c r="BX1932">
        <f>IF(OR(cMed=0,cMed2=0,1930&gt;nFilas),NA(),IF(AND(ISNUMBER(INDEX(rMed2,1930)),ISNUMBER(INDEX(rMed,1930))),INDEX(rMed2,1930),NA()))</f>
        <v>3</v>
      </c>
      <c r="BY1932">
        <f>IF(OR(cMed=0,cMed2=0,1930&gt;nFilas),NA(),IF(AND(ISNUMBER(INDEX(rMed2,1930)),ISNUMBER(INDEX(rMed,1930))),INDEX(rMed,1930),NA()))</f>
        <v>790050</v>
      </c>
    </row>
    <row r="1933">
      <c r="BX1933">
        <f>IF(OR(cMed=0,cMed2=0,1931&gt;nFilas),NA(),IF(AND(ISNUMBER(INDEX(rMed2,1931)),ISNUMBER(INDEX(rMed,1931))),INDEX(rMed2,1931),NA()))</f>
        <v>3</v>
      </c>
      <c r="BY1933">
        <f>IF(OR(cMed=0,cMed2=0,1931&gt;nFilas),NA(),IF(AND(ISNUMBER(INDEX(rMed2,1931)),ISNUMBER(INDEX(rMed,1931))),INDEX(rMed,1931),NA()))</f>
        <v>529230</v>
      </c>
    </row>
    <row r="1934">
      <c r="BX1934">
        <f>IF(OR(cMed=0,cMed2=0,1932&gt;nFilas),NA(),IF(AND(ISNUMBER(INDEX(rMed2,1932)),ISNUMBER(INDEX(rMed,1932))),INDEX(rMed2,1932),NA()))</f>
        <v>4</v>
      </c>
      <c r="BY1934">
        <f>IF(OR(cMed=0,cMed2=0,1932&gt;nFilas),NA(),IF(AND(ISNUMBER(INDEX(rMed2,1932)),ISNUMBER(INDEX(rMed,1932))),INDEX(rMed,1932),NA()))</f>
        <v>933800</v>
      </c>
    </row>
    <row r="1935">
      <c r="BX1935">
        <f>IF(OR(cMed=0,cMed2=0,1933&gt;nFilas),NA(),IF(AND(ISNUMBER(INDEX(rMed2,1933)),ISNUMBER(INDEX(rMed,1933))),INDEX(rMed2,1933),NA()))</f>
        <v>5</v>
      </c>
      <c r="BY1935">
        <f>IF(OR(cMed=0,cMed2=0,1933&gt;nFilas),NA(),IF(AND(ISNUMBER(INDEX(rMed2,1933)),ISNUMBER(INDEX(rMed,1933))),INDEX(rMed,1933),NA()))</f>
        <v>667000</v>
      </c>
    </row>
    <row r="1936">
      <c r="BX1936">
        <f>IF(OR(cMed=0,cMed2=0,1934&gt;nFilas),NA(),IF(AND(ISNUMBER(INDEX(rMed2,1934)),ISNUMBER(INDEX(rMed,1934))),INDEX(rMed2,1934),NA()))</f>
        <v>4</v>
      </c>
      <c r="BY1936">
        <f>IF(OR(cMed=0,cMed2=0,1934&gt;nFilas),NA(),IF(AND(ISNUMBER(INDEX(rMed2,1934)),ISNUMBER(INDEX(rMed,1934))),INDEX(rMed,1934),NA()))</f>
        <v>512900</v>
      </c>
    </row>
    <row r="1937">
      <c r="BX1937">
        <f>IF(OR(cMed=0,cMed2=0,1935&gt;nFilas),NA(),IF(AND(ISNUMBER(INDEX(rMed2,1935)),ISNUMBER(INDEX(rMed,1935))),INDEX(rMed2,1935),NA()))</f>
        <v>4</v>
      </c>
      <c r="BY1937">
        <f>IF(OR(cMed=0,cMed2=0,1935&gt;nFilas),NA(),IF(AND(ISNUMBER(INDEX(rMed2,1935)),ISNUMBER(INDEX(rMed,1935))),INDEX(rMed,1935),NA()))</f>
        <v>879520</v>
      </c>
    </row>
    <row r="1938">
      <c r="BX1938">
        <f>IF(OR(cMed=0,cMed2=0,1936&gt;nFilas),NA(),IF(AND(ISNUMBER(INDEX(rMed2,1936)),ISNUMBER(INDEX(rMed,1936))),INDEX(rMed2,1936),NA()))</f>
        <v>3</v>
      </c>
      <c r="BY1938">
        <f>IF(OR(cMed=0,cMed2=0,1936&gt;nFilas),NA(),IF(AND(ISNUMBER(INDEX(rMed2,1936)),ISNUMBER(INDEX(rMed,1936))),INDEX(rMed,1936),NA()))</f>
        <v>169395</v>
      </c>
    </row>
    <row r="1939">
      <c r="BX1939">
        <f>IF(OR(cMed=0,cMed2=0,1937&gt;nFilas),NA(),IF(AND(ISNUMBER(INDEX(rMed2,1937)),ISNUMBER(INDEX(rMed,1937))),INDEX(rMed2,1937),NA()))</f>
        <v>4</v>
      </c>
      <c r="BY1939">
        <f>IF(OR(cMed=0,cMed2=0,1937&gt;nFilas),NA(),IF(AND(ISNUMBER(INDEX(rMed2,1937)),ISNUMBER(INDEX(rMed,1937))),INDEX(rMed,1937),NA()))</f>
        <v>600400</v>
      </c>
    </row>
    <row r="1940">
      <c r="BX1940">
        <f>IF(OR(cMed=0,cMed2=0,1938&gt;nFilas),NA(),IF(AND(ISNUMBER(INDEX(rMed2,1938)),ISNUMBER(INDEX(rMed,1938))),INDEX(rMed2,1938),NA()))</f>
        <v>2</v>
      </c>
      <c r="BY1940">
        <f>IF(OR(cMed=0,cMed2=0,1938&gt;nFilas),NA(),IF(AND(ISNUMBER(INDEX(rMed2,1938)),ISNUMBER(INDEX(rMed,1938))),INDEX(rMed,1938),NA()))</f>
        <v>240600</v>
      </c>
    </row>
    <row r="1941">
      <c r="BX1941">
        <f>IF(OR(cMed=0,cMed2=0,1939&gt;nFilas),NA(),IF(AND(ISNUMBER(INDEX(rMed2,1939)),ISNUMBER(INDEX(rMed,1939))),INDEX(rMed2,1939),NA()))</f>
        <v>1</v>
      </c>
      <c r="BY1941">
        <f>IF(OR(cMed=0,cMed2=0,1939&gt;nFilas),NA(),IF(AND(ISNUMBER(INDEX(rMed2,1939)),ISNUMBER(INDEX(rMed,1939))),INDEX(rMed,1939),NA()))</f>
        <v>719200</v>
      </c>
    </row>
    <row r="1942">
      <c r="BX1942">
        <f>IF(OR(cMed=0,cMed2=0,1940&gt;nFilas),NA(),IF(AND(ISNUMBER(INDEX(rMed2,1940)),ISNUMBER(INDEX(rMed,1940))),INDEX(rMed2,1940),NA()))</f>
        <v>2</v>
      </c>
      <c r="BY1942">
        <f>IF(OR(cMed=0,cMed2=0,1940&gt;nFilas),NA(),IF(AND(ISNUMBER(INDEX(rMed2,1940)),ISNUMBER(INDEX(rMed,1940))),INDEX(rMed,1940),NA()))</f>
        <v>427800</v>
      </c>
    </row>
    <row r="1943">
      <c r="BX1943">
        <f>IF(OR(cMed=0,cMed2=0,1941&gt;nFilas),NA(),IF(AND(ISNUMBER(INDEX(rMed2,1941)),ISNUMBER(INDEX(rMed,1941))),INDEX(rMed2,1941),NA()))</f>
        <v>2</v>
      </c>
      <c r="BY1943">
        <f>IF(OR(cMed=0,cMed2=0,1941&gt;nFilas),NA(),IF(AND(ISNUMBER(INDEX(rMed2,1941)),ISNUMBER(INDEX(rMed,1941))),INDEX(rMed,1941),NA()))</f>
        <v>1668400</v>
      </c>
    </row>
    <row r="1944">
      <c r="BX1944">
        <f>IF(OR(cMed=0,cMed2=0,1942&gt;nFilas),NA(),IF(AND(ISNUMBER(INDEX(rMed2,1942)),ISNUMBER(INDEX(rMed,1942))),INDEX(rMed2,1942),NA()))</f>
        <v>1</v>
      </c>
      <c r="BY1944">
        <f>IF(OR(cMed=0,cMed2=0,1942&gt;nFilas),NA(),IF(AND(ISNUMBER(INDEX(rMed2,1942)),ISNUMBER(INDEX(rMed,1942))),INDEX(rMed,1942),NA()))</f>
        <v>93700</v>
      </c>
    </row>
    <row r="1945">
      <c r="BX1945">
        <f>IF(OR(cMed=0,cMed2=0,1943&gt;nFilas),NA(),IF(AND(ISNUMBER(INDEX(rMed2,1943)),ISNUMBER(INDEX(rMed,1943))),INDEX(rMed2,1943),NA()))</f>
        <v>3</v>
      </c>
      <c r="BY1945">
        <f>IF(OR(cMed=0,cMed2=0,1943&gt;nFilas),NA(),IF(AND(ISNUMBER(INDEX(rMed2,1943)),ISNUMBER(INDEX(rMed,1943))),INDEX(rMed,1943),NA()))</f>
        <v>387900</v>
      </c>
    </row>
    <row r="1946">
      <c r="BX1946">
        <f>IF(OR(cMed=0,cMed2=0,1944&gt;nFilas),NA(),IF(AND(ISNUMBER(INDEX(rMed2,1944)),ISNUMBER(INDEX(rMed,1944))),INDEX(rMed2,1944),NA()))</f>
        <v>2</v>
      </c>
      <c r="BY1946">
        <f>IF(OR(cMed=0,cMed2=0,1944&gt;nFilas),NA(),IF(AND(ISNUMBER(INDEX(rMed2,1944)),ISNUMBER(INDEX(rMed,1944))),INDEX(rMed,1944),NA()))</f>
        <v>304600</v>
      </c>
    </row>
    <row r="1947">
      <c r="BX1947">
        <f>IF(OR(cMed=0,cMed2=0,1945&gt;nFilas),NA(),IF(AND(ISNUMBER(INDEX(rMed2,1945)),ISNUMBER(INDEX(rMed,1945))),INDEX(rMed2,1945),NA()))</f>
        <v>2</v>
      </c>
      <c r="BY1947">
        <f>IF(OR(cMed=0,cMed2=0,1945&gt;nFilas),NA(),IF(AND(ISNUMBER(INDEX(rMed2,1945)),ISNUMBER(INDEX(rMed,1945))),INDEX(rMed,1945),NA()))</f>
        <v>326200</v>
      </c>
    </row>
    <row r="1948">
      <c r="BX1948">
        <f>IF(OR(cMed=0,cMed2=0,1946&gt;nFilas),NA(),IF(AND(ISNUMBER(INDEX(rMed2,1946)),ISNUMBER(INDEX(rMed,1946))),INDEX(rMed2,1946),NA()))</f>
        <v>3</v>
      </c>
      <c r="BY1948">
        <f>IF(OR(cMed=0,cMed2=0,1946&gt;nFilas),NA(),IF(AND(ISNUMBER(INDEX(rMed2,1946)),ISNUMBER(INDEX(rMed,1946))),INDEX(rMed,1946),NA()))</f>
        <v>402600</v>
      </c>
    </row>
    <row r="1949">
      <c r="BX1949">
        <f>IF(OR(cMed=0,cMed2=0,1947&gt;nFilas),NA(),IF(AND(ISNUMBER(INDEX(rMed2,1947)),ISNUMBER(INDEX(rMed,1947))),INDEX(rMed2,1947),NA()))</f>
        <v>4</v>
      </c>
      <c r="BY1949">
        <f>IF(OR(cMed=0,cMed2=0,1947&gt;nFilas),NA(),IF(AND(ISNUMBER(INDEX(rMed2,1947)),ISNUMBER(INDEX(rMed,1947))),INDEX(rMed,1947),NA()))</f>
        <v>546400</v>
      </c>
    </row>
    <row r="1950">
      <c r="BX1950">
        <f>IF(OR(cMed=0,cMed2=0,1948&gt;nFilas),NA(),IF(AND(ISNUMBER(INDEX(rMed2,1948)),ISNUMBER(INDEX(rMed,1948))),INDEX(rMed2,1948),NA()))</f>
        <v>4</v>
      </c>
      <c r="BY1950">
        <f>IF(OR(cMed=0,cMed2=0,1948&gt;nFilas),NA(),IF(AND(ISNUMBER(INDEX(rMed2,1948)),ISNUMBER(INDEX(rMed,1948))),INDEX(rMed,1948),NA()))</f>
        <v>3521200</v>
      </c>
    </row>
    <row r="1951">
      <c r="BX1951">
        <f>IF(OR(cMed=0,cMed2=0,1949&gt;nFilas),NA(),IF(AND(ISNUMBER(INDEX(rMed2,1949)),ISNUMBER(INDEX(rMed,1949))),INDEX(rMed2,1949),NA()))</f>
        <v>1</v>
      </c>
      <c r="BY1951">
        <f>IF(OR(cMed=0,cMed2=0,1949&gt;nFilas),NA(),IF(AND(ISNUMBER(INDEX(rMed2,1949)),ISNUMBER(INDEX(rMed,1949))),INDEX(rMed,1949),NA()))</f>
        <v>233900</v>
      </c>
    </row>
    <row r="1952">
      <c r="BX1952">
        <f>IF(OR(cMed=0,cMed2=0,1950&gt;nFilas),NA(),IF(AND(ISNUMBER(INDEX(rMed2,1950)),ISNUMBER(INDEX(rMed,1950))),INDEX(rMed2,1950),NA()))</f>
        <v>4</v>
      </c>
      <c r="BY1952">
        <f>IF(OR(cMed=0,cMed2=0,1950&gt;nFilas),NA(),IF(AND(ISNUMBER(INDEX(rMed2,1950)),ISNUMBER(INDEX(rMed,1950))),INDEX(rMed,1950),NA()))</f>
        <v>337600</v>
      </c>
    </row>
    <row r="1953">
      <c r="BX1953">
        <f>IF(OR(cMed=0,cMed2=0,1951&gt;nFilas),NA(),IF(AND(ISNUMBER(INDEX(rMed2,1951)),ISNUMBER(INDEX(rMed,1951))),INDEX(rMed2,1951),NA()))</f>
        <v>2</v>
      </c>
      <c r="BY1953">
        <f>IF(OR(cMed=0,cMed2=0,1951&gt;nFilas),NA(),IF(AND(ISNUMBER(INDEX(rMed2,1951)),ISNUMBER(INDEX(rMed,1951))),INDEX(rMed,1951),NA()))</f>
        <v>378200</v>
      </c>
    </row>
    <row r="1954">
      <c r="BX1954">
        <f>IF(OR(cMed=0,cMed2=0,1952&gt;nFilas),NA(),IF(AND(ISNUMBER(INDEX(rMed2,1952)),ISNUMBER(INDEX(rMed,1952))),INDEX(rMed2,1952),NA()))</f>
        <v>1</v>
      </c>
      <c r="BY1954">
        <f>IF(OR(cMed=0,cMed2=0,1952&gt;nFilas),NA(),IF(AND(ISNUMBER(INDEX(rMed2,1952)),ISNUMBER(INDEX(rMed,1952))),INDEX(rMed,1952),NA()))</f>
        <v>980000</v>
      </c>
    </row>
    <row r="1955">
      <c r="BX1955">
        <f>IF(OR(cMed=0,cMed2=0,1953&gt;nFilas),NA(),IF(AND(ISNUMBER(INDEX(rMed2,1953)),ISNUMBER(INDEX(rMed,1953))),INDEX(rMed2,1953),NA()))</f>
        <v>4</v>
      </c>
      <c r="BY1955">
        <f>IF(OR(cMed=0,cMed2=0,1953&gt;nFilas),NA(),IF(AND(ISNUMBER(INDEX(rMed2,1953)),ISNUMBER(INDEX(rMed,1953))),INDEX(rMed,1953),NA()))</f>
        <v>4255200</v>
      </c>
    </row>
    <row r="1956">
      <c r="BX1956">
        <f>IF(OR(cMed=0,cMed2=0,1954&gt;nFilas),NA(),IF(AND(ISNUMBER(INDEX(rMed2,1954)),ISNUMBER(INDEX(rMed,1954))),INDEX(rMed2,1954),NA()))</f>
        <v>3</v>
      </c>
      <c r="BY1956">
        <f>IF(OR(cMed=0,cMed2=0,1954&gt;nFilas),NA(),IF(AND(ISNUMBER(INDEX(rMed2,1954)),ISNUMBER(INDEX(rMed,1954))),INDEX(rMed,1954),NA()))</f>
        <v>519300</v>
      </c>
    </row>
    <row r="1957">
      <c r="BX1957">
        <f>IF(OR(cMed=0,cMed2=0,1955&gt;nFilas),NA(),IF(AND(ISNUMBER(INDEX(rMed2,1955)),ISNUMBER(INDEX(rMed,1955))),INDEX(rMed2,1955),NA()))</f>
        <v>5</v>
      </c>
      <c r="BY1957">
        <f>IF(OR(cMed=0,cMed2=0,1955&gt;nFilas),NA(),IF(AND(ISNUMBER(INDEX(rMed2,1955)),ISNUMBER(INDEX(rMed,1955))),INDEX(rMed,1955),NA()))</f>
        <v>703000</v>
      </c>
    </row>
    <row r="1958">
      <c r="BX1958">
        <f>IF(OR(cMed=0,cMed2=0,1956&gt;nFilas),NA(),IF(AND(ISNUMBER(INDEX(rMed2,1956)),ISNUMBER(INDEX(rMed,1956))),INDEX(rMed2,1956),NA()))</f>
        <v>5</v>
      </c>
      <c r="BY1958">
        <f>IF(OR(cMed=0,cMed2=0,1956&gt;nFilas),NA(),IF(AND(ISNUMBER(INDEX(rMed2,1956)),ISNUMBER(INDEX(rMed,1956))),INDEX(rMed,1956),NA()))</f>
        <v>633500</v>
      </c>
    </row>
    <row r="1959">
      <c r="BX1959">
        <f>IF(OR(cMed=0,cMed2=0,1957&gt;nFilas),NA(),IF(AND(ISNUMBER(INDEX(rMed2,1957)),ISNUMBER(INDEX(rMed,1957))),INDEX(rMed2,1957),NA()))</f>
        <v>4</v>
      </c>
      <c r="BY1959">
        <f>IF(OR(cMed=0,cMed2=0,1957&gt;nFilas),NA(),IF(AND(ISNUMBER(INDEX(rMed2,1957)),ISNUMBER(INDEX(rMed,1957))),INDEX(rMed,1957),NA()))</f>
        <v>405720</v>
      </c>
    </row>
    <row r="1960">
      <c r="BX1960">
        <f>IF(OR(cMed=0,cMed2=0,1958&gt;nFilas),NA(),IF(AND(ISNUMBER(INDEX(rMed2,1958)),ISNUMBER(INDEX(rMed,1958))),INDEX(rMed2,1958),NA()))</f>
        <v>1</v>
      </c>
      <c r="BY1960">
        <f>IF(OR(cMed=0,cMed2=0,1958&gt;nFilas),NA(),IF(AND(ISNUMBER(INDEX(rMed2,1958)),ISNUMBER(INDEX(rMed,1958))),INDEX(rMed,1958),NA()))</f>
        <v>1077780</v>
      </c>
    </row>
    <row r="1961">
      <c r="BX1961">
        <f>IF(OR(cMed=0,cMed2=0,1959&gt;nFilas),NA(),IF(AND(ISNUMBER(INDEX(rMed2,1959)),ISNUMBER(INDEX(rMed,1959))),INDEX(rMed2,1959),NA()))</f>
        <v>5</v>
      </c>
      <c r="BY1961">
        <f>IF(OR(cMed=0,cMed2=0,1959&gt;nFilas),NA(),IF(AND(ISNUMBER(INDEX(rMed2,1959)),ISNUMBER(INDEX(rMed,1959))),INDEX(rMed,1959),NA()))</f>
        <v>351900</v>
      </c>
    </row>
    <row r="1962">
      <c r="BX1962">
        <f>IF(OR(cMed=0,cMed2=0,1960&gt;nFilas),NA(),IF(AND(ISNUMBER(INDEX(rMed2,1960)),ISNUMBER(INDEX(rMed,1960))),INDEX(rMed2,1960),NA()))</f>
        <v>5</v>
      </c>
      <c r="BY1962">
        <f>IF(OR(cMed=0,cMed2=0,1960&gt;nFilas),NA(),IF(AND(ISNUMBER(INDEX(rMed2,1960)),ISNUMBER(INDEX(rMed,1960))),INDEX(rMed,1960),NA()))</f>
        <v>599725</v>
      </c>
    </row>
    <row r="1963">
      <c r="BX1963">
        <f>IF(OR(cMed=0,cMed2=0,1961&gt;nFilas),NA(),IF(AND(ISNUMBER(INDEX(rMed2,1961)),ISNUMBER(INDEX(rMed,1961))),INDEX(rMed2,1961),NA()))</f>
        <v>2</v>
      </c>
      <c r="BY1963">
        <f>IF(OR(cMed=0,cMed2=0,1961&gt;nFilas),NA(),IF(AND(ISNUMBER(INDEX(rMed2,1961)),ISNUMBER(INDEX(rMed,1961))),INDEX(rMed,1961),NA()))</f>
        <v>326370</v>
      </c>
    </row>
    <row r="1964">
      <c r="BX1964">
        <f>IF(OR(cMed=0,cMed2=0,1962&gt;nFilas),NA(),IF(AND(ISNUMBER(INDEX(rMed2,1962)),ISNUMBER(INDEX(rMed,1962))),INDEX(rMed2,1962),NA()))</f>
        <v>5</v>
      </c>
      <c r="BY1964">
        <f>IF(OR(cMed=0,cMed2=0,1962&gt;nFilas),NA(),IF(AND(ISNUMBER(INDEX(rMed2,1962)),ISNUMBER(INDEX(rMed,1962))),INDEX(rMed,1962),NA()))</f>
        <v>6039225</v>
      </c>
    </row>
    <row r="1965">
      <c r="BX1965">
        <f>IF(OR(cMed=0,cMed2=0,1963&gt;nFilas),NA(),IF(AND(ISNUMBER(INDEX(rMed2,1963)),ISNUMBER(INDEX(rMed,1963))),INDEX(rMed2,1963),NA()))</f>
        <v>1</v>
      </c>
      <c r="BY1965">
        <f>IF(OR(cMed=0,cMed2=0,1963&gt;nFilas),NA(),IF(AND(ISNUMBER(INDEX(rMed2,1963)),ISNUMBER(INDEX(rMed,1963))),INDEX(rMed,1963),NA()))</f>
        <v>81650</v>
      </c>
    </row>
    <row r="1966">
      <c r="BX1966">
        <f>IF(OR(cMed=0,cMed2=0,1964&gt;nFilas),NA(),IF(AND(ISNUMBER(INDEX(rMed2,1964)),ISNUMBER(INDEX(rMed,1964))),INDEX(rMed2,1964),NA()))</f>
        <v>5</v>
      </c>
      <c r="BY1966">
        <f>IF(OR(cMed=0,cMed2=0,1964&gt;nFilas),NA(),IF(AND(ISNUMBER(INDEX(rMed2,1964)),ISNUMBER(INDEX(rMed,1964))),INDEX(rMed,1964),NA()))</f>
        <v>511750</v>
      </c>
    </row>
    <row r="1967">
      <c r="BX1967">
        <f>IF(OR(cMed=0,cMed2=0,1965&gt;nFilas),NA(),IF(AND(ISNUMBER(INDEX(rMed2,1965)),ISNUMBER(INDEX(rMed,1965))),INDEX(rMed2,1965),NA()))</f>
        <v>5</v>
      </c>
      <c r="BY1967">
        <f>IF(OR(cMed=0,cMed2=0,1965&gt;nFilas),NA(),IF(AND(ISNUMBER(INDEX(rMed2,1965)),ISNUMBER(INDEX(rMed,1965))),INDEX(rMed,1965),NA()))</f>
        <v>1128150</v>
      </c>
    </row>
    <row r="1968">
      <c r="BX1968">
        <f>IF(OR(cMed=0,cMed2=0,1966&gt;nFilas),NA(),IF(AND(ISNUMBER(INDEX(rMed2,1966)),ISNUMBER(INDEX(rMed,1966))),INDEX(rMed2,1966),NA()))</f>
        <v>5</v>
      </c>
      <c r="BY1968">
        <f>IF(OR(cMed=0,cMed2=0,1966&gt;nFilas),NA(),IF(AND(ISNUMBER(INDEX(rMed2,1966)),ISNUMBER(INDEX(rMed,1966))),INDEX(rMed,1966),NA()))</f>
        <v>1273050</v>
      </c>
    </row>
    <row r="1969">
      <c r="BX1969">
        <f>IF(OR(cMed=0,cMed2=0,1967&gt;nFilas),NA(),IF(AND(ISNUMBER(INDEX(rMed2,1967)),ISNUMBER(INDEX(rMed,1967))),INDEX(rMed2,1967),NA()))</f>
        <v>1</v>
      </c>
      <c r="BY1969">
        <f>IF(OR(cMed=0,cMed2=0,1967&gt;nFilas),NA(),IF(AND(ISNUMBER(INDEX(rMed2,1967)),ISNUMBER(INDEX(rMed,1967))),INDEX(rMed,1967),NA()))</f>
        <v>301530</v>
      </c>
    </row>
    <row r="1970">
      <c r="BX1970">
        <f>IF(OR(cMed=0,cMed2=0,1968&gt;nFilas),NA(),IF(AND(ISNUMBER(INDEX(rMed2,1968)),ISNUMBER(INDEX(rMed,1968))),INDEX(rMed2,1968),NA()))</f>
        <v>5</v>
      </c>
      <c r="BY1970">
        <f>IF(OR(cMed=0,cMed2=0,1968&gt;nFilas),NA(),IF(AND(ISNUMBER(INDEX(rMed2,1968)),ISNUMBER(INDEX(rMed,1968))),INDEX(rMed,1968),NA()))</f>
        <v>299000</v>
      </c>
    </row>
    <row r="1971">
      <c r="BX1971">
        <f>IF(OR(cMed=0,cMed2=0,1969&gt;nFilas),NA(),IF(AND(ISNUMBER(INDEX(rMed2,1969)),ISNUMBER(INDEX(rMed,1969))),INDEX(rMed2,1969),NA()))</f>
        <v>5</v>
      </c>
      <c r="BY1971">
        <f>IF(OR(cMed=0,cMed2=0,1969&gt;nFilas),NA(),IF(AND(ISNUMBER(INDEX(rMed2,1969)),ISNUMBER(INDEX(rMed,1969))),INDEX(rMed,1969),NA()))</f>
        <v>952775</v>
      </c>
    </row>
    <row r="1972">
      <c r="BX1972">
        <f>IF(OR(cMed=0,cMed2=0,1970&gt;nFilas),NA(),IF(AND(ISNUMBER(INDEX(rMed2,1970)),ISNUMBER(INDEX(rMed,1970))),INDEX(rMed2,1970),NA()))</f>
        <v>2</v>
      </c>
      <c r="BY1972">
        <f>IF(OR(cMed=0,cMed2=0,1970&gt;nFilas),NA(),IF(AND(ISNUMBER(INDEX(rMed2,1970)),ISNUMBER(INDEX(rMed,1970))),INDEX(rMed,1970),NA()))</f>
        <v>383640</v>
      </c>
    </row>
    <row r="1973">
      <c r="BX1973">
        <f>IF(OR(cMed=0,cMed2=0,1971&gt;nFilas),NA(),IF(AND(ISNUMBER(INDEX(rMed2,1971)),ISNUMBER(INDEX(rMed,1971))),INDEX(rMed2,1971),NA()))</f>
        <v>2</v>
      </c>
      <c r="BY1973">
        <f>IF(OR(cMed=0,cMed2=0,1971&gt;nFilas),NA(),IF(AND(ISNUMBER(INDEX(rMed2,1971)),ISNUMBER(INDEX(rMed,1971))),INDEX(rMed,1971),NA()))</f>
        <v>405950</v>
      </c>
    </row>
    <row r="1974">
      <c r="BX1974">
        <f>IF(OR(cMed=0,cMed2=0,1972&gt;nFilas),NA(),IF(AND(ISNUMBER(INDEX(rMed2,1972)),ISNUMBER(INDEX(rMed,1972))),INDEX(rMed2,1972),NA()))</f>
        <v>4</v>
      </c>
      <c r="BY1974">
        <f>IF(OR(cMed=0,cMed2=0,1972&gt;nFilas),NA(),IF(AND(ISNUMBER(INDEX(rMed2,1972)),ISNUMBER(INDEX(rMed,1972))),INDEX(rMed,1972),NA()))</f>
        <v>965600</v>
      </c>
    </row>
    <row r="1975">
      <c r="BX1975">
        <f>IF(OR(cMed=0,cMed2=0,1973&gt;nFilas),NA(),IF(AND(ISNUMBER(INDEX(rMed2,1973)),ISNUMBER(INDEX(rMed,1973))),INDEX(rMed2,1973),NA()))</f>
        <v>3</v>
      </c>
      <c r="BY1975">
        <f>IF(OR(cMed=0,cMed2=0,1973&gt;nFilas),NA(),IF(AND(ISNUMBER(INDEX(rMed2,1973)),ISNUMBER(INDEX(rMed,1973))),INDEX(rMed,1973),NA()))</f>
        <v>561000</v>
      </c>
    </row>
    <row r="1976">
      <c r="BX1976">
        <f>IF(OR(cMed=0,cMed2=0,1974&gt;nFilas),NA(),IF(AND(ISNUMBER(INDEX(rMed2,1974)),ISNUMBER(INDEX(rMed,1974))),INDEX(rMed2,1974),NA()))</f>
        <v>2</v>
      </c>
      <c r="BY1976">
        <f>IF(OR(cMed=0,cMed2=0,1974&gt;nFilas),NA(),IF(AND(ISNUMBER(INDEX(rMed2,1974)),ISNUMBER(INDEX(rMed,1974))),INDEX(rMed,1974),NA()))</f>
        <v>1240800</v>
      </c>
    </row>
    <row r="1977">
      <c r="BX1977">
        <f>IF(OR(cMed=0,cMed2=0,1975&gt;nFilas),NA(),IF(AND(ISNUMBER(INDEX(rMed2,1975)),ISNUMBER(INDEX(rMed,1975))),INDEX(rMed2,1975),NA()))</f>
        <v>3</v>
      </c>
      <c r="BY1977">
        <f>IF(OR(cMed=0,cMed2=0,1975&gt;nFilas),NA(),IF(AND(ISNUMBER(INDEX(rMed2,1975)),ISNUMBER(INDEX(rMed,1975))),INDEX(rMed,1975),NA()))</f>
        <v>187800</v>
      </c>
    </row>
    <row r="1978">
      <c r="BX1978">
        <f>IF(OR(cMed=0,cMed2=0,1976&gt;nFilas),NA(),IF(AND(ISNUMBER(INDEX(rMed2,1976)),ISNUMBER(INDEX(rMed,1976))),INDEX(rMed2,1976),NA()))</f>
        <v>1</v>
      </c>
      <c r="BY1978">
        <f>IF(OR(cMed=0,cMed2=0,1976&gt;nFilas),NA(),IF(AND(ISNUMBER(INDEX(rMed2,1976)),ISNUMBER(INDEX(rMed,1976))),INDEX(rMed,1976),NA()))</f>
        <v>988900</v>
      </c>
    </row>
    <row r="1979">
      <c r="BX1979">
        <f>IF(OR(cMed=0,cMed2=0,1977&gt;nFilas),NA(),IF(AND(ISNUMBER(INDEX(rMed2,1977)),ISNUMBER(INDEX(rMed,1977))),INDEX(rMed2,1977),NA()))</f>
        <v>1</v>
      </c>
      <c r="BY1979">
        <f>IF(OR(cMed=0,cMed2=0,1977&gt;nFilas),NA(),IF(AND(ISNUMBER(INDEX(rMed2,1977)),ISNUMBER(INDEX(rMed,1977))),INDEX(rMed,1977),NA()))</f>
        <v>75800</v>
      </c>
    </row>
    <row r="1980">
      <c r="BX1980">
        <f>IF(OR(cMed=0,cMed2=0,1978&gt;nFilas),NA(),IF(AND(ISNUMBER(INDEX(rMed2,1978)),ISNUMBER(INDEX(rMed,1978))),INDEX(rMed2,1978),NA()))</f>
        <v>5</v>
      </c>
      <c r="BY1980">
        <f>IF(OR(cMed=0,cMed2=0,1978&gt;nFilas),NA(),IF(AND(ISNUMBER(INDEX(rMed2,1978)),ISNUMBER(INDEX(rMed,1978))),INDEX(rMed,1978),NA()))</f>
        <v>2986500</v>
      </c>
    </row>
    <row r="1981">
      <c r="BX1981">
        <f>IF(OR(cMed=0,cMed2=0,1979&gt;nFilas),NA(),IF(AND(ISNUMBER(INDEX(rMed2,1979)),ISNUMBER(INDEX(rMed,1979))),INDEX(rMed2,1979),NA()))</f>
        <v>4</v>
      </c>
      <c r="BY1981">
        <f>IF(OR(cMed=0,cMed2=0,1979&gt;nFilas),NA(),IF(AND(ISNUMBER(INDEX(rMed2,1979)),ISNUMBER(INDEX(rMed,1979))),INDEX(rMed,1979),NA()))</f>
        <v>351600</v>
      </c>
    </row>
    <row r="1982">
      <c r="BX1982">
        <f>IF(OR(cMed=0,cMed2=0,1980&gt;nFilas),NA(),IF(AND(ISNUMBER(INDEX(rMed2,1980)),ISNUMBER(INDEX(rMed,1980))),INDEX(rMed2,1980),NA()))</f>
        <v>2</v>
      </c>
      <c r="BY1982">
        <f>IF(OR(cMed=0,cMed2=0,1980&gt;nFilas),NA(),IF(AND(ISNUMBER(INDEX(rMed2,1980)),ISNUMBER(INDEX(rMed,1980))),INDEX(rMed,1980),NA()))</f>
        <v>1941800</v>
      </c>
    </row>
    <row r="1983">
      <c r="BX1983">
        <f>IF(OR(cMed=0,cMed2=0,1981&gt;nFilas),NA(),IF(AND(ISNUMBER(INDEX(rMed2,1981)),ISNUMBER(INDEX(rMed,1981))),INDEX(rMed2,1981),NA()))</f>
        <v>4</v>
      </c>
      <c r="BY1983">
        <f>IF(OR(cMed=0,cMed2=0,1981&gt;nFilas),NA(),IF(AND(ISNUMBER(INDEX(rMed2,1981)),ISNUMBER(INDEX(rMed,1981))),INDEX(rMed,1981),NA()))</f>
        <v>794400</v>
      </c>
    </row>
    <row r="1984">
      <c r="BX1984">
        <f>IF(OR(cMed=0,cMed2=0,1982&gt;nFilas),NA(),IF(AND(ISNUMBER(INDEX(rMed2,1982)),ISNUMBER(INDEX(rMed,1982))),INDEX(rMed2,1982),NA()))</f>
        <v>5</v>
      </c>
      <c r="BY1984">
        <f>IF(OR(cMed=0,cMed2=0,1982&gt;nFilas),NA(),IF(AND(ISNUMBER(INDEX(rMed2,1982)),ISNUMBER(INDEX(rMed,1982))),INDEX(rMed,1982),NA()))</f>
        <v>900500</v>
      </c>
    </row>
    <row r="1985">
      <c r="BX1985">
        <f>IF(OR(cMed=0,cMed2=0,1983&gt;nFilas),NA(),IF(AND(ISNUMBER(INDEX(rMed2,1983)),ISNUMBER(INDEX(rMed,1983))),INDEX(rMed2,1983),NA()))</f>
        <v>3</v>
      </c>
      <c r="BY1985">
        <f>IF(OR(cMed=0,cMed2=0,1983&gt;nFilas),NA(),IF(AND(ISNUMBER(INDEX(rMed2,1983)),ISNUMBER(INDEX(rMed,1983))),INDEX(rMed,1983),NA()))</f>
        <v>2546400</v>
      </c>
    </row>
    <row r="1986">
      <c r="BX1986">
        <f>IF(OR(cMed=0,cMed2=0,1984&gt;nFilas),NA(),IF(AND(ISNUMBER(INDEX(rMed2,1984)),ISNUMBER(INDEX(rMed,1984))),INDEX(rMed2,1984),NA()))</f>
        <v>2</v>
      </c>
      <c r="BY1986">
        <f>IF(OR(cMed=0,cMed2=0,1984&gt;nFilas),NA(),IF(AND(ISNUMBER(INDEX(rMed2,1984)),ISNUMBER(INDEX(rMed,1984))),INDEX(rMed,1984),NA()))</f>
        <v>162600</v>
      </c>
    </row>
    <row r="1987">
      <c r="BX1987">
        <f>IF(OR(cMed=0,cMed2=0,1985&gt;nFilas),NA(),IF(AND(ISNUMBER(INDEX(rMed2,1985)),ISNUMBER(INDEX(rMed,1985))),INDEX(rMed2,1985),NA()))</f>
        <v>1</v>
      </c>
      <c r="BY1987">
        <f>IF(OR(cMed=0,cMed2=0,1985&gt;nFilas),NA(),IF(AND(ISNUMBER(INDEX(rMed2,1985)),ISNUMBER(INDEX(rMed,1985))),INDEX(rMed,1985),NA()))</f>
        <v>155800</v>
      </c>
    </row>
    <row r="1988">
      <c r="BX1988">
        <f>IF(OR(cMed=0,cMed2=0,1986&gt;nFilas),NA(),IF(AND(ISNUMBER(INDEX(rMed2,1986)),ISNUMBER(INDEX(rMed,1986))),INDEX(rMed2,1986),NA()))</f>
        <v>4</v>
      </c>
      <c r="BY1988">
        <f>IF(OR(cMed=0,cMed2=0,1986&gt;nFilas),NA(),IF(AND(ISNUMBER(INDEX(rMed2,1986)),ISNUMBER(INDEX(rMed,1986))),INDEX(rMed,1986),NA()))</f>
        <v>2558800</v>
      </c>
    </row>
    <row r="1989">
      <c r="BX1989">
        <f>IF(OR(cMed=0,cMed2=0,1987&gt;nFilas),NA(),IF(AND(ISNUMBER(INDEX(rMed2,1987)),ISNUMBER(INDEX(rMed,1987))),INDEX(rMed2,1987),NA()))</f>
        <v>5</v>
      </c>
      <c r="BY1989">
        <f>IF(OR(cMed=0,cMed2=0,1987&gt;nFilas),NA(),IF(AND(ISNUMBER(INDEX(rMed2,1987)),ISNUMBER(INDEX(rMed,1987))),INDEX(rMed,1987),NA()))</f>
        <v>292000</v>
      </c>
    </row>
    <row r="1990">
      <c r="BX1990">
        <f>IF(OR(cMed=0,cMed2=0,1988&gt;nFilas),NA(),IF(AND(ISNUMBER(INDEX(rMed2,1988)),ISNUMBER(INDEX(rMed,1988))),INDEX(rMed2,1988),NA()))</f>
        <v>3</v>
      </c>
      <c r="BY1990">
        <f>IF(OR(cMed=0,cMed2=0,1988&gt;nFilas),NA(),IF(AND(ISNUMBER(INDEX(rMed2,1988)),ISNUMBER(INDEX(rMed,1988))),INDEX(rMed,1988),NA()))</f>
        <v>258405</v>
      </c>
    </row>
    <row r="1991">
      <c r="BX1991">
        <f>IF(OR(cMed=0,cMed2=0,1989&gt;nFilas),NA(),IF(AND(ISNUMBER(INDEX(rMed2,1989)),ISNUMBER(INDEX(rMed,1989))),INDEX(rMed2,1989),NA()))</f>
        <v>5</v>
      </c>
      <c r="BY1991">
        <f>IF(OR(cMed=0,cMed2=0,1989&gt;nFilas),NA(),IF(AND(ISNUMBER(INDEX(rMed2,1989)),ISNUMBER(INDEX(rMed,1989))),INDEX(rMed,1989),NA()))</f>
        <v>1324800</v>
      </c>
    </row>
    <row r="1992">
      <c r="BX1992">
        <f>IF(OR(cMed=0,cMed2=0,1990&gt;nFilas),NA(),IF(AND(ISNUMBER(INDEX(rMed2,1990)),ISNUMBER(INDEX(rMed,1990))),INDEX(rMed2,1990),NA()))</f>
        <v>5</v>
      </c>
      <c r="BY1992">
        <f>IF(OR(cMed=0,cMed2=0,1990&gt;nFilas),NA(),IF(AND(ISNUMBER(INDEX(rMed2,1990)),ISNUMBER(INDEX(rMed,1990))),INDEX(rMed,1990),NA()))</f>
        <v>3910000</v>
      </c>
    </row>
    <row r="1993">
      <c r="BX1993">
        <f>IF(OR(cMed=0,cMed2=0,1991&gt;nFilas),NA(),IF(AND(ISNUMBER(INDEX(rMed2,1991)),ISNUMBER(INDEX(rMed,1991))),INDEX(rMed2,1991),NA()))</f>
        <v>4</v>
      </c>
      <c r="BY1993">
        <f>IF(OR(cMed=0,cMed2=0,1991&gt;nFilas),NA(),IF(AND(ISNUMBER(INDEX(rMed2,1991)),ISNUMBER(INDEX(rMed,1991))),INDEX(rMed,1991),NA()))</f>
        <v>375360</v>
      </c>
    </row>
    <row r="1994">
      <c r="BX1994">
        <f>IF(OR(cMed=0,cMed2=0,1992&gt;nFilas),NA(),IF(AND(ISNUMBER(INDEX(rMed2,1992)),ISNUMBER(INDEX(rMed,1992))),INDEX(rMed2,1992),NA()))</f>
        <v>1</v>
      </c>
      <c r="BY1994">
        <f>IF(OR(cMed=0,cMed2=0,1992&gt;nFilas),NA(),IF(AND(ISNUMBER(INDEX(rMed2,1992)),ISNUMBER(INDEX(rMed,1992))),INDEX(rMed,1992),NA()))</f>
        <v>172155</v>
      </c>
    </row>
    <row r="1995">
      <c r="BX1995">
        <f>IF(OR(cMed=0,cMed2=0,1993&gt;nFilas),NA(),IF(AND(ISNUMBER(INDEX(rMed2,1993)),ISNUMBER(INDEX(rMed,1993))),INDEX(rMed2,1993),NA()))</f>
        <v>4</v>
      </c>
      <c r="BY1995">
        <f>IF(OR(cMed=0,cMed2=0,1993&gt;nFilas),NA(),IF(AND(ISNUMBER(INDEX(rMed2,1993)),ISNUMBER(INDEX(rMed,1993))),INDEX(rMed,1993),NA()))</f>
        <v>991760</v>
      </c>
    </row>
    <row r="1996">
      <c r="BX1996">
        <f>IF(OR(cMed=0,cMed2=0,1994&gt;nFilas),NA(),IF(AND(ISNUMBER(INDEX(rMed2,1994)),ISNUMBER(INDEX(rMed,1994))),INDEX(rMed2,1994),NA()))</f>
        <v>2</v>
      </c>
      <c r="BY1996">
        <f>IF(OR(cMed=0,cMed2=0,1994&gt;nFilas),NA(),IF(AND(ISNUMBER(INDEX(rMed2,1994)),ISNUMBER(INDEX(rMed,1994))),INDEX(rMed,1994),NA()))</f>
        <v>2048150</v>
      </c>
    </row>
    <row r="1997">
      <c r="BX1997">
        <f>IF(OR(cMed=0,cMed2=0,1995&gt;nFilas),NA(),IF(AND(ISNUMBER(INDEX(rMed2,1995)),ISNUMBER(INDEX(rMed,1995))),INDEX(rMed2,1995),NA()))</f>
        <v>3</v>
      </c>
      <c r="BY1997">
        <f>IF(OR(cMed=0,cMed2=0,1995&gt;nFilas),NA(),IF(AND(ISNUMBER(INDEX(rMed2,1995)),ISNUMBER(INDEX(rMed,1995))),INDEX(rMed,1995),NA()))</f>
        <v>311535</v>
      </c>
    </row>
    <row r="1998">
      <c r="BX1998">
        <f>IF(OR(cMed=0,cMed2=0,1996&gt;nFilas),NA(),IF(AND(ISNUMBER(INDEX(rMed2,1996)),ISNUMBER(INDEX(rMed,1996))),INDEX(rMed2,1996),NA()))</f>
        <v>1</v>
      </c>
      <c r="BY1998">
        <f>IF(OR(cMed=0,cMed2=0,1996&gt;nFilas),NA(),IF(AND(ISNUMBER(INDEX(rMed2,1996)),ISNUMBER(INDEX(rMed,1996))),INDEX(rMed,1996),NA()))</f>
        <v>145935</v>
      </c>
    </row>
    <row r="1999">
      <c r="BX1999">
        <f>IF(OR(cMed=0,cMed2=0,1997&gt;nFilas),NA(),IF(AND(ISNUMBER(INDEX(rMed2,1997)),ISNUMBER(INDEX(rMed,1997))),INDEX(rMed2,1997),NA()))</f>
        <v>4</v>
      </c>
      <c r="BY1999">
        <f>IF(OR(cMed=0,cMed2=0,1997&gt;nFilas),NA(),IF(AND(ISNUMBER(INDEX(rMed2,1997)),ISNUMBER(INDEX(rMed,1997))),INDEX(rMed,1997),NA()))</f>
        <v>485760</v>
      </c>
    </row>
    <row r="2000">
      <c r="BX2000">
        <f>IF(OR(cMed=0,cMed2=0,1998&gt;nFilas),NA(),IF(AND(ISNUMBER(INDEX(rMed2,1998)),ISNUMBER(INDEX(rMed,1998))),INDEX(rMed2,1998),NA()))</f>
        <v>3</v>
      </c>
      <c r="BY2000">
        <f>IF(OR(cMed=0,cMed2=0,1998&gt;nFilas),NA(),IF(AND(ISNUMBER(INDEX(rMed2,1998)),ISNUMBER(INDEX(rMed,1998))),INDEX(rMed,1998),NA()))</f>
        <v>376740</v>
      </c>
    </row>
    <row r="2001">
      <c r="BX2001">
        <f>IF(OR(cMed=0,cMed2=0,1999&gt;nFilas),NA(),IF(AND(ISNUMBER(INDEX(rMed2,1999)),ISNUMBER(INDEX(rMed,1999))),INDEX(rMed2,1999),NA()))</f>
        <v>2</v>
      </c>
      <c r="BY2001">
        <f>IF(OR(cMed=0,cMed2=0,1999&gt;nFilas),NA(),IF(AND(ISNUMBER(INDEX(rMed2,1999)),ISNUMBER(INDEX(rMed,1999))),INDEX(rMed,1999),NA()))</f>
        <v>1702000</v>
      </c>
    </row>
    <row r="2002">
      <c r="BX2002">
        <f>IF(OR(cMed=0,cMed2=0,2000&gt;nFilas),NA(),IF(AND(ISNUMBER(INDEX(rMed2,2000)),ISNUMBER(INDEX(rMed,2000))),INDEX(rMed2,2000),NA()))</f>
        <v>5</v>
      </c>
      <c r="BY2002">
        <f>IF(OR(cMed=0,cMed2=0,2000&gt;nFilas),NA(),IF(AND(ISNUMBER(INDEX(rMed2,2000)),ISNUMBER(INDEX(rMed,2000))),INDEX(rMed,2000),NA()))</f>
        <v>627325</v>
      </c>
    </row>
    <row r="2003">
      <c r="BX2003">
        <f>IF(OR(cMed=0,cMed2=0,2001&gt;nFilas),NA(),IF(AND(ISNUMBER(INDEX(rMed2,2001)),ISNUMBER(INDEX(rMed,2001))),INDEX(rMed2,2001),NA()))</f>
        <v>3</v>
      </c>
      <c r="BY2003">
        <f>IF(OR(cMed=0,cMed2=0,2001&gt;nFilas),NA(),IF(AND(ISNUMBER(INDEX(rMed2,2001)),ISNUMBER(INDEX(rMed,2001))),INDEX(rMed,2001),NA()))</f>
        <v>696900</v>
      </c>
    </row>
    <row r="2004">
      <c r="BX2004">
        <f>IF(OR(cMed=0,cMed2=0,2002&gt;nFilas),NA(),IF(AND(ISNUMBER(INDEX(rMed2,2002)),ISNUMBER(INDEX(rMed,2002))),INDEX(rMed2,2002),NA()))</f>
        <v>4</v>
      </c>
      <c r="BY2004">
        <f>IF(OR(cMed=0,cMed2=0,2002&gt;nFilas),NA(),IF(AND(ISNUMBER(INDEX(rMed2,2002)),ISNUMBER(INDEX(rMed,2002))),INDEX(rMed,2002),NA()))</f>
        <v>590640</v>
      </c>
    </row>
    <row r="2005">
      <c r="BX2005">
        <f>IF(OR(cMed=0,cMed2=0,2003&gt;nFilas),NA(),IF(AND(ISNUMBER(INDEX(rMed2,2003)),ISNUMBER(INDEX(rMed,2003))),INDEX(rMed2,2003),NA()))</f>
        <v>2</v>
      </c>
      <c r="BY2005">
        <f>IF(OR(cMed=0,cMed2=0,2003&gt;nFilas),NA(),IF(AND(ISNUMBER(INDEX(rMed2,2003)),ISNUMBER(INDEX(rMed,2003))),INDEX(rMed,2003),NA()))</f>
        <v>296800</v>
      </c>
    </row>
    <row r="2006">
      <c r="BX2006">
        <f>IF(OR(cMed=0,cMed2=0,2004&gt;nFilas),NA(),IF(AND(ISNUMBER(INDEX(rMed2,2004)),ISNUMBER(INDEX(rMed,2004))),INDEX(rMed2,2004),NA()))</f>
        <v>5</v>
      </c>
      <c r="BY2006">
        <f>IF(OR(cMed=0,cMed2=0,2004&gt;nFilas),NA(),IF(AND(ISNUMBER(INDEX(rMed2,2004)),ISNUMBER(INDEX(rMed,2004))),INDEX(rMed,2004),NA()))</f>
        <v>400500</v>
      </c>
    </row>
    <row r="2007">
      <c r="BX2007">
        <f>IF(OR(cMed=0,cMed2=0,2005&gt;nFilas),NA(),IF(AND(ISNUMBER(INDEX(rMed2,2005)),ISNUMBER(INDEX(rMed,2005))),INDEX(rMed2,2005),NA()))</f>
        <v>5</v>
      </c>
      <c r="BY2007">
        <f>IF(OR(cMed=0,cMed2=0,2005&gt;nFilas),NA(),IF(AND(ISNUMBER(INDEX(rMed2,2005)),ISNUMBER(INDEX(rMed,2005))),INDEX(rMed,2005),NA()))</f>
        <v>410000</v>
      </c>
    </row>
    <row r="2008">
      <c r="BX2008">
        <f>IF(OR(cMed=0,cMed2=0,2006&gt;nFilas),NA(),IF(AND(ISNUMBER(INDEX(rMed2,2006)),ISNUMBER(INDEX(rMed,2006))),INDEX(rMed2,2006),NA()))</f>
        <v>2</v>
      </c>
      <c r="BY2008">
        <f>IF(OR(cMed=0,cMed2=0,2006&gt;nFilas),NA(),IF(AND(ISNUMBER(INDEX(rMed2,2006)),ISNUMBER(INDEX(rMed,2006))),INDEX(rMed,2006),NA()))</f>
        <v>450000</v>
      </c>
    </row>
    <row r="2009">
      <c r="BX2009">
        <f>IF(OR(cMed=0,cMed2=0,2007&gt;nFilas),NA(),IF(AND(ISNUMBER(INDEX(rMed2,2007)),ISNUMBER(INDEX(rMed,2007))),INDEX(rMed2,2007),NA()))</f>
        <v>4</v>
      </c>
      <c r="BY2009">
        <f>IF(OR(cMed=0,cMed2=0,2007&gt;nFilas),NA(),IF(AND(ISNUMBER(INDEX(rMed2,2007)),ISNUMBER(INDEX(rMed,2007))),INDEX(rMed,2007),NA()))</f>
        <v>572400</v>
      </c>
    </row>
    <row r="2010">
      <c r="BX2010">
        <f>IF(OR(cMed=0,cMed2=0,2008&gt;nFilas),NA(),IF(AND(ISNUMBER(INDEX(rMed2,2008)),ISNUMBER(INDEX(rMed,2008))),INDEX(rMed2,2008),NA()))</f>
        <v>1</v>
      </c>
      <c r="BY2010">
        <f>IF(OR(cMed=0,cMed2=0,2008&gt;nFilas),NA(),IF(AND(ISNUMBER(INDEX(rMed2,2008)),ISNUMBER(INDEX(rMed,2008))),INDEX(rMed,2008),NA()))</f>
        <v>60900</v>
      </c>
    </row>
    <row r="2011">
      <c r="BX2011">
        <f>IF(OR(cMed=0,cMed2=0,2009&gt;nFilas),NA(),IF(AND(ISNUMBER(INDEX(rMed2,2009)),ISNUMBER(INDEX(rMed,2009))),INDEX(rMed2,2009),NA()))</f>
        <v>5</v>
      </c>
      <c r="BY2011">
        <f>IF(OR(cMed=0,cMed2=0,2009&gt;nFilas),NA(),IF(AND(ISNUMBER(INDEX(rMed2,2009)),ISNUMBER(INDEX(rMed,2009))),INDEX(rMed,2009),NA()))</f>
        <v>389000</v>
      </c>
    </row>
    <row r="2012">
      <c r="BX2012">
        <f>IF(OR(cMed=0,cMed2=0,2010&gt;nFilas),NA(),IF(AND(ISNUMBER(INDEX(rMed2,2010)),ISNUMBER(INDEX(rMed,2010))),INDEX(rMed2,2010),NA()))</f>
        <v>1</v>
      </c>
      <c r="BY2012">
        <f>IF(OR(cMed=0,cMed2=0,2010&gt;nFilas),NA(),IF(AND(ISNUMBER(INDEX(rMed2,2010)),ISNUMBER(INDEX(rMed,2010))),INDEX(rMed,2010),NA()))</f>
        <v>898400</v>
      </c>
    </row>
    <row r="2013">
      <c r="BX2013">
        <f>IF(OR(cMed=0,cMed2=0,2011&gt;nFilas),NA(),IF(AND(ISNUMBER(INDEX(rMed2,2011)),ISNUMBER(INDEX(rMed,2011))),INDEX(rMed2,2011),NA()))</f>
        <v>1</v>
      </c>
      <c r="BY2013">
        <f>IF(OR(cMed=0,cMed2=0,2011&gt;nFilas),NA(),IF(AND(ISNUMBER(INDEX(rMed2,2011)),ISNUMBER(INDEX(rMed,2011))),INDEX(rMed,2011),NA()))</f>
        <v>82400</v>
      </c>
    </row>
    <row r="2014">
      <c r="BX2014">
        <f>IF(OR(cMed=0,cMed2=0,2012&gt;nFilas),NA(),IF(AND(ISNUMBER(INDEX(rMed2,2012)),ISNUMBER(INDEX(rMed,2012))),INDEX(rMed2,2012),NA()))</f>
        <v>2</v>
      </c>
      <c r="BY2014">
        <f>IF(OR(cMed=0,cMed2=0,2012&gt;nFilas),NA(),IF(AND(ISNUMBER(INDEX(rMed2,2012)),ISNUMBER(INDEX(rMed,2012))),INDEX(rMed,2012),NA()))</f>
        <v>147800</v>
      </c>
    </row>
    <row r="2015">
      <c r="BX2015">
        <f>IF(OR(cMed=0,cMed2=0,2013&gt;nFilas),NA(),IF(AND(ISNUMBER(INDEX(rMed2,2013)),ISNUMBER(INDEX(rMed,2013))),INDEX(rMed2,2013),NA()))</f>
        <v>5</v>
      </c>
      <c r="BY2015">
        <f>IF(OR(cMed=0,cMed2=0,2013&gt;nFilas),NA(),IF(AND(ISNUMBER(INDEX(rMed2,2013)),ISNUMBER(INDEX(rMed,2013))),INDEX(rMed,2013),NA()))</f>
        <v>432500</v>
      </c>
    </row>
    <row r="2016">
      <c r="BX2016">
        <f>IF(OR(cMed=0,cMed2=0,2014&gt;nFilas),NA(),IF(AND(ISNUMBER(INDEX(rMed2,2014)),ISNUMBER(INDEX(rMed,2014))),INDEX(rMed2,2014),NA()))</f>
        <v>5</v>
      </c>
      <c r="BY2016">
        <f>IF(OR(cMed=0,cMed2=0,2014&gt;nFilas),NA(),IF(AND(ISNUMBER(INDEX(rMed2,2014)),ISNUMBER(INDEX(rMed,2014))),INDEX(rMed,2014),NA()))</f>
        <v>755500</v>
      </c>
    </row>
    <row r="2017">
      <c r="BX2017">
        <f>IF(OR(cMed=0,cMed2=0,2015&gt;nFilas),NA(),IF(AND(ISNUMBER(INDEX(rMed2,2015)),ISNUMBER(INDEX(rMed,2015))),INDEX(rMed2,2015),NA()))</f>
        <v>5</v>
      </c>
      <c r="BY2017">
        <f>IF(OR(cMed=0,cMed2=0,2015&gt;nFilas),NA(),IF(AND(ISNUMBER(INDEX(rMed2,2015)),ISNUMBER(INDEX(rMed,2015))),INDEX(rMed,2015),NA()))</f>
        <v>519000</v>
      </c>
    </row>
    <row r="2018">
      <c r="BX2018">
        <f>IF(OR(cMed=0,cMed2=0,2016&gt;nFilas),NA(),IF(AND(ISNUMBER(INDEX(rMed2,2016)),ISNUMBER(INDEX(rMed,2016))),INDEX(rMed2,2016),NA()))</f>
        <v>3</v>
      </c>
      <c r="BY2018">
        <f>IF(OR(cMed=0,cMed2=0,2016&gt;nFilas),NA(),IF(AND(ISNUMBER(INDEX(rMed2,2016)),ISNUMBER(INDEX(rMed,2016))),INDEX(rMed,2016),NA()))</f>
        <v>218700</v>
      </c>
    </row>
    <row r="2019">
      <c r="BX2019">
        <f>IF(OR(cMed=0,cMed2=0,2017&gt;nFilas),NA(),IF(AND(ISNUMBER(INDEX(rMed2,2017)),ISNUMBER(INDEX(rMed,2017))),INDEX(rMed2,2017),NA()))</f>
        <v>4</v>
      </c>
      <c r="BY2019">
        <f>IF(OR(cMed=0,cMed2=0,2017&gt;nFilas),NA(),IF(AND(ISNUMBER(INDEX(rMed2,2017)),ISNUMBER(INDEX(rMed,2017))),INDEX(rMed,2017),NA()))</f>
        <v>2784400</v>
      </c>
    </row>
    <row r="2020">
      <c r="BX2020">
        <f>IF(OR(cMed=0,cMed2=0,2018&gt;nFilas),NA(),IF(AND(ISNUMBER(INDEX(rMed2,2018)),ISNUMBER(INDEX(rMed,2018))),INDEX(rMed2,2018),NA()))</f>
        <v>3</v>
      </c>
      <c r="BY2020">
        <f>IF(OR(cMed=0,cMed2=0,2018&gt;nFilas),NA(),IF(AND(ISNUMBER(INDEX(rMed2,2018)),ISNUMBER(INDEX(rMed,2018))),INDEX(rMed,2018),NA()))</f>
        <v>367500</v>
      </c>
    </row>
    <row r="2021">
      <c r="BX2021">
        <f>IF(OR(cMed=0,cMed2=0,2019&gt;nFilas),NA(),IF(AND(ISNUMBER(INDEX(rMed2,2019)),ISNUMBER(INDEX(rMed,2019))),INDEX(rMed2,2019),NA()))</f>
        <v>3</v>
      </c>
      <c r="BY2021">
        <f>IF(OR(cMed=0,cMed2=0,2019&gt;nFilas),NA(),IF(AND(ISNUMBER(INDEX(rMed2,2019)),ISNUMBER(INDEX(rMed,2019))),INDEX(rMed,2019),NA()))</f>
        <v>186600</v>
      </c>
    </row>
    <row r="2022">
      <c r="BX2022">
        <f>IF(OR(cMed=0,cMed2=0,2020&gt;nFilas),NA(),IF(AND(ISNUMBER(INDEX(rMed2,2020)),ISNUMBER(INDEX(rMed,2020))),INDEX(rMed2,2020),NA()))</f>
        <v>3</v>
      </c>
      <c r="BY2022">
        <f>IF(OR(cMed=0,cMed2=0,2020&gt;nFilas),NA(),IF(AND(ISNUMBER(INDEX(rMed2,2020)),ISNUMBER(INDEX(rMed,2020))),INDEX(rMed,2020),NA()))</f>
        <v>2440500</v>
      </c>
    </row>
    <row r="2023">
      <c r="BX2023">
        <f>IF(OR(cMed=0,cMed2=0,2021&gt;nFilas),NA(),IF(AND(ISNUMBER(INDEX(rMed2,2021)),ISNUMBER(INDEX(rMed,2021))),INDEX(rMed2,2021),NA()))</f>
        <v>4</v>
      </c>
      <c r="BY2023">
        <f>IF(OR(cMed=0,cMed2=0,2021&gt;nFilas),NA(),IF(AND(ISNUMBER(INDEX(rMed2,2021)),ISNUMBER(INDEX(rMed,2021))),INDEX(rMed,2021),NA()))</f>
        <v>587200</v>
      </c>
    </row>
    <row r="2024">
      <c r="BX2024">
        <f>IF(OR(cMed=0,cMed2=0,2022&gt;nFilas),NA(),IF(AND(ISNUMBER(INDEX(rMed2,2022)),ISNUMBER(INDEX(rMed,2022))),INDEX(rMed2,2022),NA()))</f>
        <v>2</v>
      </c>
      <c r="BY2024">
        <f>IF(OR(cMed=0,cMed2=0,2022&gt;nFilas),NA(),IF(AND(ISNUMBER(INDEX(rMed2,2022)),ISNUMBER(INDEX(rMed,2022))),INDEX(rMed,2022),NA()))</f>
        <v>1274800</v>
      </c>
    </row>
    <row r="2025">
      <c r="BX2025">
        <f>IF(OR(cMed=0,cMed2=0,2023&gt;nFilas),NA(),IF(AND(ISNUMBER(INDEX(rMed2,2023)),ISNUMBER(INDEX(rMed,2023))),INDEX(rMed2,2023),NA()))</f>
        <v>5</v>
      </c>
      <c r="BY2025">
        <f>IF(OR(cMed=0,cMed2=0,2023&gt;nFilas),NA(),IF(AND(ISNUMBER(INDEX(rMed2,2023)),ISNUMBER(INDEX(rMed,2023))),INDEX(rMed,2023),NA()))</f>
        <v>1083875</v>
      </c>
    </row>
    <row r="2026">
      <c r="BX2026">
        <f>IF(OR(cMed=0,cMed2=0,2024&gt;nFilas),NA(),IF(AND(ISNUMBER(INDEX(rMed2,2024)),ISNUMBER(INDEX(rMed,2024))),INDEX(rMed2,2024),NA()))</f>
        <v>4</v>
      </c>
      <c r="BY2026">
        <f>IF(OR(cMed=0,cMed2=0,2024&gt;nFilas),NA(),IF(AND(ISNUMBER(INDEX(rMed2,2024)),ISNUMBER(INDEX(rMed,2024))),INDEX(rMed,2024),NA()))</f>
        <v>507380</v>
      </c>
    </row>
    <row r="2027">
      <c r="BX2027">
        <f>IF(OR(cMed=0,cMed2=0,2025&gt;nFilas),NA(),IF(AND(ISNUMBER(INDEX(rMed2,2025)),ISNUMBER(INDEX(rMed,2025))),INDEX(rMed2,2025),NA()))</f>
        <v>2</v>
      </c>
      <c r="BY2027">
        <f>IF(OR(cMed=0,cMed2=0,2025&gt;nFilas),NA(),IF(AND(ISNUMBER(INDEX(rMed2,2025)),ISNUMBER(INDEX(rMed,2025))),INDEX(rMed,2025),NA()))</f>
        <v>183080</v>
      </c>
    </row>
    <row r="2028">
      <c r="BX2028">
        <f>IF(OR(cMed=0,cMed2=0,2026&gt;nFilas),NA(),IF(AND(ISNUMBER(INDEX(rMed2,2026)),ISNUMBER(INDEX(rMed,2026))),INDEX(rMed2,2026),NA()))</f>
        <v>1</v>
      </c>
      <c r="BY2028">
        <f>IF(OR(cMed=0,cMed2=0,2026&gt;nFilas),NA(),IF(AND(ISNUMBER(INDEX(rMed2,2026)),ISNUMBER(INDEX(rMed,2026))),INDEX(rMed,2026),NA()))</f>
        <v>73140</v>
      </c>
    </row>
    <row r="2029">
      <c r="BX2029">
        <f>IF(OR(cMed=0,cMed2=0,2027&gt;nFilas),NA(),IF(AND(ISNUMBER(INDEX(rMed2,2027)),ISNUMBER(INDEX(rMed,2027))),INDEX(rMed2,2027),NA()))</f>
        <v>4</v>
      </c>
      <c r="BY2029">
        <f>IF(OR(cMed=0,cMed2=0,2027&gt;nFilas),NA(),IF(AND(ISNUMBER(INDEX(rMed2,2027)),ISNUMBER(INDEX(rMed,2027))),INDEX(rMed,2027),NA()))</f>
        <v>987160</v>
      </c>
    </row>
    <row r="2030">
      <c r="BX2030">
        <f>IF(OR(cMed=0,cMed2=0,2028&gt;nFilas),NA(),IF(AND(ISNUMBER(INDEX(rMed2,2028)),ISNUMBER(INDEX(rMed,2028))),INDEX(rMed2,2028),NA()))</f>
        <v>1</v>
      </c>
      <c r="BY2030">
        <f>IF(OR(cMed=0,cMed2=0,2028&gt;nFilas),NA(),IF(AND(ISNUMBER(INDEX(rMed2,2028)),ISNUMBER(INDEX(rMed,2028))),INDEX(rMed,2028),NA()))</f>
        <v>74175</v>
      </c>
    </row>
    <row r="2031">
      <c r="BX2031">
        <f>IF(OR(cMed=0,cMed2=0,2029&gt;nFilas),NA(),IF(AND(ISNUMBER(INDEX(rMed2,2029)),ISNUMBER(INDEX(rMed,2029))),INDEX(rMed2,2029),NA()))</f>
        <v>3</v>
      </c>
      <c r="BY2031">
        <f>IF(OR(cMed=0,cMed2=0,2029&gt;nFilas),NA(),IF(AND(ISNUMBER(INDEX(rMed2,2029)),ISNUMBER(INDEX(rMed,2029))),INDEX(rMed,2029),NA()))</f>
        <v>2551965</v>
      </c>
    </row>
    <row r="2032">
      <c r="BX2032">
        <f>IF(OR(cMed=0,cMed2=0,2030&gt;nFilas),NA(),IF(AND(ISNUMBER(INDEX(rMed2,2030)),ISNUMBER(INDEX(rMed,2030))),INDEX(rMed2,2030),NA()))</f>
        <v>5</v>
      </c>
      <c r="BY2032">
        <f>IF(OR(cMed=0,cMed2=0,2030&gt;nFilas),NA(),IF(AND(ISNUMBER(INDEX(rMed2,2030)),ISNUMBER(INDEX(rMed,2030))),INDEX(rMed,2030),NA()))</f>
        <v>634800</v>
      </c>
    </row>
    <row r="2033">
      <c r="BX2033">
        <f>IF(OR(cMed=0,cMed2=0,2031&gt;nFilas),NA(),IF(AND(ISNUMBER(INDEX(rMed2,2031)),ISNUMBER(INDEX(rMed,2031))),INDEX(rMed2,2031),NA()))</f>
        <v>2</v>
      </c>
      <c r="BY2033">
        <f>IF(OR(cMed=0,cMed2=0,2031&gt;nFilas),NA(),IF(AND(ISNUMBER(INDEX(rMed2,2031)),ISNUMBER(INDEX(rMed,2031))),INDEX(rMed,2031),NA()))</f>
        <v>338790</v>
      </c>
    </row>
    <row r="2034">
      <c r="BX2034">
        <f>IF(OR(cMed=0,cMed2=0,2032&gt;nFilas),NA(),IF(AND(ISNUMBER(INDEX(rMed2,2032)),ISNUMBER(INDEX(rMed,2032))),INDEX(rMed2,2032),NA()))</f>
        <v>3</v>
      </c>
      <c r="BY2034">
        <f>IF(OR(cMed=0,cMed2=0,2032&gt;nFilas),NA(),IF(AND(ISNUMBER(INDEX(rMed2,2032)),ISNUMBER(INDEX(rMed,2032))),INDEX(rMed,2032),NA()))</f>
        <v>3409635</v>
      </c>
    </row>
    <row r="2035">
      <c r="BX2035">
        <f>IF(OR(cMed=0,cMed2=0,2033&gt;nFilas),NA(),IF(AND(ISNUMBER(INDEX(rMed2,2033)),ISNUMBER(INDEX(rMed,2033))),INDEX(rMed2,2033),NA()))</f>
        <v>3</v>
      </c>
      <c r="BY2035">
        <f>IF(OR(cMed=0,cMed2=0,2033&gt;nFilas),NA(),IF(AND(ISNUMBER(INDEX(rMed2,2033)),ISNUMBER(INDEX(rMed,2033))),INDEX(rMed,2033),NA()))</f>
        <v>244950</v>
      </c>
    </row>
    <row r="2036">
      <c r="BX2036">
        <f>IF(OR(cMed=0,cMed2=0,2034&gt;nFilas),NA(),IF(AND(ISNUMBER(INDEX(rMed2,2034)),ISNUMBER(INDEX(rMed,2034))),INDEX(rMed2,2034),NA()))</f>
        <v>4</v>
      </c>
      <c r="BY2036">
        <f>IF(OR(cMed=0,cMed2=0,2034&gt;nFilas),NA(),IF(AND(ISNUMBER(INDEX(rMed2,2034)),ISNUMBER(INDEX(rMed,2034))),INDEX(rMed,2034),NA()))</f>
        <v>320000</v>
      </c>
    </row>
    <row r="2037">
      <c r="BX2037">
        <f>IF(OR(cMed=0,cMed2=0,2035&gt;nFilas),NA(),IF(AND(ISNUMBER(INDEX(rMed2,2035)),ISNUMBER(INDEX(rMed,2035))),INDEX(rMed2,2035),NA()))</f>
        <v>2</v>
      </c>
      <c r="BY2037">
        <f>IF(OR(cMed=0,cMed2=0,2035&gt;nFilas),NA(),IF(AND(ISNUMBER(INDEX(rMed2,2035)),ISNUMBER(INDEX(rMed,2035))),INDEX(rMed,2035),NA()))</f>
        <v>221200</v>
      </c>
    </row>
    <row r="2038">
      <c r="BX2038">
        <f>IF(OR(cMed=0,cMed2=0,2036&gt;nFilas),NA(),IF(AND(ISNUMBER(INDEX(rMed2,2036)),ISNUMBER(INDEX(rMed,2036))),INDEX(rMed2,2036),NA()))</f>
        <v>1</v>
      </c>
      <c r="BY2038">
        <f>IF(OR(cMed=0,cMed2=0,2036&gt;nFilas),NA(),IF(AND(ISNUMBER(INDEX(rMed2,2036)),ISNUMBER(INDEX(rMed,2036))),INDEX(rMed,2036),NA()))</f>
        <v>163800</v>
      </c>
    </row>
    <row r="2039">
      <c r="BX2039">
        <f>IF(OR(cMed=0,cMed2=0,2037&gt;nFilas),NA(),IF(AND(ISNUMBER(INDEX(rMed2,2037)),ISNUMBER(INDEX(rMed,2037))),INDEX(rMed2,2037),NA()))</f>
        <v>2</v>
      </c>
      <c r="BY2039">
        <f>IF(OR(cMed=0,cMed2=0,2037&gt;nFilas),NA(),IF(AND(ISNUMBER(INDEX(rMed2,2037)),ISNUMBER(INDEX(rMed,2037))),INDEX(rMed,2037),NA()))</f>
        <v>343000</v>
      </c>
    </row>
    <row r="2040">
      <c r="BX2040">
        <f>IF(OR(cMed=0,cMed2=0,2038&gt;nFilas),NA(),IF(AND(ISNUMBER(INDEX(rMed2,2038)),ISNUMBER(INDEX(rMed,2038))),INDEX(rMed2,2038),NA()))</f>
        <v>5</v>
      </c>
      <c r="BY2040">
        <f>IF(OR(cMed=0,cMed2=0,2038&gt;nFilas),NA(),IF(AND(ISNUMBER(INDEX(rMed2,2038)),ISNUMBER(INDEX(rMed,2038))),INDEX(rMed,2038),NA()))</f>
        <v>421500</v>
      </c>
    </row>
    <row r="2041">
      <c r="BX2041">
        <f>IF(OR(cMed=0,cMed2=0,2039&gt;nFilas),NA(),IF(AND(ISNUMBER(INDEX(rMed2,2039)),ISNUMBER(INDEX(rMed,2039))),INDEX(rMed2,2039),NA()))</f>
        <v>1</v>
      </c>
      <c r="BY2041">
        <f>IF(OR(cMed=0,cMed2=0,2039&gt;nFilas),NA(),IF(AND(ISNUMBER(INDEX(rMed2,2039)),ISNUMBER(INDEX(rMed,2039))),INDEX(rMed,2039),NA()))</f>
        <v>164100</v>
      </c>
    </row>
    <row r="2042">
      <c r="BX2042">
        <f>IF(OR(cMed=0,cMed2=0,2040&gt;nFilas),NA(),IF(AND(ISNUMBER(INDEX(rMed2,2040)),ISNUMBER(INDEX(rMed,2040))),INDEX(rMed2,2040),NA()))</f>
        <v>3</v>
      </c>
      <c r="BY2042">
        <f>IF(OR(cMed=0,cMed2=0,2040&gt;nFilas),NA(),IF(AND(ISNUMBER(INDEX(rMed2,2040)),ISNUMBER(INDEX(rMed,2040))),INDEX(rMed,2040),NA()))</f>
        <v>553500</v>
      </c>
    </row>
    <row r="2043">
      <c r="BX2043">
        <f>IF(OR(cMed=0,cMed2=0,2041&gt;nFilas),NA(),IF(AND(ISNUMBER(INDEX(rMed2,2041)),ISNUMBER(INDEX(rMed,2041))),INDEX(rMed2,2041),NA()))</f>
        <v>2</v>
      </c>
      <c r="BY2043">
        <f>IF(OR(cMed=0,cMed2=0,2041&gt;nFilas),NA(),IF(AND(ISNUMBER(INDEX(rMed2,2041)),ISNUMBER(INDEX(rMed,2041))),INDEX(rMed,2041),NA()))</f>
        <v>141000</v>
      </c>
    </row>
    <row r="2044">
      <c r="BX2044">
        <f>IF(OR(cMed=0,cMed2=0,2042&gt;nFilas),NA(),IF(AND(ISNUMBER(INDEX(rMed2,2042)),ISNUMBER(INDEX(rMed,2042))),INDEX(rMed2,2042),NA()))</f>
        <v>3</v>
      </c>
      <c r="BY2044">
        <f>IF(OR(cMed=0,cMed2=0,2042&gt;nFilas),NA(),IF(AND(ISNUMBER(INDEX(rMed2,2042)),ISNUMBER(INDEX(rMed,2042))),INDEX(rMed,2042),NA()))</f>
        <v>781200</v>
      </c>
    </row>
    <row r="2045">
      <c r="BX2045">
        <f>IF(OR(cMed=0,cMed2=0,2043&gt;nFilas),NA(),IF(AND(ISNUMBER(INDEX(rMed2,2043)),ISNUMBER(INDEX(rMed,2043))),INDEX(rMed2,2043),NA()))</f>
        <v>4</v>
      </c>
      <c r="BY2045">
        <f>IF(OR(cMed=0,cMed2=0,2043&gt;nFilas),NA(),IF(AND(ISNUMBER(INDEX(rMed2,2043)),ISNUMBER(INDEX(rMed,2043))),INDEX(rMed,2043),NA()))</f>
        <v>509600</v>
      </c>
    </row>
    <row r="2046">
      <c r="BX2046">
        <f>IF(OR(cMed=0,cMed2=0,2044&gt;nFilas),NA(),IF(AND(ISNUMBER(INDEX(rMed2,2044)),ISNUMBER(INDEX(rMed,2044))),INDEX(rMed2,2044),NA()))</f>
        <v>3</v>
      </c>
      <c r="BY2046">
        <f>IF(OR(cMed=0,cMed2=0,2044&gt;nFilas),NA(),IF(AND(ISNUMBER(INDEX(rMed2,2044)),ISNUMBER(INDEX(rMed,2044))),INDEX(rMed,2044),NA()))</f>
        <v>798300</v>
      </c>
    </row>
    <row r="2047">
      <c r="BX2047">
        <f>IF(OR(cMed=0,cMed2=0,2045&gt;nFilas),NA(),IF(AND(ISNUMBER(INDEX(rMed2,2045)),ISNUMBER(INDEX(rMed,2045))),INDEX(rMed2,2045),NA()))</f>
        <v>3</v>
      </c>
      <c r="BY2047">
        <f>IF(OR(cMed=0,cMed2=0,2045&gt;nFilas),NA(),IF(AND(ISNUMBER(INDEX(rMed2,2045)),ISNUMBER(INDEX(rMed,2045))),INDEX(rMed,2045),NA()))</f>
        <v>590700</v>
      </c>
    </row>
    <row r="2048">
      <c r="BX2048">
        <f>IF(OR(cMed=0,cMed2=0,2046&gt;nFilas),NA(),IF(AND(ISNUMBER(INDEX(rMed2,2046)),ISNUMBER(INDEX(rMed,2046))),INDEX(rMed2,2046),NA()))</f>
        <v>2</v>
      </c>
      <c r="BY2048">
        <f>IF(OR(cMed=0,cMed2=0,2046&gt;nFilas),NA(),IF(AND(ISNUMBER(INDEX(rMed2,2046)),ISNUMBER(INDEX(rMed,2046))),INDEX(rMed,2046),NA()))</f>
        <v>232800</v>
      </c>
    </row>
    <row r="2049">
      <c r="BX2049">
        <f>IF(OR(cMed=0,cMed2=0,2047&gt;nFilas),NA(),IF(AND(ISNUMBER(INDEX(rMed2,2047)),ISNUMBER(INDEX(rMed,2047))),INDEX(rMed2,2047),NA()))</f>
        <v>5</v>
      </c>
      <c r="BY2049">
        <f>IF(OR(cMed=0,cMed2=0,2047&gt;nFilas),NA(),IF(AND(ISNUMBER(INDEX(rMed2,2047)),ISNUMBER(INDEX(rMed,2047))),INDEX(rMed,2047),NA()))</f>
        <v>1160500</v>
      </c>
    </row>
    <row r="2050">
      <c r="BX2050">
        <f>IF(OR(cMed=0,cMed2=0,2048&gt;nFilas),NA(),IF(AND(ISNUMBER(INDEX(rMed2,2048)),ISNUMBER(INDEX(rMed,2048))),INDEX(rMed2,2048),NA()))</f>
        <v>4</v>
      </c>
      <c r="BY2050">
        <f>IF(OR(cMed=0,cMed2=0,2048&gt;nFilas),NA(),IF(AND(ISNUMBER(INDEX(rMed2,2048)),ISNUMBER(INDEX(rMed,2048))),INDEX(rMed,2048),NA()))</f>
        <v>364400</v>
      </c>
    </row>
    <row r="2051">
      <c r="BX2051">
        <f>IF(OR(cMed=0,cMed2=0,2049&gt;nFilas),NA(),IF(AND(ISNUMBER(INDEX(rMed2,2049)),ISNUMBER(INDEX(rMed,2049))),INDEX(rMed2,2049),NA()))</f>
        <v>2</v>
      </c>
      <c r="BY2051">
        <f>IF(OR(cMed=0,cMed2=0,2049&gt;nFilas),NA(),IF(AND(ISNUMBER(INDEX(rMed2,2049)),ISNUMBER(INDEX(rMed,2049))),INDEX(rMed,2049),NA()))</f>
        <v>300800</v>
      </c>
    </row>
    <row r="2052">
      <c r="BX2052">
        <f>IF(OR(cMed=0,cMed2=0,2050&gt;nFilas),NA(),IF(AND(ISNUMBER(INDEX(rMed2,2050)),ISNUMBER(INDEX(rMed,2050))),INDEX(rMed2,2050),NA()))</f>
        <v>1</v>
      </c>
      <c r="BY2052">
        <f>IF(OR(cMed=0,cMed2=0,2050&gt;nFilas),NA(),IF(AND(ISNUMBER(INDEX(rMed2,2050)),ISNUMBER(INDEX(rMed,2050))),INDEX(rMed,2050),NA()))</f>
        <v>220110</v>
      </c>
    </row>
    <row r="2053">
      <c r="BX2053">
        <f>IF(OR(cMed=0,cMed2=0,2051&gt;nFilas),NA(),IF(AND(ISNUMBER(INDEX(rMed2,2051)),ISNUMBER(INDEX(rMed,2051))),INDEX(rMed2,2051),NA()))</f>
        <v>5</v>
      </c>
      <c r="BY2053">
        <f>IF(OR(cMed=0,cMed2=0,2051&gt;nFilas),NA(),IF(AND(ISNUMBER(INDEX(rMed2,2051)),ISNUMBER(INDEX(rMed,2051))),INDEX(rMed,2051),NA()))</f>
        <v>598000</v>
      </c>
    </row>
    <row r="2054">
      <c r="BX2054">
        <f>IF(OR(cMed=0,cMed2=0,2052&gt;nFilas),NA(),IF(AND(ISNUMBER(INDEX(rMed2,2052)),ISNUMBER(INDEX(rMed,2052))),INDEX(rMed2,2052),NA()))</f>
        <v>1</v>
      </c>
      <c r="BY2054">
        <f>IF(OR(cMed=0,cMed2=0,2052&gt;nFilas),NA(),IF(AND(ISNUMBER(INDEX(rMed2,2052)),ISNUMBER(INDEX(rMed,2052))),INDEX(rMed,2052),NA()))</f>
        <v>1260975</v>
      </c>
    </row>
    <row r="2055">
      <c r="BX2055">
        <f>IF(OR(cMed=0,cMed2=0,2053&gt;nFilas),NA(),IF(AND(ISNUMBER(INDEX(rMed2,2053)),ISNUMBER(INDEX(rMed,2053))),INDEX(rMed2,2053),NA()))</f>
        <v>5</v>
      </c>
      <c r="BY2055">
        <f>IF(OR(cMed=0,cMed2=0,2053&gt;nFilas),NA(),IF(AND(ISNUMBER(INDEX(rMed2,2053)),ISNUMBER(INDEX(rMed,2053))),INDEX(rMed,2053),NA()))</f>
        <v>5287125</v>
      </c>
    </row>
    <row r="2056">
      <c r="BX2056">
        <f>IF(OR(cMed=0,cMed2=0,2054&gt;nFilas),NA(),IF(AND(ISNUMBER(INDEX(rMed2,2054)),ISNUMBER(INDEX(rMed,2054))),INDEX(rMed2,2054),NA()))</f>
        <v>2</v>
      </c>
      <c r="BY2056">
        <f>IF(OR(cMed=0,cMed2=0,2054&gt;nFilas),NA(),IF(AND(ISNUMBER(INDEX(rMed2,2054)),ISNUMBER(INDEX(rMed,2054))),INDEX(rMed,2054),NA()))</f>
        <v>148810</v>
      </c>
    </row>
    <row r="2057">
      <c r="BX2057">
        <f>IF(OR(cMed=0,cMed2=0,2055&gt;nFilas),NA(),IF(AND(ISNUMBER(INDEX(rMed2,2055)),ISNUMBER(INDEX(rMed,2055))),INDEX(rMed2,2055),NA()))</f>
        <v>3</v>
      </c>
      <c r="BY2057">
        <f>IF(OR(cMed=0,cMed2=0,2055&gt;nFilas),NA(),IF(AND(ISNUMBER(INDEX(rMed2,2055)),ISNUMBER(INDEX(rMed,2055))),INDEX(rMed,2055),NA()))</f>
        <v>2841075</v>
      </c>
    </row>
    <row r="2058">
      <c r="BX2058">
        <f>IF(OR(cMed=0,cMed2=0,2056&gt;nFilas),NA(),IF(AND(ISNUMBER(INDEX(rMed2,2056)),ISNUMBER(INDEX(rMed,2056))),INDEX(rMed2,2056),NA()))</f>
        <v>2</v>
      </c>
      <c r="BY2058">
        <f>IF(OR(cMed=0,cMed2=0,2056&gt;nFilas),NA(),IF(AND(ISNUMBER(INDEX(rMed2,2056)),ISNUMBER(INDEX(rMed,2056))),INDEX(rMed,2056),NA()))</f>
        <v>266800</v>
      </c>
    </row>
    <row r="2059">
      <c r="BX2059">
        <f>IF(OR(cMed=0,cMed2=0,2057&gt;nFilas),NA(),IF(AND(ISNUMBER(INDEX(rMed2,2057)),ISNUMBER(INDEX(rMed,2057))),INDEX(rMed2,2057),NA()))</f>
        <v>3</v>
      </c>
      <c r="BY2059">
        <f>IF(OR(cMed=0,cMed2=0,2057&gt;nFilas),NA(),IF(AND(ISNUMBER(INDEX(rMed2,2057)),ISNUMBER(INDEX(rMed,2057))),INDEX(rMed,2057),NA()))</f>
        <v>824550</v>
      </c>
    </row>
    <row r="2060">
      <c r="BX2060">
        <f>IF(OR(cMed=0,cMed2=0,2058&gt;nFilas),NA(),IF(AND(ISNUMBER(INDEX(rMed2,2058)),ISNUMBER(INDEX(rMed,2058))),INDEX(rMed2,2058),NA()))</f>
        <v>1</v>
      </c>
      <c r="BY2060">
        <f>IF(OR(cMed=0,cMed2=0,2058&gt;nFilas),NA(),IF(AND(ISNUMBER(INDEX(rMed2,2058)),ISNUMBER(INDEX(rMed,2058))),INDEX(rMed,2058),NA()))</f>
        <v>1230960</v>
      </c>
    </row>
    <row r="2061">
      <c r="BX2061">
        <f>IF(OR(cMed=0,cMed2=0,2059&gt;nFilas),NA(),IF(AND(ISNUMBER(INDEX(rMed2,2059)),ISNUMBER(INDEX(rMed,2059))),INDEX(rMed2,2059),NA()))</f>
        <v>1</v>
      </c>
      <c r="BY2061">
        <f>IF(OR(cMed=0,cMed2=0,2059&gt;nFilas),NA(),IF(AND(ISNUMBER(INDEX(rMed2,2059)),ISNUMBER(INDEX(rMed,2059))),INDEX(rMed,2059),NA()))</f>
        <v>1235790</v>
      </c>
    </row>
    <row r="2062">
      <c r="BX2062">
        <f>IF(OR(cMed=0,cMed2=0,2060&gt;nFilas),NA(),IF(AND(ISNUMBER(INDEX(rMed2,2060)),ISNUMBER(INDEX(rMed,2060))),INDEX(rMed2,2060),NA()))</f>
        <v>3</v>
      </c>
      <c r="BY2062">
        <f>IF(OR(cMed=0,cMed2=0,2060&gt;nFilas),NA(),IF(AND(ISNUMBER(INDEX(rMed2,2060)),ISNUMBER(INDEX(rMed,2060))),INDEX(rMed,2060),NA()))</f>
        <v>232185</v>
      </c>
    </row>
    <row r="2063">
      <c r="BX2063">
        <f>IF(OR(cMed=0,cMed2=0,2061&gt;nFilas),NA(),IF(AND(ISNUMBER(INDEX(rMed2,2061)),ISNUMBER(INDEX(rMed,2061))),INDEX(rMed2,2061),NA()))</f>
        <v>2</v>
      </c>
      <c r="BY2063">
        <f>IF(OR(cMed=0,cMed2=0,2061&gt;nFilas),NA(),IF(AND(ISNUMBER(INDEX(rMed2,2061)),ISNUMBER(INDEX(rMed,2061))),INDEX(rMed,2061),NA()))</f>
        <v>193890</v>
      </c>
    </row>
    <row r="2064">
      <c r="BX2064">
        <f>IF(OR(cMed=0,cMed2=0,2062&gt;nFilas),NA(),IF(AND(ISNUMBER(INDEX(rMed2,2062)),ISNUMBER(INDEX(rMed,2062))),INDEX(rMed2,2062),NA()))</f>
        <v>2</v>
      </c>
      <c r="BY2064">
        <f>IF(OR(cMed=0,cMed2=0,2062&gt;nFilas),NA(),IF(AND(ISNUMBER(INDEX(rMed2,2062)),ISNUMBER(INDEX(rMed,2062))),INDEX(rMed,2062),NA()))</f>
        <v>134780</v>
      </c>
    </row>
    <row r="2065">
      <c r="BX2065">
        <f>IF(OR(cMed=0,cMed2=0,2063&gt;nFilas),NA(),IF(AND(ISNUMBER(INDEX(rMed2,2063)),ISNUMBER(INDEX(rMed,2063))),INDEX(rMed2,2063),NA()))</f>
        <v>4</v>
      </c>
      <c r="BY2065">
        <f>IF(OR(cMed=0,cMed2=0,2063&gt;nFilas),NA(),IF(AND(ISNUMBER(INDEX(rMed2,2063)),ISNUMBER(INDEX(rMed,2063))),INDEX(rMed,2063),NA()))</f>
        <v>915860</v>
      </c>
    </row>
    <row r="2066">
      <c r="BX2066">
        <f>IF(OR(cMed=0,cMed2=0,2064&gt;nFilas),NA(),IF(AND(ISNUMBER(INDEX(rMed2,2064)),ISNUMBER(INDEX(rMed,2064))),INDEX(rMed2,2064),NA()))</f>
        <v>4</v>
      </c>
      <c r="BY2066">
        <f>IF(OR(cMed=0,cMed2=0,2064&gt;nFilas),NA(),IF(AND(ISNUMBER(INDEX(rMed2,2064)),ISNUMBER(INDEX(rMed,2064))),INDEX(rMed,2064),NA()))</f>
        <v>503700</v>
      </c>
    </row>
    <row r="2067">
      <c r="BX2067">
        <f>IF(OR(cMed=0,cMed2=0,2065&gt;nFilas),NA(),IF(AND(ISNUMBER(INDEX(rMed2,2065)),ISNUMBER(INDEX(rMed,2065))),INDEX(rMed2,2065),NA()))</f>
        <v>4</v>
      </c>
      <c r="BY2067">
        <f>IF(OR(cMed=0,cMed2=0,2065&gt;nFilas),NA(),IF(AND(ISNUMBER(INDEX(rMed2,2065)),ISNUMBER(INDEX(rMed,2065))),INDEX(rMed,2065),NA()))</f>
        <v>594780</v>
      </c>
    </row>
    <row r="2068">
      <c r="BX2068">
        <f>IF(OR(cMed=0,cMed2=0,2066&gt;nFilas),NA(),IF(AND(ISNUMBER(INDEX(rMed2,2066)),ISNUMBER(INDEX(rMed,2066))),INDEX(rMed2,2066),NA()))</f>
        <v>3</v>
      </c>
      <c r="BY2068">
        <f>IF(OR(cMed=0,cMed2=0,2066&gt;nFilas),NA(),IF(AND(ISNUMBER(INDEX(rMed2,2066)),ISNUMBER(INDEX(rMed,2066))),INDEX(rMed,2066),NA()))</f>
        <v>213900</v>
      </c>
    </row>
    <row r="2069">
      <c r="BX2069">
        <f>IF(OR(cMed=0,cMed2=0,2067&gt;nFilas),NA(),IF(AND(ISNUMBER(INDEX(rMed2,2067)),ISNUMBER(INDEX(rMed,2067))),INDEX(rMed2,2067),NA()))</f>
        <v>4</v>
      </c>
      <c r="BY2069">
        <f>IF(OR(cMed=0,cMed2=0,2067&gt;nFilas),NA(),IF(AND(ISNUMBER(INDEX(rMed2,2067)),ISNUMBER(INDEX(rMed,2067))),INDEX(rMed,2067),NA()))</f>
        <v>684800</v>
      </c>
    </row>
    <row r="2070">
      <c r="BX2070">
        <f>IF(OR(cMed=0,cMed2=0,2068&gt;nFilas),NA(),IF(AND(ISNUMBER(INDEX(rMed2,2068)),ISNUMBER(INDEX(rMed,2068))),INDEX(rMed2,2068),NA()))</f>
        <v>4</v>
      </c>
      <c r="BY2070">
        <f>IF(OR(cMed=0,cMed2=0,2068&gt;nFilas),NA(),IF(AND(ISNUMBER(INDEX(rMed2,2068)),ISNUMBER(INDEX(rMed,2068))),INDEX(rMed,2068),NA()))</f>
        <v>660000</v>
      </c>
    </row>
    <row r="2071">
      <c r="BX2071">
        <f>IF(OR(cMed=0,cMed2=0,2069&gt;nFilas),NA(),IF(AND(ISNUMBER(INDEX(rMed2,2069)),ISNUMBER(INDEX(rMed,2069))),INDEX(rMed2,2069),NA()))</f>
        <v>2</v>
      </c>
      <c r="BY2071">
        <f>IF(OR(cMed=0,cMed2=0,2069&gt;nFilas),NA(),IF(AND(ISNUMBER(INDEX(rMed2,2069)),ISNUMBER(INDEX(rMed,2069))),INDEX(rMed,2069),NA()))</f>
        <v>107800</v>
      </c>
    </row>
    <row r="2072">
      <c r="BX2072">
        <f>IF(OR(cMed=0,cMed2=0,2070&gt;nFilas),NA(),IF(AND(ISNUMBER(INDEX(rMed2,2070)),ISNUMBER(INDEX(rMed,2070))),INDEX(rMed2,2070),NA()))</f>
        <v>4</v>
      </c>
      <c r="BY2072">
        <f>IF(OR(cMed=0,cMed2=0,2070&gt;nFilas),NA(),IF(AND(ISNUMBER(INDEX(rMed2,2070)),ISNUMBER(INDEX(rMed,2070))),INDEX(rMed,2070),NA()))</f>
        <v>660800</v>
      </c>
    </row>
    <row r="2073">
      <c r="BX2073">
        <f>IF(OR(cMed=0,cMed2=0,2071&gt;nFilas),NA(),IF(AND(ISNUMBER(INDEX(rMed2,2071)),ISNUMBER(INDEX(rMed,2071))),INDEX(rMed2,2071),NA()))</f>
        <v>2</v>
      </c>
      <c r="BY2073">
        <f>IF(OR(cMed=0,cMed2=0,2071&gt;nFilas),NA(),IF(AND(ISNUMBER(INDEX(rMed2,2071)),ISNUMBER(INDEX(rMed,2071))),INDEX(rMed,2071),NA()))</f>
        <v>228400</v>
      </c>
    </row>
    <row r="2074">
      <c r="BX2074">
        <f>IF(OR(cMed=0,cMed2=0,2072&gt;nFilas),NA(),IF(AND(ISNUMBER(INDEX(rMed2,2072)),ISNUMBER(INDEX(rMed,2072))),INDEX(rMed2,2072),NA()))</f>
        <v>5</v>
      </c>
      <c r="BY2074">
        <f>IF(OR(cMed=0,cMed2=0,2072&gt;nFilas),NA(),IF(AND(ISNUMBER(INDEX(rMed2,2072)),ISNUMBER(INDEX(rMed,2072))),INDEX(rMed,2072),NA()))</f>
        <v>559500</v>
      </c>
    </row>
    <row r="2075">
      <c r="BX2075">
        <f>IF(OR(cMed=0,cMed2=0,2073&gt;nFilas),NA(),IF(AND(ISNUMBER(INDEX(rMed2,2073)),ISNUMBER(INDEX(rMed,2073))),INDEX(rMed2,2073),NA()))</f>
        <v>2</v>
      </c>
      <c r="BY2075">
        <f>IF(OR(cMed=0,cMed2=0,2073&gt;nFilas),NA(),IF(AND(ISNUMBER(INDEX(rMed2,2073)),ISNUMBER(INDEX(rMed,2073))),INDEX(rMed,2073),NA()))</f>
        <v>246200</v>
      </c>
    </row>
    <row r="2076">
      <c r="BX2076">
        <f>IF(OR(cMed=0,cMed2=0,2074&gt;nFilas),NA(),IF(AND(ISNUMBER(INDEX(rMed2,2074)),ISNUMBER(INDEX(rMed,2074))),INDEX(rMed2,2074),NA()))</f>
        <v>1</v>
      </c>
      <c r="BY2076">
        <f>IF(OR(cMed=0,cMed2=0,2074&gt;nFilas),NA(),IF(AND(ISNUMBER(INDEX(rMed2,2074)),ISNUMBER(INDEX(rMed,2074))),INDEX(rMed,2074),NA()))</f>
        <v>92200</v>
      </c>
    </row>
    <row r="2077">
      <c r="BX2077">
        <f>IF(OR(cMed=0,cMed2=0,2075&gt;nFilas),NA(),IF(AND(ISNUMBER(INDEX(rMed2,2075)),ISNUMBER(INDEX(rMed,2075))),INDEX(rMed2,2075),NA()))</f>
        <v>2</v>
      </c>
      <c r="BY2077">
        <f>IF(OR(cMed=0,cMed2=0,2075&gt;nFilas),NA(),IF(AND(ISNUMBER(INDEX(rMed2,2075)),ISNUMBER(INDEX(rMed,2075))),INDEX(rMed,2075),NA()))</f>
        <v>373600</v>
      </c>
    </row>
    <row r="2078">
      <c r="BX2078">
        <f>IF(OR(cMed=0,cMed2=0,2076&gt;nFilas),NA(),IF(AND(ISNUMBER(INDEX(rMed2,2076)),ISNUMBER(INDEX(rMed,2076))),INDEX(rMed2,2076),NA()))</f>
        <v>5</v>
      </c>
      <c r="BY2078">
        <f>IF(OR(cMed=0,cMed2=0,2076&gt;nFilas),NA(),IF(AND(ISNUMBER(INDEX(rMed2,2076)),ISNUMBER(INDEX(rMed,2076))),INDEX(rMed,2076),NA()))</f>
        <v>331000</v>
      </c>
    </row>
    <row r="2079">
      <c r="BX2079">
        <f>IF(OR(cMed=0,cMed2=0,2077&gt;nFilas),NA(),IF(AND(ISNUMBER(INDEX(rMed2,2077)),ISNUMBER(INDEX(rMed,2077))),INDEX(rMed2,2077),NA()))</f>
        <v>1</v>
      </c>
      <c r="BY2079">
        <f>IF(OR(cMed=0,cMed2=0,2077&gt;nFilas),NA(),IF(AND(ISNUMBER(INDEX(rMed2,2077)),ISNUMBER(INDEX(rMed,2077))),INDEX(rMed,2077),NA()))</f>
        <v>116300</v>
      </c>
    </row>
    <row r="2080">
      <c r="BX2080">
        <f>IF(OR(cMed=0,cMed2=0,2078&gt;nFilas),NA(),IF(AND(ISNUMBER(INDEX(rMed2,2078)),ISNUMBER(INDEX(rMed,2078))),INDEX(rMed2,2078),NA()))</f>
        <v>4</v>
      </c>
      <c r="BY2080">
        <f>IF(OR(cMed=0,cMed2=0,2078&gt;nFilas),NA(),IF(AND(ISNUMBER(INDEX(rMed2,2078)),ISNUMBER(INDEX(rMed,2078))),INDEX(rMed,2078),NA()))</f>
        <v>418000</v>
      </c>
    </row>
    <row r="2081">
      <c r="BX2081">
        <f>IF(OR(cMed=0,cMed2=0,2079&gt;nFilas),NA(),IF(AND(ISNUMBER(INDEX(rMed2,2079)),ISNUMBER(INDEX(rMed,2079))),INDEX(rMed2,2079),NA()))</f>
        <v>2</v>
      </c>
      <c r="BY2081">
        <f>IF(OR(cMed=0,cMed2=0,2079&gt;nFilas),NA(),IF(AND(ISNUMBER(INDEX(rMed2,2079)),ISNUMBER(INDEX(rMed,2079))),INDEX(rMed,2079),NA()))</f>
        <v>1330600</v>
      </c>
    </row>
    <row r="2082">
      <c r="BX2082">
        <f>IF(OR(cMed=0,cMed2=0,2080&gt;nFilas),NA(),IF(AND(ISNUMBER(INDEX(rMed2,2080)),ISNUMBER(INDEX(rMed,2080))),INDEX(rMed2,2080),NA()))</f>
        <v>3</v>
      </c>
      <c r="BY2082">
        <f>IF(OR(cMed=0,cMed2=0,2080&gt;nFilas),NA(),IF(AND(ISNUMBER(INDEX(rMed2,2080)),ISNUMBER(INDEX(rMed,2080))),INDEX(rMed,2080),NA()))</f>
        <v>274500</v>
      </c>
    </row>
    <row r="2083">
      <c r="BX2083">
        <f>IF(OR(cMed=0,cMed2=0,2081&gt;nFilas),NA(),IF(AND(ISNUMBER(INDEX(rMed2,2081)),ISNUMBER(INDEX(rMed,2081))),INDEX(rMed2,2081),NA()))</f>
        <v>4</v>
      </c>
      <c r="BY2083">
        <f>IF(OR(cMed=0,cMed2=0,2081&gt;nFilas),NA(),IF(AND(ISNUMBER(INDEX(rMed2,2081)),ISNUMBER(INDEX(rMed,2081))),INDEX(rMed,2081),NA()))</f>
        <v>787600</v>
      </c>
    </row>
    <row r="2084">
      <c r="BX2084">
        <f>IF(OR(cMed=0,cMed2=0,2082&gt;nFilas),NA(),IF(AND(ISNUMBER(INDEX(rMed2,2082)),ISNUMBER(INDEX(rMed,2082))),INDEX(rMed2,2082),NA()))</f>
        <v>2</v>
      </c>
      <c r="BY2084">
        <f>IF(OR(cMed=0,cMed2=0,2082&gt;nFilas),NA(),IF(AND(ISNUMBER(INDEX(rMed2,2082)),ISNUMBER(INDEX(rMed,2082))),INDEX(rMed,2082),NA()))</f>
        <v>536600</v>
      </c>
    </row>
    <row r="2085">
      <c r="BX2085">
        <f>IF(OR(cMed=0,cMed2=0,2083&gt;nFilas),NA(),IF(AND(ISNUMBER(INDEX(rMed2,2083)),ISNUMBER(INDEX(rMed,2083))),INDEX(rMed2,2083),NA()))</f>
        <v>1</v>
      </c>
      <c r="BY2085">
        <f>IF(OR(cMed=0,cMed2=0,2083&gt;nFilas),NA(),IF(AND(ISNUMBER(INDEX(rMed2,2083)),ISNUMBER(INDEX(rMed,2083))),INDEX(rMed,2083),NA()))</f>
        <v>85000</v>
      </c>
    </row>
    <row r="2086">
      <c r="BX2086">
        <f>IF(OR(cMed=0,cMed2=0,2084&gt;nFilas),NA(),IF(AND(ISNUMBER(INDEX(rMed2,2084)),ISNUMBER(INDEX(rMed,2084))),INDEX(rMed2,2084),NA()))</f>
        <v>4</v>
      </c>
      <c r="BY2086">
        <f>IF(OR(cMed=0,cMed2=0,2084&gt;nFilas),NA(),IF(AND(ISNUMBER(INDEX(rMed2,2084)),ISNUMBER(INDEX(rMed,2084))),INDEX(rMed,2084),NA()))</f>
        <v>4334120</v>
      </c>
    </row>
    <row r="2087">
      <c r="BX2087">
        <f>IF(OR(cMed=0,cMed2=0,2085&gt;nFilas),NA(),IF(AND(ISNUMBER(INDEX(rMed2,2085)),ISNUMBER(INDEX(rMed,2085))),INDEX(rMed2,2085),NA()))</f>
        <v>2</v>
      </c>
      <c r="BY2087">
        <f>IF(OR(cMed=0,cMed2=0,2085&gt;nFilas),NA(),IF(AND(ISNUMBER(INDEX(rMed2,2085)),ISNUMBER(INDEX(rMed,2085))),INDEX(rMed,2085),NA()))</f>
        <v>1435200</v>
      </c>
    </row>
    <row r="2088">
      <c r="BX2088">
        <f>IF(OR(cMed=0,cMed2=0,2086&gt;nFilas),NA(),IF(AND(ISNUMBER(INDEX(rMed2,2086)),ISNUMBER(INDEX(rMed,2086))),INDEX(rMed2,2086),NA()))</f>
        <v>4</v>
      </c>
      <c r="BY2088">
        <f>IF(OR(cMed=0,cMed2=0,2086&gt;nFilas),NA(),IF(AND(ISNUMBER(INDEX(rMed2,2086)),ISNUMBER(INDEX(rMed,2086))),INDEX(rMed,2086),NA()))</f>
        <v>3064980</v>
      </c>
    </row>
    <row r="2089">
      <c r="BX2089">
        <f>IF(OR(cMed=0,cMed2=0,2087&gt;nFilas),NA(),IF(AND(ISNUMBER(INDEX(rMed2,2087)),ISNUMBER(INDEX(rMed,2087))),INDEX(rMed2,2087),NA()))</f>
        <v>5</v>
      </c>
      <c r="BY2089">
        <f>IF(OR(cMed=0,cMed2=0,2087&gt;nFilas),NA(),IF(AND(ISNUMBER(INDEX(rMed2,2087)),ISNUMBER(INDEX(rMed,2087))),INDEX(rMed,2087),NA()))</f>
        <v>641700</v>
      </c>
    </row>
    <row r="2090">
      <c r="BX2090">
        <f>IF(OR(cMed=0,cMed2=0,2088&gt;nFilas),NA(),IF(AND(ISNUMBER(INDEX(rMed2,2088)),ISNUMBER(INDEX(rMed,2088))),INDEX(rMed2,2088),NA()))</f>
        <v>2</v>
      </c>
      <c r="BY2090">
        <f>IF(OR(cMed=0,cMed2=0,2088&gt;nFilas),NA(),IF(AND(ISNUMBER(INDEX(rMed2,2088)),ISNUMBER(INDEX(rMed,2088))),INDEX(rMed,2088),NA()))</f>
        <v>162380</v>
      </c>
    </row>
    <row r="2091">
      <c r="BX2091">
        <f>IF(OR(cMed=0,cMed2=0,2089&gt;nFilas),NA(),IF(AND(ISNUMBER(INDEX(rMed2,2089)),ISNUMBER(INDEX(rMed,2089))),INDEX(rMed2,2089),NA()))</f>
        <v>5</v>
      </c>
      <c r="BY2091">
        <f>IF(OR(cMed=0,cMed2=0,2089&gt;nFilas),NA(),IF(AND(ISNUMBER(INDEX(rMed2,2089)),ISNUMBER(INDEX(rMed,2089))),INDEX(rMed,2089),NA()))</f>
        <v>1101700</v>
      </c>
    </row>
    <row r="2092">
      <c r="BX2092">
        <f>IF(OR(cMed=0,cMed2=0,2090&gt;nFilas),NA(),IF(AND(ISNUMBER(INDEX(rMed2,2090)),ISNUMBER(INDEX(rMed,2090))),INDEX(rMed2,2090),NA()))</f>
        <v>4</v>
      </c>
      <c r="BY2092">
        <f>IF(OR(cMed=0,cMed2=0,2090&gt;nFilas),NA(),IF(AND(ISNUMBER(INDEX(rMed2,2090)),ISNUMBER(INDEX(rMed,2090))),INDEX(rMed,2090),NA()))</f>
        <v>528080</v>
      </c>
    </row>
    <row r="2093">
      <c r="BX2093">
        <f>IF(OR(cMed=0,cMed2=0,2091&gt;nFilas),NA(),IF(AND(ISNUMBER(INDEX(rMed2,2091)),ISNUMBER(INDEX(rMed,2091))),INDEX(rMed2,2091),NA()))</f>
        <v>4</v>
      </c>
      <c r="BY2093">
        <f>IF(OR(cMed=0,cMed2=0,2091&gt;nFilas),NA(),IF(AND(ISNUMBER(INDEX(rMed2,2091)),ISNUMBER(INDEX(rMed,2091))),INDEX(rMed,2091),NA()))</f>
        <v>954500</v>
      </c>
    </row>
    <row r="2094">
      <c r="BX2094">
        <f>IF(OR(cMed=0,cMed2=0,2092&gt;nFilas),NA(),IF(AND(ISNUMBER(INDEX(rMed2,2092)),ISNUMBER(INDEX(rMed,2092))),INDEX(rMed2,2092),NA()))</f>
        <v>3</v>
      </c>
      <c r="BY2094">
        <f>IF(OR(cMed=0,cMed2=0,2092&gt;nFilas),NA(),IF(AND(ISNUMBER(INDEX(rMed2,2092)),ISNUMBER(INDEX(rMed,2092))),INDEX(rMed,2092),NA()))</f>
        <v>232185</v>
      </c>
    </row>
    <row r="2095">
      <c r="BX2095">
        <f>IF(OR(cMed=0,cMed2=0,2093&gt;nFilas),NA(),IF(AND(ISNUMBER(INDEX(rMed2,2093)),ISNUMBER(INDEX(rMed,2093))),INDEX(rMed2,2093),NA()))</f>
        <v>1</v>
      </c>
      <c r="BY2095">
        <f>IF(OR(cMed=0,cMed2=0,2093&gt;nFilas),NA(),IF(AND(ISNUMBER(INDEX(rMed2,2093)),ISNUMBER(INDEX(rMed,2093))),INDEX(rMed,2093),NA()))</f>
        <v>803400</v>
      </c>
    </row>
    <row r="2096">
      <c r="BX2096">
        <f>IF(OR(cMed=0,cMed2=0,2094&gt;nFilas),NA(),IF(AND(ISNUMBER(INDEX(rMed2,2094)),ISNUMBER(INDEX(rMed,2094))),INDEX(rMed2,2094),NA()))</f>
        <v>3</v>
      </c>
      <c r="BY2096">
        <f>IF(OR(cMed=0,cMed2=0,2094&gt;nFilas),NA(),IF(AND(ISNUMBER(INDEX(rMed2,2094)),ISNUMBER(INDEX(rMed,2094))),INDEX(rMed,2094),NA()))</f>
        <v>241500</v>
      </c>
    </row>
    <row r="2097">
      <c r="BX2097">
        <f>IF(OR(cMed=0,cMed2=0,2095&gt;nFilas),NA(),IF(AND(ISNUMBER(INDEX(rMed2,2095)),ISNUMBER(INDEX(rMed,2095))),INDEX(rMed2,2095),NA()))</f>
        <v>3</v>
      </c>
      <c r="BY2097">
        <f>IF(OR(cMed=0,cMed2=0,2095&gt;nFilas),NA(),IF(AND(ISNUMBER(INDEX(rMed2,2095)),ISNUMBER(INDEX(rMed,2095))),INDEX(rMed,2095),NA()))</f>
        <v>2912100</v>
      </c>
    </row>
    <row r="2098">
      <c r="BX2098">
        <f>IF(OR(cMed=0,cMed2=0,2096&gt;nFilas),NA(),IF(AND(ISNUMBER(INDEX(rMed2,2096)),ISNUMBER(INDEX(rMed,2096))),INDEX(rMed2,2096),NA()))</f>
        <v>3</v>
      </c>
      <c r="BY2098">
        <f>IF(OR(cMed=0,cMed2=0,2096&gt;nFilas),NA(),IF(AND(ISNUMBER(INDEX(rMed2,2096)),ISNUMBER(INDEX(rMed,2096))),INDEX(rMed,2096),NA()))</f>
        <v>266700</v>
      </c>
    </row>
    <row r="2099">
      <c r="BX2099">
        <f>IF(OR(cMed=0,cMed2=0,2097&gt;nFilas),NA(),IF(AND(ISNUMBER(INDEX(rMed2,2097)),ISNUMBER(INDEX(rMed,2097))),INDEX(rMed2,2097),NA()))</f>
        <v>2</v>
      </c>
      <c r="BY2099">
        <f>IF(OR(cMed=0,cMed2=0,2097&gt;nFilas),NA(),IF(AND(ISNUMBER(INDEX(rMed2,2097)),ISNUMBER(INDEX(rMed,2097))),INDEX(rMed,2097),NA()))</f>
        <v>206600</v>
      </c>
    </row>
    <row r="2100">
      <c r="BX2100">
        <f>IF(OR(cMed=0,cMed2=0,2098&gt;nFilas),NA(),IF(AND(ISNUMBER(INDEX(rMed2,2098)),ISNUMBER(INDEX(rMed,2098))),INDEX(rMed2,2098),NA()))</f>
        <v>3</v>
      </c>
      <c r="BY2100">
        <f>IF(OR(cMed=0,cMed2=0,2098&gt;nFilas),NA(),IF(AND(ISNUMBER(INDEX(rMed2,2098)),ISNUMBER(INDEX(rMed,2098))),INDEX(rMed,2098),NA()))</f>
        <v>3180300</v>
      </c>
    </row>
    <row r="2101">
      <c r="BX2101">
        <f>IF(OR(cMed=0,cMed2=0,2099&gt;nFilas),NA(),IF(AND(ISNUMBER(INDEX(rMed2,2099)),ISNUMBER(INDEX(rMed,2099))),INDEX(rMed2,2099),NA()))</f>
        <v>1</v>
      </c>
      <c r="BY2101">
        <f>IF(OR(cMed=0,cMed2=0,2099&gt;nFilas),NA(),IF(AND(ISNUMBER(INDEX(rMed2,2099)),ISNUMBER(INDEX(rMed,2099))),INDEX(rMed,2099),NA()))</f>
        <v>1046400</v>
      </c>
    </row>
    <row r="2102">
      <c r="BX2102">
        <f>IF(OR(cMed=0,cMed2=0,2100&gt;nFilas),NA(),IF(AND(ISNUMBER(INDEX(rMed2,2100)),ISNUMBER(INDEX(rMed,2100))),INDEX(rMed2,2100),NA()))</f>
        <v>3</v>
      </c>
      <c r="BY2102">
        <f>IF(OR(cMed=0,cMed2=0,2100&gt;nFilas),NA(),IF(AND(ISNUMBER(INDEX(rMed2,2100)),ISNUMBER(INDEX(rMed,2100))),INDEX(rMed,2100),NA()))</f>
        <v>752400</v>
      </c>
    </row>
    <row r="2103">
      <c r="BX2103">
        <f>IF(OR(cMed=0,cMed2=0,2101&gt;nFilas),NA(),IF(AND(ISNUMBER(INDEX(rMed2,2101)),ISNUMBER(INDEX(rMed,2101))),INDEX(rMed2,2101),NA()))</f>
        <v>2</v>
      </c>
      <c r="BY2103">
        <f>IF(OR(cMed=0,cMed2=0,2101&gt;nFilas),NA(),IF(AND(ISNUMBER(INDEX(rMed2,2101)),ISNUMBER(INDEX(rMed,2101))),INDEX(rMed,2101),NA()))</f>
        <v>1895600</v>
      </c>
    </row>
    <row r="2104">
      <c r="BX2104">
        <f>IF(OR(cMed=0,cMed2=0,2102&gt;nFilas),NA(),IF(AND(ISNUMBER(INDEX(rMed2,2102)),ISNUMBER(INDEX(rMed,2102))),INDEX(rMed2,2102),NA()))</f>
        <v>1</v>
      </c>
      <c r="BY2104">
        <f>IF(OR(cMed=0,cMed2=0,2102&gt;nFilas),NA(),IF(AND(ISNUMBER(INDEX(rMed2,2102)),ISNUMBER(INDEX(rMed,2102))),INDEX(rMed,2102),NA()))</f>
        <v>154800</v>
      </c>
    </row>
    <row r="2105">
      <c r="BX2105">
        <f>IF(OR(cMed=0,cMed2=0,2103&gt;nFilas),NA(),IF(AND(ISNUMBER(INDEX(rMed2,2103)),ISNUMBER(INDEX(rMed,2103))),INDEX(rMed2,2103),NA()))</f>
        <v>1</v>
      </c>
      <c r="BY2105">
        <f>IF(OR(cMed=0,cMed2=0,2103&gt;nFilas),NA(),IF(AND(ISNUMBER(INDEX(rMed2,2103)),ISNUMBER(INDEX(rMed,2103))),INDEX(rMed,2103),NA()))</f>
        <v>238300</v>
      </c>
    </row>
    <row r="2106">
      <c r="BX2106">
        <f>IF(OR(cMed=0,cMed2=0,2104&gt;nFilas),NA(),IF(AND(ISNUMBER(INDEX(rMed2,2104)),ISNUMBER(INDEX(rMed,2104))),INDEX(rMed2,2104),NA()))</f>
        <v>1</v>
      </c>
      <c r="BY2106">
        <f>IF(OR(cMed=0,cMed2=0,2104&gt;nFilas),NA(),IF(AND(ISNUMBER(INDEX(rMed2,2104)),ISNUMBER(INDEX(rMed,2104))),INDEX(rMed,2104),NA()))</f>
        <v>68300</v>
      </c>
    </row>
    <row r="2107">
      <c r="BX2107">
        <f>IF(OR(cMed=0,cMed2=0,2105&gt;nFilas),NA(),IF(AND(ISNUMBER(INDEX(rMed2,2105)),ISNUMBER(INDEX(rMed,2105))),INDEX(rMed2,2105),NA()))</f>
        <v>5</v>
      </c>
      <c r="BY2107">
        <f>IF(OR(cMed=0,cMed2=0,2105&gt;nFilas),NA(),IF(AND(ISNUMBER(INDEX(rMed2,2105)),ISNUMBER(INDEX(rMed,2105))),INDEX(rMed,2105),NA()))</f>
        <v>627500</v>
      </c>
    </row>
    <row r="2108">
      <c r="BX2108">
        <f>IF(OR(cMed=0,cMed2=0,2106&gt;nFilas),NA(),IF(AND(ISNUMBER(INDEX(rMed2,2106)),ISNUMBER(INDEX(rMed,2106))),INDEX(rMed2,2106),NA()))</f>
        <v>1</v>
      </c>
      <c r="BY2108">
        <f>IF(OR(cMed=0,cMed2=0,2106&gt;nFilas),NA(),IF(AND(ISNUMBER(INDEX(rMed2,2106)),ISNUMBER(INDEX(rMed,2106))),INDEX(rMed,2106),NA()))</f>
        <v>79400</v>
      </c>
    </row>
    <row r="2109">
      <c r="BX2109">
        <f>IF(OR(cMed=0,cMed2=0,2107&gt;nFilas),NA(),IF(AND(ISNUMBER(INDEX(rMed2,2107)),ISNUMBER(INDEX(rMed,2107))),INDEX(rMed2,2107),NA()))</f>
        <v>3</v>
      </c>
      <c r="BY2109">
        <f>IF(OR(cMed=0,cMed2=0,2107&gt;nFilas),NA(),IF(AND(ISNUMBER(INDEX(rMed2,2107)),ISNUMBER(INDEX(rMed,2107))),INDEX(rMed,2107),NA()))</f>
        <v>2140500</v>
      </c>
    </row>
    <row r="2110">
      <c r="BX2110">
        <f>IF(OR(cMed=0,cMed2=0,2108&gt;nFilas),NA(),IF(AND(ISNUMBER(INDEX(rMed2,2108)),ISNUMBER(INDEX(rMed,2108))),INDEX(rMed2,2108),NA()))</f>
        <v>4</v>
      </c>
      <c r="BY2110">
        <f>IF(OR(cMed=0,cMed2=0,2108&gt;nFilas),NA(),IF(AND(ISNUMBER(INDEX(rMed2,2108)),ISNUMBER(INDEX(rMed,2108))),INDEX(rMed,2108),NA()))</f>
        <v>2980000</v>
      </c>
    </row>
    <row r="2111">
      <c r="BX2111">
        <f>IF(OR(cMed=0,cMed2=0,2109&gt;nFilas),NA(),IF(AND(ISNUMBER(INDEX(rMed2,2109)),ISNUMBER(INDEX(rMed,2109))),INDEX(rMed2,2109),NA()))</f>
        <v>2</v>
      </c>
      <c r="BY2111">
        <f>IF(OR(cMed=0,cMed2=0,2109&gt;nFilas),NA(),IF(AND(ISNUMBER(INDEX(rMed2,2109)),ISNUMBER(INDEX(rMed,2109))),INDEX(rMed,2109),NA()))</f>
        <v>540000</v>
      </c>
    </row>
    <row r="2112">
      <c r="BX2112">
        <f>IF(OR(cMed=0,cMed2=0,2110&gt;nFilas),NA(),IF(AND(ISNUMBER(INDEX(rMed2,2110)),ISNUMBER(INDEX(rMed,2110))),INDEX(rMed2,2110),NA()))</f>
        <v>1</v>
      </c>
      <c r="BY2112">
        <f>IF(OR(cMed=0,cMed2=0,2110&gt;nFilas),NA(),IF(AND(ISNUMBER(INDEX(rMed2,2110)),ISNUMBER(INDEX(rMed,2110))),INDEX(rMed,2110),NA()))</f>
        <v>92600</v>
      </c>
    </row>
    <row r="2113">
      <c r="BX2113">
        <f>IF(OR(cMed=0,cMed2=0,2111&gt;nFilas),NA(),IF(AND(ISNUMBER(INDEX(rMed2,2111)),ISNUMBER(INDEX(rMed,2111))),INDEX(rMed2,2111),NA()))</f>
        <v>2</v>
      </c>
      <c r="BY2113">
        <f>IF(OR(cMed=0,cMed2=0,2111&gt;nFilas),NA(),IF(AND(ISNUMBER(INDEX(rMed2,2111)),ISNUMBER(INDEX(rMed,2111))),INDEX(rMed,2111),NA()))</f>
        <v>243000</v>
      </c>
    </row>
    <row r="2114">
      <c r="BX2114">
        <f>IF(OR(cMed=0,cMed2=0,2112&gt;nFilas),NA(),IF(AND(ISNUMBER(INDEX(rMed2,2112)),ISNUMBER(INDEX(rMed,2112))),INDEX(rMed2,2112),NA()))</f>
        <v>1</v>
      </c>
      <c r="BY2114">
        <f>IF(OR(cMed=0,cMed2=0,2112&gt;nFilas),NA(),IF(AND(ISNUMBER(INDEX(rMed2,2112)),ISNUMBER(INDEX(rMed,2112))),INDEX(rMed,2112),NA()))</f>
        <v>123200</v>
      </c>
    </row>
    <row r="2115">
      <c r="BX2115">
        <f>IF(OR(cMed=0,cMed2=0,2113&gt;nFilas),NA(),IF(AND(ISNUMBER(INDEX(rMed2,2113)),ISNUMBER(INDEX(rMed,2113))),INDEX(rMed2,2113),NA()))</f>
        <v>4</v>
      </c>
      <c r="BY2115">
        <f>IF(OR(cMed=0,cMed2=0,2113&gt;nFilas),NA(),IF(AND(ISNUMBER(INDEX(rMed2,2113)),ISNUMBER(INDEX(rMed,2113))),INDEX(rMed,2113),NA()))</f>
        <v>638480</v>
      </c>
    </row>
    <row r="2116">
      <c r="BX2116">
        <f>IF(OR(cMed=0,cMed2=0,2114&gt;nFilas),NA(),IF(AND(ISNUMBER(INDEX(rMed2,2114)),ISNUMBER(INDEX(rMed,2114))),INDEX(rMed2,2114),NA()))</f>
        <v>4</v>
      </c>
      <c r="BY2116">
        <f>IF(OR(cMed=0,cMed2=0,2114&gt;nFilas),NA(),IF(AND(ISNUMBER(INDEX(rMed2,2114)),ISNUMBER(INDEX(rMed,2114))),INDEX(rMed,2114),NA()))</f>
        <v>540040</v>
      </c>
    </row>
    <row r="2117">
      <c r="BX2117">
        <f>IF(OR(cMed=0,cMed2=0,2115&gt;nFilas),NA(),IF(AND(ISNUMBER(INDEX(rMed2,2115)),ISNUMBER(INDEX(rMed,2115))),INDEX(rMed2,2115),NA()))</f>
        <v>3</v>
      </c>
      <c r="BY2117">
        <f>IF(OR(cMed=0,cMed2=0,2115&gt;nFilas),NA(),IF(AND(ISNUMBER(INDEX(rMed2,2115)),ISNUMBER(INDEX(rMed,2115))),INDEX(rMed,2115),NA()))</f>
        <v>2335650</v>
      </c>
    </row>
    <row r="2118">
      <c r="BX2118">
        <f>IF(OR(cMed=0,cMed2=0,2116&gt;nFilas),NA(),IF(AND(ISNUMBER(INDEX(rMed2,2116)),ISNUMBER(INDEX(rMed,2116))),INDEX(rMed2,2116),NA()))</f>
        <v>5</v>
      </c>
      <c r="BY2118">
        <f>IF(OR(cMed=0,cMed2=0,2116&gt;nFilas),NA(),IF(AND(ISNUMBER(INDEX(rMed2,2116)),ISNUMBER(INDEX(rMed,2116))),INDEX(rMed,2116),NA()))</f>
        <v>1195425</v>
      </c>
    </row>
    <row r="2119">
      <c r="BX2119">
        <f>IF(OR(cMed=0,cMed2=0,2117&gt;nFilas),NA(),IF(AND(ISNUMBER(INDEX(rMed2,2117)),ISNUMBER(INDEX(rMed,2117))),INDEX(rMed2,2117),NA()))</f>
        <v>3</v>
      </c>
      <c r="BY2119">
        <f>IF(OR(cMed=0,cMed2=0,2117&gt;nFilas),NA(),IF(AND(ISNUMBER(INDEX(rMed2,2117)),ISNUMBER(INDEX(rMed,2117))),INDEX(rMed,2117),NA()))</f>
        <v>705180</v>
      </c>
    </row>
    <row r="2120">
      <c r="BX2120">
        <f>IF(OR(cMed=0,cMed2=0,2118&gt;nFilas),NA(),IF(AND(ISNUMBER(INDEX(rMed2,2118)),ISNUMBER(INDEX(rMed,2118))),INDEX(rMed2,2118),NA()))</f>
        <v>1</v>
      </c>
      <c r="BY2120">
        <f>IF(OR(cMed=0,cMed2=0,2118&gt;nFilas),NA(),IF(AND(ISNUMBER(INDEX(rMed2,2118)),ISNUMBER(INDEX(rMed,2118))),INDEX(rMed,2118),NA()))</f>
        <v>213095</v>
      </c>
    </row>
    <row r="2121">
      <c r="BX2121">
        <f>IF(OR(cMed=0,cMed2=0,2119&gt;nFilas),NA(),IF(AND(ISNUMBER(INDEX(rMed2,2119)),ISNUMBER(INDEX(rMed,2119))),INDEX(rMed2,2119),NA()))</f>
        <v>3</v>
      </c>
      <c r="BY2121">
        <f>IF(OR(cMed=0,cMed2=0,2119&gt;nFilas),NA(),IF(AND(ISNUMBER(INDEX(rMed2,2119)),ISNUMBER(INDEX(rMed,2119))),INDEX(rMed,2119),NA()))</f>
        <v>326025</v>
      </c>
    </row>
    <row r="2122">
      <c r="BX2122">
        <f>IF(OR(cMed=0,cMed2=0,2120&gt;nFilas),NA(),IF(AND(ISNUMBER(INDEX(rMed2,2120)),ISNUMBER(INDEX(rMed,2120))),INDEX(rMed2,2120),NA()))</f>
        <v>2</v>
      </c>
      <c r="BY2122">
        <f>IF(OR(cMed=0,cMed2=0,2120&gt;nFilas),NA(),IF(AND(ISNUMBER(INDEX(rMed2,2120)),ISNUMBER(INDEX(rMed,2120))),INDEX(rMed,2120),NA()))</f>
        <v>117070</v>
      </c>
    </row>
    <row r="2123">
      <c r="BX2123">
        <f>IF(OR(cMed=0,cMed2=0,2121&gt;nFilas),NA(),IF(AND(ISNUMBER(INDEX(rMed2,2121)),ISNUMBER(INDEX(rMed,2121))),INDEX(rMed2,2121),NA()))</f>
        <v>4</v>
      </c>
      <c r="BY2123">
        <f>IF(OR(cMed=0,cMed2=0,2121&gt;nFilas),NA(),IF(AND(ISNUMBER(INDEX(rMed2,2121)),ISNUMBER(INDEX(rMed,2121))),INDEX(rMed,2121),NA()))</f>
        <v>945300</v>
      </c>
    </row>
    <row r="2124">
      <c r="BX2124">
        <f>IF(OR(cMed=0,cMed2=0,2122&gt;nFilas),NA(),IF(AND(ISNUMBER(INDEX(rMed2,2122)),ISNUMBER(INDEX(rMed,2122))),INDEX(rMed2,2122),NA()))</f>
        <v>5</v>
      </c>
      <c r="BY2124">
        <f>IF(OR(cMed=0,cMed2=0,2122&gt;nFilas),NA(),IF(AND(ISNUMBER(INDEX(rMed2,2122)),ISNUMBER(INDEX(rMed,2122))),INDEX(rMed,2122),NA()))</f>
        <v>558325</v>
      </c>
    </row>
    <row r="2125">
      <c r="BX2125">
        <f>IF(OR(cMed=0,cMed2=0,2123&gt;nFilas),NA(),IF(AND(ISNUMBER(INDEX(rMed2,2123)),ISNUMBER(INDEX(rMed,2123))),INDEX(rMed2,2123),NA()))</f>
        <v>3</v>
      </c>
      <c r="BY2125">
        <f>IF(OR(cMed=0,cMed2=0,2123&gt;nFilas),NA(),IF(AND(ISNUMBER(INDEX(rMed2,2123)),ISNUMBER(INDEX(rMed,2123))),INDEX(rMed,2123),NA()))</f>
        <v>381915</v>
      </c>
    </row>
    <row r="2126">
      <c r="BX2126">
        <f>IF(OR(cMed=0,cMed2=0,2124&gt;nFilas),NA(),IF(AND(ISNUMBER(INDEX(rMed2,2124)),ISNUMBER(INDEX(rMed,2124))),INDEX(rMed2,2124),NA()))</f>
        <v>2</v>
      </c>
      <c r="BY2126">
        <f>IF(OR(cMed=0,cMed2=0,2124&gt;nFilas),NA(),IF(AND(ISNUMBER(INDEX(rMed2,2124)),ISNUMBER(INDEX(rMed,2124))),INDEX(rMed,2124),NA()))</f>
        <v>194350</v>
      </c>
    </row>
    <row r="2127">
      <c r="BX2127">
        <f>IF(OR(cMed=0,cMed2=0,2125&gt;nFilas),NA(),IF(AND(ISNUMBER(INDEX(rMed2,2125)),ISNUMBER(INDEX(rMed,2125))),INDEX(rMed2,2125),NA()))</f>
        <v>4</v>
      </c>
      <c r="BY2127">
        <f>IF(OR(cMed=0,cMed2=0,2125&gt;nFilas),NA(),IF(AND(ISNUMBER(INDEX(rMed2,2125)),ISNUMBER(INDEX(rMed,2125))),INDEX(rMed,2125),NA()))</f>
        <v>578680</v>
      </c>
    </row>
    <row r="2128">
      <c r="BX2128">
        <f>IF(OR(cMed=0,cMed2=0,2126&gt;nFilas),NA(),IF(AND(ISNUMBER(INDEX(rMed2,2126)),ISNUMBER(INDEX(rMed,2126))),INDEX(rMed2,2126),NA()))</f>
        <v>4</v>
      </c>
      <c r="BY2128">
        <f>IF(OR(cMed=0,cMed2=0,2126&gt;nFilas),NA(),IF(AND(ISNUMBER(INDEX(rMed2,2126)),ISNUMBER(INDEX(rMed,2126))),INDEX(rMed,2126),NA()))</f>
        <v>477020</v>
      </c>
    </row>
    <row r="2129">
      <c r="BX2129">
        <f>IF(OR(cMed=0,cMed2=0,2127&gt;nFilas),NA(),IF(AND(ISNUMBER(INDEX(rMed2,2127)),ISNUMBER(INDEX(rMed,2127))),INDEX(rMed2,2127),NA()))</f>
        <v>3</v>
      </c>
      <c r="BY2129">
        <f>IF(OR(cMed=0,cMed2=0,2127&gt;nFilas),NA(),IF(AND(ISNUMBER(INDEX(rMed2,2127)),ISNUMBER(INDEX(rMed,2127))),INDEX(rMed,2127),NA()))</f>
        <v>2871435</v>
      </c>
    </row>
    <row r="2130">
      <c r="BX2130">
        <f>IF(OR(cMed=0,cMed2=0,2128&gt;nFilas),NA(),IF(AND(ISNUMBER(INDEX(rMed2,2128)),ISNUMBER(INDEX(rMed,2128))),INDEX(rMed2,2128),NA()))</f>
        <v>2</v>
      </c>
      <c r="BY2130">
        <f>IF(OR(cMed=0,cMed2=0,2128&gt;nFilas),NA(),IF(AND(ISNUMBER(INDEX(rMed2,2128)),ISNUMBER(INDEX(rMed,2128))),INDEX(rMed,2128),NA()))</f>
        <v>482540</v>
      </c>
    </row>
    <row r="2131">
      <c r="BX2131">
        <f>IF(OR(cMed=0,cMed2=0,2129&gt;nFilas),NA(),IF(AND(ISNUMBER(INDEX(rMed2,2129)),ISNUMBER(INDEX(rMed,2129))),INDEX(rMed2,2129),NA()))</f>
        <v>3</v>
      </c>
      <c r="BY2131">
        <f>IF(OR(cMed=0,cMed2=0,2129&gt;nFilas),NA(),IF(AND(ISNUMBER(INDEX(rMed2,2129)),ISNUMBER(INDEX(rMed,2129))),INDEX(rMed,2129),NA()))</f>
        <v>410895</v>
      </c>
    </row>
    <row r="2132">
      <c r="BX2132">
        <f>IF(OR(cMed=0,cMed2=0,2130&gt;nFilas),NA(),IF(AND(ISNUMBER(INDEX(rMed2,2130)),ISNUMBER(INDEX(rMed,2130))),INDEX(rMed2,2130),NA()))</f>
        <v>3</v>
      </c>
      <c r="BY2132">
        <f>IF(OR(cMed=0,cMed2=0,2130&gt;nFilas),NA(),IF(AND(ISNUMBER(INDEX(rMed2,2130)),ISNUMBER(INDEX(rMed,2130))),INDEX(rMed,2130),NA()))</f>
        <v>2473995</v>
      </c>
    </row>
    <row r="2133">
      <c r="BX2133">
        <f>IF(OR(cMed=0,cMed2=0,2131&gt;nFilas),NA(),IF(AND(ISNUMBER(INDEX(rMed2,2131)),ISNUMBER(INDEX(rMed,2131))),INDEX(rMed2,2131),NA()))</f>
        <v>3</v>
      </c>
      <c r="BY2133">
        <f>IF(OR(cMed=0,cMed2=0,2131&gt;nFilas),NA(),IF(AND(ISNUMBER(INDEX(rMed2,2131)),ISNUMBER(INDEX(rMed,2131))),INDEX(rMed,2131),NA()))</f>
        <v>3285300</v>
      </c>
    </row>
    <row r="2134">
      <c r="BX2134">
        <f>IF(OR(cMed=0,cMed2=0,2132&gt;nFilas),NA(),IF(AND(ISNUMBER(INDEX(rMed2,2132)),ISNUMBER(INDEX(rMed,2132))),INDEX(rMed2,2132),NA()))</f>
        <v>1</v>
      </c>
      <c r="BY2134">
        <f>IF(OR(cMed=0,cMed2=0,2132&gt;nFilas),NA(),IF(AND(ISNUMBER(INDEX(rMed2,2132)),ISNUMBER(INDEX(rMed,2132))),INDEX(rMed,2132),NA()))</f>
        <v>116500</v>
      </c>
    </row>
    <row r="2135">
      <c r="BX2135">
        <f>IF(OR(cMed=0,cMed2=0,2133&gt;nFilas),NA(),IF(AND(ISNUMBER(INDEX(rMed2,2133)),ISNUMBER(INDEX(rMed,2133))),INDEX(rMed2,2133),NA()))</f>
        <v>1</v>
      </c>
      <c r="BY2135">
        <f>IF(OR(cMed=0,cMed2=0,2133&gt;nFilas),NA(),IF(AND(ISNUMBER(INDEX(rMed2,2133)),ISNUMBER(INDEX(rMed,2133))),INDEX(rMed,2133),NA()))</f>
        <v>731700</v>
      </c>
    </row>
    <row r="2136">
      <c r="BX2136">
        <f>IF(OR(cMed=0,cMed2=0,2134&gt;nFilas),NA(),IF(AND(ISNUMBER(INDEX(rMed2,2134)),ISNUMBER(INDEX(rMed,2134))),INDEX(rMed2,2134),NA()))</f>
        <v>1</v>
      </c>
      <c r="BY2136">
        <f>IF(OR(cMed=0,cMed2=0,2134&gt;nFilas),NA(),IF(AND(ISNUMBER(INDEX(rMed2,2134)),ISNUMBER(INDEX(rMed,2134))),INDEX(rMed,2134),NA()))</f>
        <v>104900</v>
      </c>
    </row>
    <row r="2137">
      <c r="BX2137">
        <f>IF(OR(cMed=0,cMed2=0,2135&gt;nFilas),NA(),IF(AND(ISNUMBER(INDEX(rMed2,2135)),ISNUMBER(INDEX(rMed,2135))),INDEX(rMed2,2135),NA()))</f>
        <v>4</v>
      </c>
      <c r="BY2137">
        <f>IF(OR(cMed=0,cMed2=0,2135&gt;nFilas),NA(),IF(AND(ISNUMBER(INDEX(rMed2,2135)),ISNUMBER(INDEX(rMed,2135))),INDEX(rMed,2135),NA()))</f>
        <v>903200</v>
      </c>
    </row>
    <row r="2138">
      <c r="BX2138">
        <f>IF(OR(cMed=0,cMed2=0,2136&gt;nFilas),NA(),IF(AND(ISNUMBER(INDEX(rMed2,2136)),ISNUMBER(INDEX(rMed,2136))),INDEX(rMed2,2136),NA()))</f>
        <v>4</v>
      </c>
      <c r="BY2138">
        <f>IF(OR(cMed=0,cMed2=0,2136&gt;nFilas),NA(),IF(AND(ISNUMBER(INDEX(rMed2,2136)),ISNUMBER(INDEX(rMed,2136))),INDEX(rMed,2136),NA()))</f>
        <v>977200</v>
      </c>
    </row>
    <row r="2139">
      <c r="BX2139">
        <f>IF(OR(cMed=0,cMed2=0,2137&gt;nFilas),NA(),IF(AND(ISNUMBER(INDEX(rMed2,2137)),ISNUMBER(INDEX(rMed,2137))),INDEX(rMed2,2137),NA()))</f>
        <v>2</v>
      </c>
      <c r="BY2139">
        <f>IF(OR(cMed=0,cMed2=0,2137&gt;nFilas),NA(),IF(AND(ISNUMBER(INDEX(rMed2,2137)),ISNUMBER(INDEX(rMed,2137))),INDEX(rMed,2137),NA()))</f>
        <v>450600</v>
      </c>
    </row>
    <row r="2140">
      <c r="BX2140">
        <f>IF(OR(cMed=0,cMed2=0,2138&gt;nFilas),NA(),IF(AND(ISNUMBER(INDEX(rMed2,2138)),ISNUMBER(INDEX(rMed,2138))),INDEX(rMed2,2138),NA()))</f>
        <v>3</v>
      </c>
      <c r="BY2140">
        <f>IF(OR(cMed=0,cMed2=0,2138&gt;nFilas),NA(),IF(AND(ISNUMBER(INDEX(rMed2,2138)),ISNUMBER(INDEX(rMed,2138))),INDEX(rMed,2138),NA()))</f>
        <v>342300</v>
      </c>
    </row>
    <row r="2141">
      <c r="BX2141">
        <f>IF(OR(cMed=0,cMed2=0,2139&gt;nFilas),NA(),IF(AND(ISNUMBER(INDEX(rMed2,2139)),ISNUMBER(INDEX(rMed,2139))),INDEX(rMed2,2139),NA()))</f>
        <v>1</v>
      </c>
      <c r="BY2141">
        <f>IF(OR(cMed=0,cMed2=0,2139&gt;nFilas),NA(),IF(AND(ISNUMBER(INDEX(rMed2,2139)),ISNUMBER(INDEX(rMed,2139))),INDEX(rMed,2139),NA()))</f>
        <v>125000</v>
      </c>
    </row>
    <row r="2142">
      <c r="BX2142">
        <f>IF(OR(cMed=0,cMed2=0,2140&gt;nFilas),NA(),IF(AND(ISNUMBER(INDEX(rMed2,2140)),ISNUMBER(INDEX(rMed,2140))),INDEX(rMed2,2140),NA()))</f>
        <v>1</v>
      </c>
      <c r="BY2142">
        <f>IF(OR(cMed=0,cMed2=0,2140&gt;nFilas),NA(),IF(AND(ISNUMBER(INDEX(rMed2,2140)),ISNUMBER(INDEX(rMed,2140))),INDEX(rMed,2140),NA()))</f>
        <v>136100</v>
      </c>
    </row>
    <row r="2143">
      <c r="BX2143">
        <f>IF(OR(cMed=0,cMed2=0,2141&gt;nFilas),NA(),IF(AND(ISNUMBER(INDEX(rMed2,2141)),ISNUMBER(INDEX(rMed,2141))),INDEX(rMed2,2141),NA()))</f>
        <v>5</v>
      </c>
      <c r="BY2143">
        <f>IF(OR(cMed=0,cMed2=0,2141&gt;nFilas),NA(),IF(AND(ISNUMBER(INDEX(rMed2,2141)),ISNUMBER(INDEX(rMed,2141))),INDEX(rMed,2141),NA()))</f>
        <v>564000</v>
      </c>
    </row>
    <row r="2144">
      <c r="BX2144">
        <f>IF(OR(cMed=0,cMed2=0,2142&gt;nFilas),NA(),IF(AND(ISNUMBER(INDEX(rMed2,2142)),ISNUMBER(INDEX(rMed,2142))),INDEX(rMed2,2142),NA()))</f>
        <v>5</v>
      </c>
      <c r="BY2144">
        <f>IF(OR(cMed=0,cMed2=0,2142&gt;nFilas),NA(),IF(AND(ISNUMBER(INDEX(rMed2,2142)),ISNUMBER(INDEX(rMed,2142))),INDEX(rMed,2142),NA()))</f>
        <v>517000</v>
      </c>
    </row>
    <row r="2145">
      <c r="BX2145">
        <f>IF(OR(cMed=0,cMed2=0,2143&gt;nFilas),NA(),IF(AND(ISNUMBER(INDEX(rMed2,2143)),ISNUMBER(INDEX(rMed,2143))),INDEX(rMed2,2143),NA()))</f>
        <v>5</v>
      </c>
      <c r="BY2145">
        <f>IF(OR(cMed=0,cMed2=0,2143&gt;nFilas),NA(),IF(AND(ISNUMBER(INDEX(rMed2,2143)),ISNUMBER(INDEX(rMed,2143))),INDEX(rMed,2143),NA()))</f>
        <v>370000</v>
      </c>
    </row>
    <row r="2146">
      <c r="BX2146">
        <f>IF(OR(cMed=0,cMed2=0,2144&gt;nFilas),NA(),IF(AND(ISNUMBER(INDEX(rMed2,2144)),ISNUMBER(INDEX(rMed,2144))),INDEX(rMed2,2144),NA()))</f>
        <v>4</v>
      </c>
      <c r="BY2146">
        <f>IF(OR(cMed=0,cMed2=0,2144&gt;nFilas),NA(),IF(AND(ISNUMBER(INDEX(rMed2,2144)),ISNUMBER(INDEX(rMed,2144))),INDEX(rMed,2144),NA()))</f>
        <v>2467200</v>
      </c>
    </row>
    <row r="2147">
      <c r="BX2147">
        <f>IF(OR(cMed=0,cMed2=0,2145&gt;nFilas),NA(),IF(AND(ISNUMBER(INDEX(rMed2,2145)),ISNUMBER(INDEX(rMed,2145))),INDEX(rMed2,2145),NA()))</f>
        <v>3</v>
      </c>
      <c r="BY2147">
        <f>IF(OR(cMed=0,cMed2=0,2145&gt;nFilas),NA(),IF(AND(ISNUMBER(INDEX(rMed2,2145)),ISNUMBER(INDEX(rMed,2145))),INDEX(rMed,2145),NA()))</f>
        <v>317100</v>
      </c>
    </row>
    <row r="2148">
      <c r="BX2148">
        <f>IF(OR(cMed=0,cMed2=0,2146&gt;nFilas),NA(),IF(AND(ISNUMBER(INDEX(rMed2,2146)),ISNUMBER(INDEX(rMed,2146))),INDEX(rMed2,2146),NA()))</f>
        <v>1</v>
      </c>
      <c r="BY2148">
        <f>IF(OR(cMed=0,cMed2=0,2146&gt;nFilas),NA(),IF(AND(ISNUMBER(INDEX(rMed2,2146)),ISNUMBER(INDEX(rMed,2146))),INDEX(rMed,2146),NA()))</f>
        <v>51700</v>
      </c>
    </row>
    <row r="2149">
      <c r="BX2149">
        <f>IF(OR(cMed=0,cMed2=0,2147&gt;nFilas),NA(),IF(AND(ISNUMBER(INDEX(rMed2,2147)),ISNUMBER(INDEX(rMed,2147))),INDEX(rMed2,2147),NA()))</f>
        <v>3</v>
      </c>
      <c r="BY2149">
        <f>IF(OR(cMed=0,cMed2=0,2147&gt;nFilas),NA(),IF(AND(ISNUMBER(INDEX(rMed2,2147)),ISNUMBER(INDEX(rMed,2147))),INDEX(rMed,2147),NA()))</f>
        <v>150000</v>
      </c>
    </row>
    <row r="2150">
      <c r="BX2150">
        <f>IF(OR(cMed=0,cMed2=0,2148&gt;nFilas),NA(),IF(AND(ISNUMBER(INDEX(rMed2,2148)),ISNUMBER(INDEX(rMed,2148))),INDEX(rMed2,2148),NA()))</f>
        <v>4</v>
      </c>
      <c r="BY2150">
        <f>IF(OR(cMed=0,cMed2=0,2148&gt;nFilas),NA(),IF(AND(ISNUMBER(INDEX(rMed2,2148)),ISNUMBER(INDEX(rMed,2148))),INDEX(rMed,2148),NA()))</f>
        <v>3213600</v>
      </c>
    </row>
    <row r="2151">
      <c r="BX2151">
        <f>IF(OR(cMed=0,cMed2=0,2149&gt;nFilas),NA(),IF(AND(ISNUMBER(INDEX(rMed2,2149)),ISNUMBER(INDEX(rMed,2149))),INDEX(rMed2,2149),NA()))</f>
        <v>3</v>
      </c>
      <c r="BY2151">
        <f>IF(OR(cMed=0,cMed2=0,2149&gt;nFilas),NA(),IF(AND(ISNUMBER(INDEX(rMed2,2149)),ISNUMBER(INDEX(rMed,2149))),INDEX(rMed,2149),NA()))</f>
        <v>226665</v>
      </c>
    </row>
    <row r="2152">
      <c r="BX2152">
        <f>IF(OR(cMed=0,cMed2=0,2150&gt;nFilas),NA(),IF(AND(ISNUMBER(INDEX(rMed2,2150)),ISNUMBER(INDEX(rMed,2150))),INDEX(rMed2,2150),NA()))</f>
        <v>1</v>
      </c>
      <c r="BY2152">
        <f>IF(OR(cMed=0,cMed2=0,2150&gt;nFilas),NA(),IF(AND(ISNUMBER(INDEX(rMed2,2150)),ISNUMBER(INDEX(rMed,2150))),INDEX(rMed,2150),NA()))</f>
        <v>109480</v>
      </c>
    </row>
    <row r="2153">
      <c r="BX2153">
        <f>IF(OR(cMed=0,cMed2=0,2151&gt;nFilas),NA(),IF(AND(ISNUMBER(INDEX(rMed2,2151)),ISNUMBER(INDEX(rMed,2151))),INDEX(rMed2,2151),NA()))</f>
        <v>4</v>
      </c>
      <c r="BY2153">
        <f>IF(OR(cMed=0,cMed2=0,2151&gt;nFilas),NA(),IF(AND(ISNUMBER(INDEX(rMed2,2151)),ISNUMBER(INDEX(rMed,2151))),INDEX(rMed,2151),NA()))</f>
        <v>767280</v>
      </c>
    </row>
    <row r="2154">
      <c r="BX2154">
        <f>IF(OR(cMed=0,cMed2=0,2152&gt;nFilas),NA(),IF(AND(ISNUMBER(INDEX(rMed2,2152)),ISNUMBER(INDEX(rMed,2152))),INDEX(rMed2,2152),NA()))</f>
        <v>2</v>
      </c>
      <c r="BY2154">
        <f>IF(OR(cMed=0,cMed2=0,2152&gt;nFilas),NA(),IF(AND(ISNUMBER(INDEX(rMed2,2152)),ISNUMBER(INDEX(rMed,2152))),INDEX(rMed,2152),NA()))</f>
        <v>199870</v>
      </c>
    </row>
    <row r="2155">
      <c r="BX2155">
        <f>IF(OR(cMed=0,cMed2=0,2153&gt;nFilas),NA(),IF(AND(ISNUMBER(INDEX(rMed2,2153)),ISNUMBER(INDEX(rMed,2153))),INDEX(rMed2,2153),NA()))</f>
        <v>4</v>
      </c>
      <c r="BY2155">
        <f>IF(OR(cMed=0,cMed2=0,2153&gt;nFilas),NA(),IF(AND(ISNUMBER(INDEX(rMed2,2153)),ISNUMBER(INDEX(rMed,2153))),INDEX(rMed,2153),NA()))</f>
        <v>3101320</v>
      </c>
    </row>
    <row r="2156">
      <c r="BX2156">
        <f>IF(OR(cMed=0,cMed2=0,2154&gt;nFilas),NA(),IF(AND(ISNUMBER(INDEX(rMed2,2154)),ISNUMBER(INDEX(rMed,2154))),INDEX(rMed2,2154),NA()))</f>
        <v>1</v>
      </c>
      <c r="BY2156">
        <f>IF(OR(cMed=0,cMed2=0,2154&gt;nFilas),NA(),IF(AND(ISNUMBER(INDEX(rMed2,2154)),ISNUMBER(INDEX(rMed,2154))),INDEX(rMed,2154),NA()))</f>
        <v>99820</v>
      </c>
    </row>
    <row r="2157">
      <c r="BX2157">
        <f>IF(OR(cMed=0,cMed2=0,2155&gt;nFilas),NA(),IF(AND(ISNUMBER(INDEX(rMed2,2155)),ISNUMBER(INDEX(rMed,2155))),INDEX(rMed2,2155),NA()))</f>
        <v>5</v>
      </c>
      <c r="BY2157">
        <f>IF(OR(cMed=0,cMed2=0,2155&gt;nFilas),NA(),IF(AND(ISNUMBER(INDEX(rMed2,2155)),ISNUMBER(INDEX(rMed,2155))),INDEX(rMed,2155),NA()))</f>
        <v>1105150</v>
      </c>
    </row>
    <row r="2158">
      <c r="BX2158">
        <f>IF(OR(cMed=0,cMed2=0,2156&gt;nFilas),NA(),IF(AND(ISNUMBER(INDEX(rMed2,2156)),ISNUMBER(INDEX(rMed,2156))),INDEX(rMed2,2156),NA()))</f>
        <v>4</v>
      </c>
      <c r="BY2158">
        <f>IF(OR(cMed=0,cMed2=0,2156&gt;nFilas),NA(),IF(AND(ISNUMBER(INDEX(rMed2,2156)),ISNUMBER(INDEX(rMed,2156))),INDEX(rMed,2156),NA()))</f>
        <v>782460</v>
      </c>
    </row>
    <row r="2159">
      <c r="BX2159">
        <f>IF(OR(cMed=0,cMed2=0,2157&gt;nFilas),NA(),IF(AND(ISNUMBER(INDEX(rMed2,2157)),ISNUMBER(INDEX(rMed,2157))),INDEX(rMed2,2157),NA()))</f>
        <v>3</v>
      </c>
      <c r="BY2159">
        <f>IF(OR(cMed=0,cMed2=0,2157&gt;nFilas),NA(),IF(AND(ISNUMBER(INDEX(rMed2,2157)),ISNUMBER(INDEX(rMed,2157))),INDEX(rMed,2157),NA()))</f>
        <v>295665</v>
      </c>
    </row>
    <row r="2160">
      <c r="BX2160">
        <f>IF(OR(cMed=0,cMed2=0,2158&gt;nFilas),NA(),IF(AND(ISNUMBER(INDEX(rMed2,2158)),ISNUMBER(INDEX(rMed,2158))),INDEX(rMed2,2158),NA()))</f>
        <v>4</v>
      </c>
      <c r="BY2160">
        <f>IF(OR(cMed=0,cMed2=0,2158&gt;nFilas),NA(),IF(AND(ISNUMBER(INDEX(rMed2,2158)),ISNUMBER(INDEX(rMed,2158))),INDEX(rMed,2158),NA()))</f>
        <v>380880</v>
      </c>
    </row>
    <row r="2161">
      <c r="BX2161">
        <f>IF(OR(cMed=0,cMed2=0,2159&gt;nFilas),NA(),IF(AND(ISNUMBER(INDEX(rMed2,2159)),ISNUMBER(INDEX(rMed,2159))),INDEX(rMed2,2159),NA()))</f>
        <v>4</v>
      </c>
      <c r="BY2161">
        <f>IF(OR(cMed=0,cMed2=0,2159&gt;nFilas),NA(),IF(AND(ISNUMBER(INDEX(rMed2,2159)),ISNUMBER(INDEX(rMed,2159))),INDEX(rMed,2159),NA()))</f>
        <v>780620</v>
      </c>
    </row>
    <row r="2162">
      <c r="BX2162">
        <f>IF(OR(cMed=0,cMed2=0,2160&gt;nFilas),NA(),IF(AND(ISNUMBER(INDEX(rMed2,2160)),ISNUMBER(INDEX(rMed,2160))),INDEX(rMed2,2160),NA()))</f>
        <v>2</v>
      </c>
      <c r="BY2162">
        <f>IF(OR(cMed=0,cMed2=0,2160&gt;nFilas),NA(),IF(AND(ISNUMBER(INDEX(rMed2,2160)),ISNUMBER(INDEX(rMed,2160))),INDEX(rMed,2160),NA()))</f>
        <v>204010</v>
      </c>
    </row>
    <row r="2163">
      <c r="BX2163">
        <f>IF(OR(cMed=0,cMed2=0,2161&gt;nFilas),NA(),IF(AND(ISNUMBER(INDEX(rMed2,2161)),ISNUMBER(INDEX(rMed,2161))),INDEX(rMed2,2161),NA()))</f>
        <v>4</v>
      </c>
      <c r="BY2163">
        <f>IF(OR(cMed=0,cMed2=0,2161&gt;nFilas),NA(),IF(AND(ISNUMBER(INDEX(rMed2,2161)),ISNUMBER(INDEX(rMed,2161))),INDEX(rMed,2161),NA()))</f>
        <v>370000</v>
      </c>
    </row>
    <row r="2164">
      <c r="BX2164">
        <f>IF(OR(cMed=0,cMed2=0,2162&gt;nFilas),NA(),IF(AND(ISNUMBER(INDEX(rMed2,2162)),ISNUMBER(INDEX(rMed,2162))),INDEX(rMed2,2162),NA()))</f>
        <v>5</v>
      </c>
      <c r="BY2164">
        <f>IF(OR(cMed=0,cMed2=0,2162&gt;nFilas),NA(),IF(AND(ISNUMBER(INDEX(rMed2,2162)),ISNUMBER(INDEX(rMed,2162))),INDEX(rMed,2162),NA()))</f>
        <v>562000</v>
      </c>
    </row>
    <row r="2165">
      <c r="BX2165">
        <f>IF(OR(cMed=0,cMed2=0,2163&gt;nFilas),NA(),IF(AND(ISNUMBER(INDEX(rMed2,2163)),ISNUMBER(INDEX(rMed,2163))),INDEX(rMed2,2163),NA()))</f>
        <v>4</v>
      </c>
      <c r="BY2165">
        <f>IF(OR(cMed=0,cMed2=0,2163&gt;nFilas),NA(),IF(AND(ISNUMBER(INDEX(rMed2,2163)),ISNUMBER(INDEX(rMed,2163))),INDEX(rMed,2163),NA()))</f>
        <v>974000</v>
      </c>
    </row>
    <row r="2166">
      <c r="BX2166">
        <f>IF(OR(cMed=0,cMed2=0,2164&gt;nFilas),NA(),IF(AND(ISNUMBER(INDEX(rMed2,2164)),ISNUMBER(INDEX(rMed,2164))),INDEX(rMed2,2164),NA()))</f>
        <v>2</v>
      </c>
      <c r="BY2166">
        <f>IF(OR(cMed=0,cMed2=0,2164&gt;nFilas),NA(),IF(AND(ISNUMBER(INDEX(rMed2,2164)),ISNUMBER(INDEX(rMed,2164))),INDEX(rMed,2164),NA()))</f>
        <v>1484600</v>
      </c>
    </row>
    <row r="2167">
      <c r="BX2167">
        <f>IF(OR(cMed=0,cMed2=0,2165&gt;nFilas),NA(),IF(AND(ISNUMBER(INDEX(rMed2,2165)),ISNUMBER(INDEX(rMed,2165))),INDEX(rMed2,2165),NA()))</f>
        <v>4</v>
      </c>
      <c r="BY2167">
        <f>IF(OR(cMed=0,cMed2=0,2165&gt;nFilas),NA(),IF(AND(ISNUMBER(INDEX(rMed2,2165)),ISNUMBER(INDEX(rMed,2165))),INDEX(rMed,2165),NA()))</f>
        <v>2895200</v>
      </c>
    </row>
    <row r="2168">
      <c r="BX2168">
        <f>IF(OR(cMed=0,cMed2=0,2166&gt;nFilas),NA(),IF(AND(ISNUMBER(INDEX(rMed2,2166)),ISNUMBER(INDEX(rMed,2166))),INDEX(rMed2,2166),NA()))</f>
        <v>3</v>
      </c>
      <c r="BY2168">
        <f>IF(OR(cMed=0,cMed2=0,2166&gt;nFilas),NA(),IF(AND(ISNUMBER(INDEX(rMed2,2166)),ISNUMBER(INDEX(rMed,2166))),INDEX(rMed,2166),NA()))</f>
        <v>3000600</v>
      </c>
    </row>
    <row r="2169">
      <c r="BX2169">
        <f>IF(OR(cMed=0,cMed2=0,2167&gt;nFilas),NA(),IF(AND(ISNUMBER(INDEX(rMed2,2167)),ISNUMBER(INDEX(rMed,2167))),INDEX(rMed2,2167),NA()))</f>
        <v>3</v>
      </c>
      <c r="BY2169">
        <f>IF(OR(cMed=0,cMed2=0,2167&gt;nFilas),NA(),IF(AND(ISNUMBER(INDEX(rMed2,2167)),ISNUMBER(INDEX(rMed,2167))),INDEX(rMed,2167),NA()))</f>
        <v>429000</v>
      </c>
    </row>
    <row r="2170">
      <c r="BX2170">
        <f>IF(OR(cMed=0,cMed2=0,2168&gt;nFilas),NA(),IF(AND(ISNUMBER(INDEX(rMed2,2168)),ISNUMBER(INDEX(rMed,2168))),INDEX(rMed2,2168),NA()))</f>
        <v>5</v>
      </c>
      <c r="BY2170">
        <f>IF(OR(cMed=0,cMed2=0,2168&gt;nFilas),NA(),IF(AND(ISNUMBER(INDEX(rMed2,2168)),ISNUMBER(INDEX(rMed,2168))),INDEX(rMed,2168),NA()))</f>
        <v>914500</v>
      </c>
    </row>
    <row r="2171">
      <c r="BX2171">
        <f>IF(OR(cMed=0,cMed2=0,2169&gt;nFilas),NA(),IF(AND(ISNUMBER(INDEX(rMed2,2169)),ISNUMBER(INDEX(rMed,2169))),INDEX(rMed2,2169),NA()))</f>
        <v>2</v>
      </c>
      <c r="BY2171">
        <f>IF(OR(cMed=0,cMed2=0,2169&gt;nFilas),NA(),IF(AND(ISNUMBER(INDEX(rMed2,2169)),ISNUMBER(INDEX(rMed,2169))),INDEX(rMed,2169),NA()))</f>
        <v>109800</v>
      </c>
    </row>
    <row r="2172">
      <c r="BX2172">
        <f>IF(OR(cMed=0,cMed2=0,2170&gt;nFilas),NA(),IF(AND(ISNUMBER(INDEX(rMed2,2170)),ISNUMBER(INDEX(rMed,2170))),INDEX(rMed2,2170),NA()))</f>
        <v>4</v>
      </c>
      <c r="BY2172">
        <f>IF(OR(cMed=0,cMed2=0,2170&gt;nFilas),NA(),IF(AND(ISNUMBER(INDEX(rMed2,2170)),ISNUMBER(INDEX(rMed,2170))),INDEX(rMed,2170),NA()))</f>
        <v>801600</v>
      </c>
    </row>
    <row r="2173">
      <c r="BX2173">
        <f>IF(OR(cMed=0,cMed2=0,2171&gt;nFilas),NA(),IF(AND(ISNUMBER(INDEX(rMed2,2171)),ISNUMBER(INDEX(rMed,2171))),INDEX(rMed2,2171),NA()))</f>
        <v>5</v>
      </c>
      <c r="BY2173">
        <f>IF(OR(cMed=0,cMed2=0,2171&gt;nFilas),NA(),IF(AND(ISNUMBER(INDEX(rMed2,2171)),ISNUMBER(INDEX(rMed,2171))),INDEX(rMed,2171),NA()))</f>
        <v>454500</v>
      </c>
    </row>
    <row r="2174">
      <c r="BX2174">
        <f>IF(OR(cMed=0,cMed2=0,2172&gt;nFilas),NA(),IF(AND(ISNUMBER(INDEX(rMed2,2172)),ISNUMBER(INDEX(rMed,2172))),INDEX(rMed2,2172),NA()))</f>
        <v>1</v>
      </c>
      <c r="BY2174">
        <f>IF(OR(cMed=0,cMed2=0,2172&gt;nFilas),NA(),IF(AND(ISNUMBER(INDEX(rMed2,2172)),ISNUMBER(INDEX(rMed,2172))),INDEX(rMed,2172),NA()))</f>
        <v>862300</v>
      </c>
    </row>
    <row r="2175">
      <c r="BX2175">
        <f>IF(OR(cMed=0,cMed2=0,2173&gt;nFilas),NA(),IF(AND(ISNUMBER(INDEX(rMed2,2173)),ISNUMBER(INDEX(rMed,2173))),INDEX(rMed2,2173),NA()))</f>
        <v>5</v>
      </c>
      <c r="BY2175">
        <f>IF(OR(cMed=0,cMed2=0,2173&gt;nFilas),NA(),IF(AND(ISNUMBER(INDEX(rMed2,2173)),ISNUMBER(INDEX(rMed,2173))),INDEX(rMed,2173),NA()))</f>
        <v>299000</v>
      </c>
    </row>
    <row r="2176">
      <c r="BX2176">
        <f>IF(OR(cMed=0,cMed2=0,2174&gt;nFilas),NA(),IF(AND(ISNUMBER(INDEX(rMed2,2174)),ISNUMBER(INDEX(rMed,2174))),INDEX(rMed2,2174),NA()))</f>
        <v>5</v>
      </c>
      <c r="BY2176">
        <f>IF(OR(cMed=0,cMed2=0,2174&gt;nFilas),NA(),IF(AND(ISNUMBER(INDEX(rMed2,2174)),ISNUMBER(INDEX(rMed,2174))),INDEX(rMed,2174),NA()))</f>
        <v>754000</v>
      </c>
    </row>
    <row r="2177">
      <c r="BX2177">
        <f>IF(OR(cMed=0,cMed2=0,2175&gt;nFilas),NA(),IF(AND(ISNUMBER(INDEX(rMed2,2175)),ISNUMBER(INDEX(rMed,2175))),INDEX(rMed2,2175),NA()))</f>
        <v>2</v>
      </c>
      <c r="BY2177">
        <f>IF(OR(cMed=0,cMed2=0,2175&gt;nFilas),NA(),IF(AND(ISNUMBER(INDEX(rMed2,2175)),ISNUMBER(INDEX(rMed,2175))),INDEX(rMed,2175),NA()))</f>
        <v>2169600</v>
      </c>
    </row>
    <row r="2178">
      <c r="BX2178">
        <f>IF(OR(cMed=0,cMed2=0,2176&gt;nFilas),NA(),IF(AND(ISNUMBER(INDEX(rMed2,2176)),ISNUMBER(INDEX(rMed,2176))),INDEX(rMed2,2176),NA()))</f>
        <v>1</v>
      </c>
      <c r="BY2178">
        <f>IF(OR(cMed=0,cMed2=0,2176&gt;nFilas),NA(),IF(AND(ISNUMBER(INDEX(rMed2,2176)),ISNUMBER(INDEX(rMed,2176))),INDEX(rMed,2176),NA()))</f>
        <v>641700</v>
      </c>
    </row>
    <row r="2179">
      <c r="BX2179">
        <f>IF(OR(cMed=0,cMed2=0,2177&gt;nFilas),NA(),IF(AND(ISNUMBER(INDEX(rMed2,2177)),ISNUMBER(INDEX(rMed,2177))),INDEX(rMed2,2177),NA()))</f>
        <v>2</v>
      </c>
      <c r="BY2179">
        <f>IF(OR(cMed=0,cMed2=0,2177&gt;nFilas),NA(),IF(AND(ISNUMBER(INDEX(rMed2,2177)),ISNUMBER(INDEX(rMed,2177))),INDEX(rMed,2177),NA()))</f>
        <v>1846600</v>
      </c>
    </row>
    <row r="2180">
      <c r="BX2180">
        <f>IF(OR(cMed=0,cMed2=0,2178&gt;nFilas),NA(),IF(AND(ISNUMBER(INDEX(rMed2,2178)),ISNUMBER(INDEX(rMed,2178))),INDEX(rMed2,2178),NA()))</f>
        <v>4</v>
      </c>
      <c r="BY2180">
        <f>IF(OR(cMed=0,cMed2=0,2178&gt;nFilas),NA(),IF(AND(ISNUMBER(INDEX(rMed2,2178)),ISNUMBER(INDEX(rMed,2178))),INDEX(rMed,2178),NA()))</f>
        <v>368400</v>
      </c>
    </row>
    <row r="2181">
      <c r="BX2181">
        <f>IF(OR(cMed=0,cMed2=0,2179&gt;nFilas),NA(),IF(AND(ISNUMBER(INDEX(rMed2,2179)),ISNUMBER(INDEX(rMed,2179))),INDEX(rMed2,2179),NA()))</f>
        <v>1</v>
      </c>
      <c r="BY2181">
        <f>IF(OR(cMed=0,cMed2=0,2179&gt;nFilas),NA(),IF(AND(ISNUMBER(INDEX(rMed2,2179)),ISNUMBER(INDEX(rMed,2179))),INDEX(rMed,2179),NA()))</f>
        <v>800170</v>
      </c>
    </row>
    <row r="2182">
      <c r="BX2182">
        <f>IF(OR(cMed=0,cMed2=0,2180&gt;nFilas),NA(),IF(AND(ISNUMBER(INDEX(rMed2,2180)),ISNUMBER(INDEX(rMed,2180))),INDEX(rMed2,2180),NA()))</f>
        <v>4</v>
      </c>
      <c r="BY2182">
        <f>IF(OR(cMed=0,cMed2=0,2180&gt;nFilas),NA(),IF(AND(ISNUMBER(INDEX(rMed2,2180)),ISNUMBER(INDEX(rMed,2180))),INDEX(rMed,2180),NA()))</f>
        <v>3768780</v>
      </c>
    </row>
    <row r="2183">
      <c r="BX2183">
        <f>IF(OR(cMed=0,cMed2=0,2181&gt;nFilas),NA(),IF(AND(ISNUMBER(INDEX(rMed2,2181)),ISNUMBER(INDEX(rMed,2181))),INDEX(rMed2,2181),NA()))</f>
        <v>4</v>
      </c>
      <c r="BY2183">
        <f>IF(OR(cMed=0,cMed2=0,2181&gt;nFilas),NA(),IF(AND(ISNUMBER(INDEX(rMed2,2181)),ISNUMBER(INDEX(rMed,2181))),INDEX(rMed,2181),NA()))</f>
        <v>294400</v>
      </c>
    </row>
    <row r="2184">
      <c r="BX2184">
        <f>IF(OR(cMed=0,cMed2=0,2182&gt;nFilas),NA(),IF(AND(ISNUMBER(INDEX(rMed2,2182)),ISNUMBER(INDEX(rMed,2182))),INDEX(rMed2,2182),NA()))</f>
        <v>2</v>
      </c>
      <c r="BY2184">
        <f>IF(OR(cMed=0,cMed2=0,2182&gt;nFilas),NA(),IF(AND(ISNUMBER(INDEX(rMed2,2182)),ISNUMBER(INDEX(rMed,2182))),INDEX(rMed,2182),NA()))</f>
        <v>255990</v>
      </c>
    </row>
    <row r="2185">
      <c r="BX2185">
        <f>IF(OR(cMed=0,cMed2=0,2183&gt;nFilas),NA(),IF(AND(ISNUMBER(INDEX(rMed2,2183)),ISNUMBER(INDEX(rMed,2183))),INDEX(rMed2,2183),NA()))</f>
        <v>2</v>
      </c>
      <c r="BY2185">
        <f>IF(OR(cMed=0,cMed2=0,2183&gt;nFilas),NA(),IF(AND(ISNUMBER(INDEX(rMed2,2183)),ISNUMBER(INDEX(rMed,2183))),INDEX(rMed,2183),NA()))</f>
        <v>267490</v>
      </c>
    </row>
    <row r="2186">
      <c r="BX2186">
        <f>IF(OR(cMed=0,cMed2=0,2184&gt;nFilas),NA(),IF(AND(ISNUMBER(INDEX(rMed2,2184)),ISNUMBER(INDEX(rMed,2184))),INDEX(rMed2,2184),NA()))</f>
        <v>5</v>
      </c>
      <c r="BY2186">
        <f>IF(OR(cMed=0,cMed2=0,2184&gt;nFilas),NA(),IF(AND(ISNUMBER(INDEX(rMed2,2184)),ISNUMBER(INDEX(rMed,2184))),INDEX(rMed,2184),NA()))</f>
        <v>305900</v>
      </c>
    </row>
    <row r="2187">
      <c r="BX2187">
        <f>IF(OR(cMed=0,cMed2=0,2185&gt;nFilas),NA(),IF(AND(ISNUMBER(INDEX(rMed2,2185)),ISNUMBER(INDEX(rMed,2185))),INDEX(rMed2,2185),NA()))</f>
        <v>2</v>
      </c>
      <c r="BY2187">
        <f>IF(OR(cMed=0,cMed2=0,2185&gt;nFilas),NA(),IF(AND(ISNUMBER(INDEX(rMed2,2185)),ISNUMBER(INDEX(rMed,2185))),INDEX(rMed,2185),NA()))</f>
        <v>365010</v>
      </c>
    </row>
    <row r="2188">
      <c r="BX2188">
        <f>IF(OR(cMed=0,cMed2=0,2186&gt;nFilas),NA(),IF(AND(ISNUMBER(INDEX(rMed2,2186)),ISNUMBER(INDEX(rMed,2186))),INDEX(rMed2,2186),NA()))</f>
        <v>4</v>
      </c>
      <c r="BY2188">
        <f>IF(OR(cMed=0,cMed2=0,2186&gt;nFilas),NA(),IF(AND(ISNUMBER(INDEX(rMed2,2186)),ISNUMBER(INDEX(rMed,2186))),INDEX(rMed,2186),NA()))</f>
        <v>467820</v>
      </c>
    </row>
    <row r="2189">
      <c r="BX2189">
        <f>IF(OR(cMed=0,cMed2=0,2187&gt;nFilas),NA(),IF(AND(ISNUMBER(INDEX(rMed2,2187)),ISNUMBER(INDEX(rMed,2187))),INDEX(rMed2,2187),NA()))</f>
        <v>2</v>
      </c>
      <c r="BY2189">
        <f>IF(OR(cMed=0,cMed2=0,2187&gt;nFilas),NA(),IF(AND(ISNUMBER(INDEX(rMed2,2187)),ISNUMBER(INDEX(rMed,2187))),INDEX(rMed,2187),NA()))</f>
        <v>1518690</v>
      </c>
    </row>
    <row r="2190">
      <c r="BX2190">
        <f>IF(OR(cMed=0,cMed2=0,2188&gt;nFilas),NA(),IF(AND(ISNUMBER(INDEX(rMed2,2188)),ISNUMBER(INDEX(rMed,2188))),INDEX(rMed2,2188),NA()))</f>
        <v>3</v>
      </c>
      <c r="BY2190">
        <f>IF(OR(cMed=0,cMed2=0,2188&gt;nFilas),NA(),IF(AND(ISNUMBER(INDEX(rMed2,2188)),ISNUMBER(INDEX(rMed,2188))),INDEX(rMed,2188),NA()))</f>
        <v>290490</v>
      </c>
    </row>
    <row r="2191">
      <c r="BX2191">
        <f>IF(OR(cMed=0,cMed2=0,2189&gt;nFilas),NA(),IF(AND(ISNUMBER(INDEX(rMed2,2189)),ISNUMBER(INDEX(rMed,2189))),INDEX(rMed2,2189),NA()))</f>
        <v>4</v>
      </c>
      <c r="BY2191">
        <f>IF(OR(cMed=0,cMed2=0,2189&gt;nFilas),NA(),IF(AND(ISNUMBER(INDEX(rMed2,2189)),ISNUMBER(INDEX(rMed,2189))),INDEX(rMed,2189),NA()))</f>
        <v>4626220</v>
      </c>
    </row>
    <row r="2192">
      <c r="BX2192">
        <f>IF(OR(cMed=0,cMed2=0,2190&gt;nFilas),NA(),IF(AND(ISNUMBER(INDEX(rMed2,2190)),ISNUMBER(INDEX(rMed,2190))),INDEX(rMed2,2190),NA()))</f>
        <v>2</v>
      </c>
      <c r="BY2192">
        <f>IF(OR(cMed=0,cMed2=0,2190&gt;nFilas),NA(),IF(AND(ISNUMBER(INDEX(rMed2,2190)),ISNUMBER(INDEX(rMed,2190))),INDEX(rMed,2190),NA()))</f>
        <v>203800</v>
      </c>
    </row>
    <row r="2193">
      <c r="BX2193">
        <f>IF(OR(cMed=0,cMed2=0,2191&gt;nFilas),NA(),IF(AND(ISNUMBER(INDEX(rMed2,2191)),ISNUMBER(INDEX(rMed,2191))),INDEX(rMed2,2191),NA()))</f>
        <v>2</v>
      </c>
      <c r="BY2193">
        <f>IF(OR(cMed=0,cMed2=0,2191&gt;nFilas),NA(),IF(AND(ISNUMBER(INDEX(rMed2,2191)),ISNUMBER(INDEX(rMed,2191))),INDEX(rMed,2191),NA()))</f>
        <v>348200</v>
      </c>
    </row>
    <row r="2194">
      <c r="BX2194">
        <f>IF(OR(cMed=0,cMed2=0,2192&gt;nFilas),NA(),IF(AND(ISNUMBER(INDEX(rMed2,2192)),ISNUMBER(INDEX(rMed,2192))),INDEX(rMed2,2192),NA()))</f>
        <v>3</v>
      </c>
      <c r="BY2194">
        <f>IF(OR(cMed=0,cMed2=0,2192&gt;nFilas),NA(),IF(AND(ISNUMBER(INDEX(rMed2,2192)),ISNUMBER(INDEX(rMed,2192))),INDEX(rMed,2192),NA()))</f>
        <v>719100</v>
      </c>
    </row>
    <row r="2195">
      <c r="BX2195">
        <f>IF(OR(cMed=0,cMed2=0,2193&gt;nFilas),NA(),IF(AND(ISNUMBER(INDEX(rMed2,2193)),ISNUMBER(INDEX(rMed,2193))),INDEX(rMed2,2193),NA()))</f>
        <v>5</v>
      </c>
      <c r="BY2195">
        <f>IF(OR(cMed=0,cMed2=0,2193&gt;nFilas),NA(),IF(AND(ISNUMBER(INDEX(rMed2,2193)),ISNUMBER(INDEX(rMed,2193))),INDEX(rMed,2193),NA()))</f>
        <v>448000</v>
      </c>
    </row>
    <row r="2196">
      <c r="BX2196">
        <f>IF(OR(cMed=0,cMed2=0,2194&gt;nFilas),NA(),IF(AND(ISNUMBER(INDEX(rMed2,2194)),ISNUMBER(INDEX(rMed,2194))),INDEX(rMed2,2194),NA()))</f>
        <v>3</v>
      </c>
      <c r="BY2196">
        <f>IF(OR(cMed=0,cMed2=0,2194&gt;nFilas),NA(),IF(AND(ISNUMBER(INDEX(rMed2,2194)),ISNUMBER(INDEX(rMed,2194))),INDEX(rMed,2194),NA()))</f>
        <v>2128200</v>
      </c>
    </row>
    <row r="2197">
      <c r="BX2197">
        <f>IF(OR(cMed=0,cMed2=0,2195&gt;nFilas),NA(),IF(AND(ISNUMBER(INDEX(rMed2,2195)),ISNUMBER(INDEX(rMed,2195))),INDEX(rMed2,2195),NA()))</f>
        <v>3</v>
      </c>
      <c r="BY2197">
        <f>IF(OR(cMed=0,cMed2=0,2195&gt;nFilas),NA(),IF(AND(ISNUMBER(INDEX(rMed2,2195)),ISNUMBER(INDEX(rMed,2195))),INDEX(rMed,2195),NA()))</f>
        <v>290100</v>
      </c>
    </row>
    <row r="2198">
      <c r="BX2198">
        <f>IF(OR(cMed=0,cMed2=0,2196&gt;nFilas),NA(),IF(AND(ISNUMBER(INDEX(rMed2,2196)),ISNUMBER(INDEX(rMed,2196))),INDEX(rMed2,2196),NA()))</f>
        <v>5</v>
      </c>
      <c r="BY2198">
        <f>IF(OR(cMed=0,cMed2=0,2196&gt;nFilas),NA(),IF(AND(ISNUMBER(INDEX(rMed2,2196)),ISNUMBER(INDEX(rMed,2196))),INDEX(rMed,2196),NA()))</f>
        <v>920000</v>
      </c>
    </row>
    <row r="2199">
      <c r="BX2199">
        <f>IF(OR(cMed=0,cMed2=0,2197&gt;nFilas),NA(),IF(AND(ISNUMBER(INDEX(rMed2,2197)),ISNUMBER(INDEX(rMed,2197))),INDEX(rMed2,2197),NA()))</f>
        <v>4</v>
      </c>
      <c r="BY2199">
        <f>IF(OR(cMed=0,cMed2=0,2197&gt;nFilas),NA(),IF(AND(ISNUMBER(INDEX(rMed2,2197)),ISNUMBER(INDEX(rMed,2197))),INDEX(rMed,2197),NA()))</f>
        <v>529200</v>
      </c>
    </row>
    <row r="2200">
      <c r="BX2200">
        <f>IF(OR(cMed=0,cMed2=0,2198&gt;nFilas),NA(),IF(AND(ISNUMBER(INDEX(rMed2,2198)),ISNUMBER(INDEX(rMed,2198))),INDEX(rMed2,2198),NA()))</f>
        <v>2</v>
      </c>
      <c r="BY2200">
        <f>IF(OR(cMed=0,cMed2=0,2198&gt;nFilas),NA(),IF(AND(ISNUMBER(INDEX(rMed2,2198)),ISNUMBER(INDEX(rMed,2198))),INDEX(rMed,2198),NA()))</f>
        <v>126600</v>
      </c>
    </row>
    <row r="2201">
      <c r="BX2201">
        <f>IF(OR(cMed=0,cMed2=0,2199&gt;nFilas),NA(),IF(AND(ISNUMBER(INDEX(rMed2,2199)),ISNUMBER(INDEX(rMed,2199))),INDEX(rMed2,2199),NA()))</f>
        <v>4</v>
      </c>
      <c r="BY2201">
        <f>IF(OR(cMed=0,cMed2=0,2199&gt;nFilas),NA(),IF(AND(ISNUMBER(INDEX(rMed2,2199)),ISNUMBER(INDEX(rMed,2199))),INDEX(rMed,2199),NA()))</f>
        <v>700000</v>
      </c>
    </row>
    <row r="2202">
      <c r="BX2202">
        <f>IF(OR(cMed=0,cMed2=0,2200&gt;nFilas),NA(),IF(AND(ISNUMBER(INDEX(rMed2,2200)),ISNUMBER(INDEX(rMed,2200))),INDEX(rMed2,2200),NA()))</f>
        <v>4</v>
      </c>
      <c r="BY2202">
        <f>IF(OR(cMed=0,cMed2=0,2200&gt;nFilas),NA(),IF(AND(ISNUMBER(INDEX(rMed2,2200)),ISNUMBER(INDEX(rMed,2200))),INDEX(rMed,2200),NA()))</f>
        <v>507600</v>
      </c>
    </row>
    <row r="2203">
      <c r="BX2203">
        <f>IF(OR(cMed=0,cMed2=0,2201&gt;nFilas),NA(),IF(AND(ISNUMBER(INDEX(rMed2,2201)),ISNUMBER(INDEX(rMed,2201))),INDEX(rMed2,2201),NA()))</f>
        <v>3</v>
      </c>
      <c r="BY2203">
        <f>IF(OR(cMed=0,cMed2=0,2201&gt;nFilas),NA(),IF(AND(ISNUMBER(INDEX(rMed2,2201)),ISNUMBER(INDEX(rMed,2201))),INDEX(rMed,2201),NA()))</f>
        <v>418200</v>
      </c>
    </row>
    <row r="2204">
      <c r="BX2204">
        <f>IF(OR(cMed=0,cMed2=0,2202&gt;nFilas),NA(),IF(AND(ISNUMBER(INDEX(rMed2,2202)),ISNUMBER(INDEX(rMed,2202))),INDEX(rMed2,2202),NA()))</f>
        <v>4</v>
      </c>
      <c r="BY2204">
        <f>IF(OR(cMed=0,cMed2=0,2202&gt;nFilas),NA(),IF(AND(ISNUMBER(INDEX(rMed2,2202)),ISNUMBER(INDEX(rMed,2202))),INDEX(rMed,2202),NA()))</f>
        <v>605200</v>
      </c>
    </row>
    <row r="2205">
      <c r="BX2205">
        <f>IF(OR(cMed=0,cMed2=0,2203&gt;nFilas),NA(),IF(AND(ISNUMBER(INDEX(rMed2,2203)),ISNUMBER(INDEX(rMed,2203))),INDEX(rMed2,2203),NA()))</f>
        <v>3</v>
      </c>
      <c r="BY2205">
        <f>IF(OR(cMed=0,cMed2=0,2203&gt;nFilas),NA(),IF(AND(ISNUMBER(INDEX(rMed2,2203)),ISNUMBER(INDEX(rMed,2203))),INDEX(rMed,2203),NA()))</f>
        <v>204600</v>
      </c>
    </row>
    <row r="2206">
      <c r="BX2206">
        <f>IF(OR(cMed=0,cMed2=0,2204&gt;nFilas),NA(),IF(AND(ISNUMBER(INDEX(rMed2,2204)),ISNUMBER(INDEX(rMed,2204))),INDEX(rMed2,2204),NA()))</f>
        <v>3</v>
      </c>
      <c r="BY2206">
        <f>IF(OR(cMed=0,cMed2=0,2204&gt;nFilas),NA(),IF(AND(ISNUMBER(INDEX(rMed2,2204)),ISNUMBER(INDEX(rMed,2204))),INDEX(rMed,2204),NA()))</f>
        <v>555000</v>
      </c>
    </row>
    <row r="2207">
      <c r="BX2207">
        <f>IF(OR(cMed=0,cMed2=0,2205&gt;nFilas),NA(),IF(AND(ISNUMBER(INDEX(rMed2,2205)),ISNUMBER(INDEX(rMed,2205))),INDEX(rMed2,2205),NA()))</f>
        <v>4</v>
      </c>
      <c r="BY2207">
        <f>IF(OR(cMed=0,cMed2=0,2205&gt;nFilas),NA(),IF(AND(ISNUMBER(INDEX(rMed2,2205)),ISNUMBER(INDEX(rMed,2205))),INDEX(rMed,2205),NA()))</f>
        <v>698000</v>
      </c>
    </row>
    <row r="2208">
      <c r="BX2208">
        <f>IF(OR(cMed=0,cMed2=0,2206&gt;nFilas),NA(),IF(AND(ISNUMBER(INDEX(rMed2,2206)),ISNUMBER(INDEX(rMed,2206))),INDEX(rMed2,2206),NA()))</f>
        <v>4</v>
      </c>
      <c r="BY2208">
        <f>IF(OR(cMed=0,cMed2=0,2206&gt;nFilas),NA(),IF(AND(ISNUMBER(INDEX(rMed2,2206)),ISNUMBER(INDEX(rMed,2206))),INDEX(rMed,2206),NA()))</f>
        <v>860400</v>
      </c>
    </row>
    <row r="2209">
      <c r="BX2209">
        <f>IF(OR(cMed=0,cMed2=0,2207&gt;nFilas),NA(),IF(AND(ISNUMBER(INDEX(rMed2,2207)),ISNUMBER(INDEX(rMed,2207))),INDEX(rMed2,2207),NA()))</f>
        <v>5</v>
      </c>
      <c r="BY2209">
        <f>IF(OR(cMed=0,cMed2=0,2207&gt;nFilas),NA(),IF(AND(ISNUMBER(INDEX(rMed2,2207)),ISNUMBER(INDEX(rMed,2207))),INDEX(rMed,2207),NA()))</f>
        <v>439500</v>
      </c>
    </row>
    <row r="2210">
      <c r="BX2210">
        <f>IF(OR(cMed=0,cMed2=0,2208&gt;nFilas),NA(),IF(AND(ISNUMBER(INDEX(rMed2,2208)),ISNUMBER(INDEX(rMed,2208))),INDEX(rMed2,2208),NA()))</f>
        <v>4</v>
      </c>
      <c r="BY2210">
        <f>IF(OR(cMed=0,cMed2=0,2208&gt;nFilas),NA(),IF(AND(ISNUMBER(INDEX(rMed2,2208)),ISNUMBER(INDEX(rMed,2208))),INDEX(rMed,2208),NA()))</f>
        <v>574000</v>
      </c>
    </row>
    <row r="2211">
      <c r="BX2211">
        <f>IF(OR(cMed=0,cMed2=0,2209&gt;nFilas),NA(),IF(AND(ISNUMBER(INDEX(rMed2,2209)),ISNUMBER(INDEX(rMed,2209))),INDEX(rMed2,2209),NA()))</f>
        <v>3</v>
      </c>
      <c r="BY2211">
        <f>IF(OR(cMed=0,cMed2=0,2209&gt;nFilas),NA(),IF(AND(ISNUMBER(INDEX(rMed2,2209)),ISNUMBER(INDEX(rMed,2209))),INDEX(rMed,2209),NA()))</f>
        <v>575100</v>
      </c>
    </row>
    <row r="2212">
      <c r="BX2212">
        <f>IF(OR(cMed=0,cMed2=0,2210&gt;nFilas),NA(),IF(AND(ISNUMBER(INDEX(rMed2,2210)),ISNUMBER(INDEX(rMed,2210))),INDEX(rMed2,2210),NA()))</f>
        <v>1</v>
      </c>
      <c r="BY2212">
        <f>IF(OR(cMed=0,cMed2=0,2210&gt;nFilas),NA(),IF(AND(ISNUMBER(INDEX(rMed2,2210)),ISNUMBER(INDEX(rMed,2210))),INDEX(rMed,2210),NA()))</f>
        <v>121500</v>
      </c>
    </row>
    <row r="2213">
      <c r="BX2213">
        <f>IF(OR(cMed=0,cMed2=0,2211&gt;nFilas),NA(),IF(AND(ISNUMBER(INDEX(rMed2,2211)),ISNUMBER(INDEX(rMed,2211))),INDEX(rMed2,2211),NA()))</f>
        <v>2</v>
      </c>
      <c r="BY2213">
        <f>IF(OR(cMed=0,cMed2=0,2211&gt;nFilas),NA(),IF(AND(ISNUMBER(INDEX(rMed2,2211)),ISNUMBER(INDEX(rMed,2211))),INDEX(rMed,2211),NA()))</f>
        <v>227240</v>
      </c>
    </row>
    <row r="2214">
      <c r="BX2214">
        <f>IF(OR(cMed=0,cMed2=0,2212&gt;nFilas),NA(),IF(AND(ISNUMBER(INDEX(rMed2,2212)),ISNUMBER(INDEX(rMed,2212))),INDEX(rMed2,2212),NA()))</f>
        <v>5</v>
      </c>
      <c r="BY2214">
        <f>IF(OR(cMed=0,cMed2=0,2212&gt;nFilas),NA(),IF(AND(ISNUMBER(INDEX(rMed2,2212)),ISNUMBER(INDEX(rMed,2212))),INDEX(rMed,2212),NA()))</f>
        <v>394450</v>
      </c>
    </row>
    <row r="2215">
      <c r="BX2215">
        <f>IF(OR(cMed=0,cMed2=0,2213&gt;nFilas),NA(),IF(AND(ISNUMBER(INDEX(rMed2,2213)),ISNUMBER(INDEX(rMed,2213))),INDEX(rMed2,2213),NA()))</f>
        <v>5</v>
      </c>
      <c r="BY2215">
        <f>IF(OR(cMed=0,cMed2=0,2213&gt;nFilas),NA(),IF(AND(ISNUMBER(INDEX(rMed2,2213)),ISNUMBER(INDEX(rMed,2213))),INDEX(rMed,2213),NA()))</f>
        <v>1152300</v>
      </c>
    </row>
    <row r="2216">
      <c r="BX2216">
        <f>IF(OR(cMed=0,cMed2=0,2214&gt;nFilas),NA(),IF(AND(ISNUMBER(INDEX(rMed2,2214)),ISNUMBER(INDEX(rMed,2214))),INDEX(rMed2,2214),NA()))</f>
        <v>1</v>
      </c>
      <c r="BY2216">
        <f>IF(OR(cMed=0,cMed2=0,2214&gt;nFilas),NA(),IF(AND(ISNUMBER(INDEX(rMed2,2214)),ISNUMBER(INDEX(rMed,2214))),INDEX(rMed,2214),NA()))</f>
        <v>1189215</v>
      </c>
    </row>
    <row r="2217">
      <c r="BX2217">
        <f>IF(OR(cMed=0,cMed2=0,2215&gt;nFilas),NA(),IF(AND(ISNUMBER(INDEX(rMed2,2215)),ISNUMBER(INDEX(rMed,2215))),INDEX(rMed2,2215),NA()))</f>
        <v>5</v>
      </c>
      <c r="BY2217">
        <f>IF(OR(cMed=0,cMed2=0,2215&gt;nFilas),NA(),IF(AND(ISNUMBER(INDEX(rMed2,2215)),ISNUMBER(INDEX(rMed,2215))),INDEX(rMed,2215),NA()))</f>
        <v>496225</v>
      </c>
    </row>
    <row r="2218">
      <c r="BX2218">
        <f>IF(OR(cMed=0,cMed2=0,2216&gt;nFilas),NA(),IF(AND(ISNUMBER(INDEX(rMed2,2216)),ISNUMBER(INDEX(rMed,2216))),INDEX(rMed2,2216),NA()))</f>
        <v>2</v>
      </c>
      <c r="BY2218">
        <f>IF(OR(cMed=0,cMed2=0,2216&gt;nFilas),NA(),IF(AND(ISNUMBER(INDEX(rMed2,2216)),ISNUMBER(INDEX(rMed,2216))),INDEX(rMed,2216),NA()))</f>
        <v>171810</v>
      </c>
    </row>
    <row r="2219">
      <c r="BX2219">
        <f>IF(OR(cMed=0,cMed2=0,2217&gt;nFilas),NA(),IF(AND(ISNUMBER(INDEX(rMed2,2217)),ISNUMBER(INDEX(rMed,2217))),INDEX(rMed2,2217),NA()))</f>
        <v>2</v>
      </c>
      <c r="BY2219">
        <f>IF(OR(cMed=0,cMed2=0,2217&gt;nFilas),NA(),IF(AND(ISNUMBER(INDEX(rMed2,2217)),ISNUMBER(INDEX(rMed,2217))),INDEX(rMed,2217),NA()))</f>
        <v>268410</v>
      </c>
    </row>
    <row r="2220">
      <c r="BX2220">
        <f>IF(OR(cMed=0,cMed2=0,2218&gt;nFilas),NA(),IF(AND(ISNUMBER(INDEX(rMed2,2218)),ISNUMBER(INDEX(rMed,2218))),INDEX(rMed2,2218),NA()))</f>
        <v>1</v>
      </c>
      <c r="BY2220">
        <f>IF(OR(cMed=0,cMed2=0,2218&gt;nFilas),NA(),IF(AND(ISNUMBER(INDEX(rMed2,2218)),ISNUMBER(INDEX(rMed,2218))),INDEX(rMed,2218),NA()))</f>
        <v>132825</v>
      </c>
    </row>
    <row r="2221">
      <c r="BX2221">
        <f>IF(OR(cMed=0,cMed2=0,2219&gt;nFilas),NA(),IF(AND(ISNUMBER(INDEX(rMed2,2219)),ISNUMBER(INDEX(rMed,2219))),INDEX(rMed2,2219),NA()))</f>
        <v>1</v>
      </c>
      <c r="BY2221">
        <f>IF(OR(cMed=0,cMed2=0,2219&gt;nFilas),NA(),IF(AND(ISNUMBER(INDEX(rMed2,2219)),ISNUMBER(INDEX(rMed,2219))),INDEX(rMed,2219),NA()))</f>
        <v>63365</v>
      </c>
    </row>
    <row r="2222">
      <c r="BX2222">
        <f>IF(OR(cMed=0,cMed2=0,2220&gt;nFilas),NA(),IF(AND(ISNUMBER(INDEX(rMed2,2220)),ISNUMBER(INDEX(rMed,2220))),INDEX(rMed2,2220),NA()))</f>
        <v>5</v>
      </c>
      <c r="BY2222">
        <f>IF(OR(cMed=0,cMed2=0,2220&gt;nFilas),NA(),IF(AND(ISNUMBER(INDEX(rMed2,2220)),ISNUMBER(INDEX(rMed,2220))),INDEX(rMed,2220),NA()))</f>
        <v>1252350</v>
      </c>
    </row>
    <row r="2223">
      <c r="BX2223">
        <f>IF(OR(cMed=0,cMed2=0,2221&gt;nFilas),NA(),IF(AND(ISNUMBER(INDEX(rMed2,2221)),ISNUMBER(INDEX(rMed,2221))),INDEX(rMed2,2221),NA()))</f>
        <v>2</v>
      </c>
      <c r="BY2223">
        <f>IF(OR(cMed=0,cMed2=0,2221&gt;nFilas),NA(),IF(AND(ISNUMBER(INDEX(rMed2,2221)),ISNUMBER(INDEX(rMed,2221))),INDEX(rMed,2221),NA()))</f>
        <v>1380920</v>
      </c>
    </row>
    <row r="2224">
      <c r="BX2224">
        <f>IF(OR(cMed=0,cMed2=0,2222&gt;nFilas),NA(),IF(AND(ISNUMBER(INDEX(rMed2,2222)),ISNUMBER(INDEX(rMed,2222))),INDEX(rMed2,2222),NA()))</f>
        <v>2</v>
      </c>
      <c r="BY2224">
        <f>IF(OR(cMed=0,cMed2=0,2222&gt;nFilas),NA(),IF(AND(ISNUMBER(INDEX(rMed2,2222)),ISNUMBER(INDEX(rMed,2222))),INDEX(rMed,2222),NA()))</f>
        <v>402270</v>
      </c>
    </row>
    <row r="2225">
      <c r="BX2225">
        <f>IF(OR(cMed=0,cMed2=0,2223&gt;nFilas),NA(),IF(AND(ISNUMBER(INDEX(rMed2,2223)),ISNUMBER(INDEX(rMed,2223))),INDEX(rMed2,2223),NA()))</f>
        <v>4</v>
      </c>
      <c r="BY2225">
        <f>IF(OR(cMed=0,cMed2=0,2223&gt;nFilas),NA(),IF(AND(ISNUMBER(INDEX(rMed2,2223)),ISNUMBER(INDEX(rMed,2223))),INDEX(rMed,2223),NA()))</f>
        <v>650400</v>
      </c>
    </row>
    <row r="2226">
      <c r="BX2226">
        <f>IF(OR(cMed=0,cMed2=0,2224&gt;nFilas),NA(),IF(AND(ISNUMBER(INDEX(rMed2,2224)),ISNUMBER(INDEX(rMed,2224))),INDEX(rMed2,2224),NA()))</f>
        <v>4</v>
      </c>
      <c r="BY2226">
        <f>IF(OR(cMed=0,cMed2=0,2224&gt;nFilas),NA(),IF(AND(ISNUMBER(INDEX(rMed2,2224)),ISNUMBER(INDEX(rMed,2224))),INDEX(rMed,2224),NA()))</f>
        <v>931200</v>
      </c>
    </row>
    <row r="2227">
      <c r="BX2227">
        <f>IF(OR(cMed=0,cMed2=0,2225&gt;nFilas),NA(),IF(AND(ISNUMBER(INDEX(rMed2,2225)),ISNUMBER(INDEX(rMed,2225))),INDEX(rMed2,2225),NA()))</f>
        <v>2</v>
      </c>
      <c r="BY2227">
        <f>IF(OR(cMed=0,cMed2=0,2225&gt;nFilas),NA(),IF(AND(ISNUMBER(INDEX(rMed2,2225)),ISNUMBER(INDEX(rMed,2225))),INDEX(rMed,2225),NA()))</f>
        <v>1434800</v>
      </c>
    </row>
    <row r="2228">
      <c r="BX2228">
        <f>IF(OR(cMed=0,cMed2=0,2226&gt;nFilas),NA(),IF(AND(ISNUMBER(INDEX(rMed2,2226)),ISNUMBER(INDEX(rMed,2226))),INDEX(rMed2,2226),NA()))</f>
        <v>2</v>
      </c>
      <c r="BY2228">
        <f>IF(OR(cMed=0,cMed2=0,2226&gt;nFilas),NA(),IF(AND(ISNUMBER(INDEX(rMed2,2226)),ISNUMBER(INDEX(rMed,2226))),INDEX(rMed,2226),NA()))</f>
        <v>388600</v>
      </c>
    </row>
    <row r="2229">
      <c r="BX2229">
        <f>IF(OR(cMed=0,cMed2=0,2227&gt;nFilas),NA(),IF(AND(ISNUMBER(INDEX(rMed2,2227)),ISNUMBER(INDEX(rMed,2227))),INDEX(rMed2,2227),NA()))</f>
        <v>2</v>
      </c>
      <c r="BY2229">
        <f>IF(OR(cMed=0,cMed2=0,2227&gt;nFilas),NA(),IF(AND(ISNUMBER(INDEX(rMed2,2227)),ISNUMBER(INDEX(rMed,2227))),INDEX(rMed,2227),NA()))</f>
        <v>381400</v>
      </c>
    </row>
    <row r="2230">
      <c r="BX2230">
        <f>IF(OR(cMed=0,cMed2=0,2228&gt;nFilas),NA(),IF(AND(ISNUMBER(INDEX(rMed2,2228)),ISNUMBER(INDEX(rMed,2228))),INDEX(rMed2,2228),NA()))</f>
        <v>4</v>
      </c>
      <c r="BY2230">
        <f>IF(OR(cMed=0,cMed2=0,2228&gt;nFilas),NA(),IF(AND(ISNUMBER(INDEX(rMed2,2228)),ISNUMBER(INDEX(rMed,2228))),INDEX(rMed,2228),NA()))</f>
        <v>218800</v>
      </c>
    </row>
    <row r="2231">
      <c r="BX2231">
        <f>IF(OR(cMed=0,cMed2=0,2229&gt;nFilas),NA(),IF(AND(ISNUMBER(INDEX(rMed2,2229)),ISNUMBER(INDEX(rMed,2229))),INDEX(rMed2,2229),NA()))</f>
        <v>3</v>
      </c>
      <c r="BY2231">
        <f>IF(OR(cMed=0,cMed2=0,2229&gt;nFilas),NA(),IF(AND(ISNUMBER(INDEX(rMed2,2229)),ISNUMBER(INDEX(rMed,2229))),INDEX(rMed,2229),NA()))</f>
        <v>358500</v>
      </c>
    </row>
    <row r="2232">
      <c r="BX2232">
        <f>IF(OR(cMed=0,cMed2=0,2230&gt;nFilas),NA(),IF(AND(ISNUMBER(INDEX(rMed2,2230)),ISNUMBER(INDEX(rMed,2230))),INDEX(rMed2,2230),NA()))</f>
        <v>3</v>
      </c>
      <c r="BY2232">
        <f>IF(OR(cMed=0,cMed2=0,2230&gt;nFilas),NA(),IF(AND(ISNUMBER(INDEX(rMed2,2230)),ISNUMBER(INDEX(rMed,2230))),INDEX(rMed,2230),NA()))</f>
        <v>285300</v>
      </c>
    </row>
    <row r="2233">
      <c r="BX2233">
        <f>IF(OR(cMed=0,cMed2=0,2231&gt;nFilas),NA(),IF(AND(ISNUMBER(INDEX(rMed2,2231)),ISNUMBER(INDEX(rMed,2231))),INDEX(rMed2,2231),NA()))</f>
        <v>1</v>
      </c>
      <c r="BY2233">
        <f>IF(OR(cMed=0,cMed2=0,2231&gt;nFilas),NA(),IF(AND(ISNUMBER(INDEX(rMed2,2231)),ISNUMBER(INDEX(rMed,2231))),INDEX(rMed,2231),NA()))</f>
        <v>922500</v>
      </c>
    </row>
    <row r="2234">
      <c r="BX2234">
        <f>IF(OR(cMed=0,cMed2=0,2232&gt;nFilas),NA(),IF(AND(ISNUMBER(INDEX(rMed2,2232)),ISNUMBER(INDEX(rMed,2232))),INDEX(rMed2,2232),NA()))</f>
        <v>1</v>
      </c>
      <c r="BY2234">
        <f>IF(OR(cMed=0,cMed2=0,2232&gt;nFilas),NA(),IF(AND(ISNUMBER(INDEX(rMed2,2232)),ISNUMBER(INDEX(rMed,2232))),INDEX(rMed,2232),NA()))</f>
        <v>158200</v>
      </c>
    </row>
    <row r="2235">
      <c r="BX2235">
        <f>IF(OR(cMed=0,cMed2=0,2233&gt;nFilas),NA(),IF(AND(ISNUMBER(INDEX(rMed2,2233)),ISNUMBER(INDEX(rMed,2233))),INDEX(rMed2,2233),NA()))</f>
        <v>3</v>
      </c>
      <c r="BY2235">
        <f>IF(OR(cMed=0,cMed2=0,2233&gt;nFilas),NA(),IF(AND(ISNUMBER(INDEX(rMed2,2233)),ISNUMBER(INDEX(rMed,2233))),INDEX(rMed,2233),NA()))</f>
        <v>237900</v>
      </c>
    </row>
    <row r="2236">
      <c r="BX2236">
        <f>IF(OR(cMed=0,cMed2=0,2234&gt;nFilas),NA(),IF(AND(ISNUMBER(INDEX(rMed2,2234)),ISNUMBER(INDEX(rMed,2234))),INDEX(rMed2,2234),NA()))</f>
        <v>3</v>
      </c>
      <c r="BY2236">
        <f>IF(OR(cMed=0,cMed2=0,2234&gt;nFilas),NA(),IF(AND(ISNUMBER(INDEX(rMed2,2234)),ISNUMBER(INDEX(rMed,2234))),INDEX(rMed,2234),NA()))</f>
        <v>612900</v>
      </c>
    </row>
    <row r="2237">
      <c r="BX2237">
        <f>IF(OR(cMed=0,cMed2=0,2235&gt;nFilas),NA(),IF(AND(ISNUMBER(INDEX(rMed2,2235)),ISNUMBER(INDEX(rMed,2235))),INDEX(rMed2,2235),NA()))</f>
        <v>3</v>
      </c>
      <c r="BY2237">
        <f>IF(OR(cMed=0,cMed2=0,2235&gt;nFilas),NA(),IF(AND(ISNUMBER(INDEX(rMed2,2235)),ISNUMBER(INDEX(rMed,2235))),INDEX(rMed,2235),NA()))</f>
        <v>495600</v>
      </c>
    </row>
    <row r="2238">
      <c r="BX2238">
        <f>IF(OR(cMed=0,cMed2=0,2236&gt;nFilas),NA(),IF(AND(ISNUMBER(INDEX(rMed2,2236)),ISNUMBER(INDEX(rMed,2236))),INDEX(rMed2,2236),NA()))</f>
        <v>2</v>
      </c>
      <c r="BY2238">
        <f>IF(OR(cMed=0,cMed2=0,2236&gt;nFilas),NA(),IF(AND(ISNUMBER(INDEX(rMed2,2236)),ISNUMBER(INDEX(rMed,2236))),INDEX(rMed,2236),NA()))</f>
        <v>1446200</v>
      </c>
    </row>
    <row r="2239">
      <c r="BX2239">
        <f>IF(OR(cMed=0,cMed2=0,2237&gt;nFilas),NA(),IF(AND(ISNUMBER(INDEX(rMed2,2237)),ISNUMBER(INDEX(rMed,2237))),INDEX(rMed2,2237),NA()))</f>
        <v>1</v>
      </c>
      <c r="BY2239">
        <f>IF(OR(cMed=0,cMed2=0,2237&gt;nFilas),NA(),IF(AND(ISNUMBER(INDEX(rMed2,2237)),ISNUMBER(INDEX(rMed,2237))),INDEX(rMed,2237),NA()))</f>
        <v>99475</v>
      </c>
    </row>
    <row r="2240">
      <c r="BX2240">
        <f>IF(OR(cMed=0,cMed2=0,2238&gt;nFilas),NA(),IF(AND(ISNUMBER(INDEX(rMed2,2238)),ISNUMBER(INDEX(rMed,2238))),INDEX(rMed2,2238),NA()))</f>
        <v>4</v>
      </c>
      <c r="BY2240">
        <f>IF(OR(cMed=0,cMed2=0,2238&gt;nFilas),NA(),IF(AND(ISNUMBER(INDEX(rMed2,2238)),ISNUMBER(INDEX(rMed,2238))),INDEX(rMed,2238),NA()))</f>
        <v>1194620</v>
      </c>
    </row>
    <row r="2241">
      <c r="BX2241">
        <f>IF(OR(cMed=0,cMed2=0,2239&gt;nFilas),NA(),IF(AND(ISNUMBER(INDEX(rMed2,2239)),ISNUMBER(INDEX(rMed,2239))),INDEX(rMed2,2239),NA()))</f>
        <v>5</v>
      </c>
      <c r="BY2241">
        <f>IF(OR(cMed=0,cMed2=0,2239&gt;nFilas),NA(),IF(AND(ISNUMBER(INDEX(rMed2,2239)),ISNUMBER(INDEX(rMed,2239))),INDEX(rMed,2239),NA()))</f>
        <v>5187075</v>
      </c>
    </row>
    <row r="2242">
      <c r="BX2242">
        <f>IF(OR(cMed=0,cMed2=0,2240&gt;nFilas),NA(),IF(AND(ISNUMBER(INDEX(rMed2,2240)),ISNUMBER(INDEX(rMed,2240))),INDEX(rMed2,2240),NA()))</f>
        <v>2</v>
      </c>
      <c r="BY2242">
        <f>IF(OR(cMed=0,cMed2=0,2240&gt;nFilas),NA(),IF(AND(ISNUMBER(INDEX(rMed2,2240)),ISNUMBER(INDEX(rMed,2240))),INDEX(rMed,2240),NA()))</f>
        <v>175260</v>
      </c>
    </row>
    <row r="2243">
      <c r="BX2243">
        <f>IF(OR(cMed=0,cMed2=0,2241&gt;nFilas),NA(),IF(AND(ISNUMBER(INDEX(rMed2,2241)),ISNUMBER(INDEX(rMed,2241))),INDEX(rMed2,2241),NA()))</f>
        <v>5</v>
      </c>
      <c r="BY2243">
        <f>IF(OR(cMed=0,cMed2=0,2241&gt;nFilas),NA(),IF(AND(ISNUMBER(INDEX(rMed2,2241)),ISNUMBER(INDEX(rMed,2241))),INDEX(rMed,2241),NA()))</f>
        <v>488750</v>
      </c>
    </row>
    <row r="2244">
      <c r="BX2244">
        <f>IF(OR(cMed=0,cMed2=0,2242&gt;nFilas),NA(),IF(AND(ISNUMBER(INDEX(rMed2,2242)),ISNUMBER(INDEX(rMed,2242))),INDEX(rMed2,2242),NA()))</f>
        <v>2</v>
      </c>
      <c r="BY2244">
        <f>IF(OR(cMed=0,cMed2=0,2242&gt;nFilas),NA(),IF(AND(ISNUMBER(INDEX(rMed2,2242)),ISNUMBER(INDEX(rMed,2242))),INDEX(rMed,2242),NA()))</f>
        <v>2126120</v>
      </c>
    </row>
    <row r="2245">
      <c r="BX2245">
        <f>IF(OR(cMed=0,cMed2=0,2243&gt;nFilas),NA(),IF(AND(ISNUMBER(INDEX(rMed2,2243)),ISNUMBER(INDEX(rMed,2243))),INDEX(rMed2,2243),NA()))</f>
        <v>2</v>
      </c>
      <c r="BY2245">
        <f>IF(OR(cMed=0,cMed2=0,2243&gt;nFilas),NA(),IF(AND(ISNUMBER(INDEX(rMed2,2243)),ISNUMBER(INDEX(rMed,2243))),INDEX(rMed,2243),NA()))</f>
        <v>520260</v>
      </c>
    </row>
    <row r="2246">
      <c r="BX2246">
        <f>IF(OR(cMed=0,cMed2=0,2244&gt;nFilas),NA(),IF(AND(ISNUMBER(INDEX(rMed2,2244)),ISNUMBER(INDEX(rMed,2244))),INDEX(rMed2,2244),NA()))</f>
        <v>2</v>
      </c>
      <c r="BY2246">
        <f>IF(OR(cMed=0,cMed2=0,2244&gt;nFilas),NA(),IF(AND(ISNUMBER(INDEX(rMed2,2244)),ISNUMBER(INDEX(rMed,2244))),INDEX(rMed,2244),NA()))</f>
        <v>373000</v>
      </c>
    </row>
    <row r="2247">
      <c r="BX2247">
        <f>IF(OR(cMed=0,cMed2=0,2245&gt;nFilas),NA(),IF(AND(ISNUMBER(INDEX(rMed2,2245)),ISNUMBER(INDEX(rMed,2245))),INDEX(rMed2,2245),NA()))</f>
        <v>2</v>
      </c>
      <c r="BY2247">
        <f>IF(OR(cMed=0,cMed2=0,2245&gt;nFilas),NA(),IF(AND(ISNUMBER(INDEX(rMed2,2245)),ISNUMBER(INDEX(rMed,2245))),INDEX(rMed,2245),NA()))</f>
        <v>182400</v>
      </c>
    </row>
    <row r="2248">
      <c r="BX2248">
        <f>IF(OR(cMed=0,cMed2=0,2246&gt;nFilas),NA(),IF(AND(ISNUMBER(INDEX(rMed2,2246)),ISNUMBER(INDEX(rMed,2246))),INDEX(rMed2,2246),NA()))</f>
        <v>2</v>
      </c>
      <c r="BY2248">
        <f>IF(OR(cMed=0,cMed2=0,2246&gt;nFilas),NA(),IF(AND(ISNUMBER(INDEX(rMed2,2246)),ISNUMBER(INDEX(rMed,2246))),INDEX(rMed,2246),NA()))</f>
        <v>314200</v>
      </c>
    </row>
    <row r="2249">
      <c r="BX2249">
        <f>IF(OR(cMed=0,cMed2=0,2247&gt;nFilas),NA(),IF(AND(ISNUMBER(INDEX(rMed2,2247)),ISNUMBER(INDEX(rMed,2247))),INDEX(rMed2,2247),NA()))</f>
        <v>2</v>
      </c>
      <c r="BY2249">
        <f>IF(OR(cMed=0,cMed2=0,2247&gt;nFilas),NA(),IF(AND(ISNUMBER(INDEX(rMed2,2247)),ISNUMBER(INDEX(rMed,2247))),INDEX(rMed,2247),NA()))</f>
        <v>544200</v>
      </c>
    </row>
    <row r="2250">
      <c r="BX2250">
        <f>IF(OR(cMed=0,cMed2=0,2248&gt;nFilas),NA(),IF(AND(ISNUMBER(INDEX(rMed2,2248)),ISNUMBER(INDEX(rMed,2248))),INDEX(rMed2,2248),NA()))</f>
        <v>5</v>
      </c>
      <c r="BY2250">
        <f>IF(OR(cMed=0,cMed2=0,2248&gt;nFilas),NA(),IF(AND(ISNUMBER(INDEX(rMed2,2248)),ISNUMBER(INDEX(rMed,2248))),INDEX(rMed,2248),NA()))</f>
        <v>427000</v>
      </c>
    </row>
    <row r="2251">
      <c r="BX2251">
        <f>IF(OR(cMed=0,cMed2=0,2249&gt;nFilas),NA(),IF(AND(ISNUMBER(INDEX(rMed2,2249)),ISNUMBER(INDEX(rMed,2249))),INDEX(rMed2,2249),NA()))</f>
        <v>5</v>
      </c>
      <c r="BY2251">
        <f>IF(OR(cMed=0,cMed2=0,2249&gt;nFilas),NA(),IF(AND(ISNUMBER(INDEX(rMed2,2249)),ISNUMBER(INDEX(rMed,2249))),INDEX(rMed,2249),NA()))</f>
        <v>612500</v>
      </c>
    </row>
    <row r="2252">
      <c r="BX2252">
        <f>IF(OR(cMed=0,cMed2=0,2250&gt;nFilas),NA(),IF(AND(ISNUMBER(INDEX(rMed2,2250)),ISNUMBER(INDEX(rMed,2250))),INDEX(rMed2,2250),NA()))</f>
        <v>5</v>
      </c>
      <c r="BY2252">
        <f>IF(OR(cMed=0,cMed2=0,2250&gt;nFilas),NA(),IF(AND(ISNUMBER(INDEX(rMed2,2250)),ISNUMBER(INDEX(rMed,2250))),INDEX(rMed,2250),NA()))</f>
        <v>4316500</v>
      </c>
    </row>
    <row r="2253">
      <c r="BX2253">
        <f>IF(OR(cMed=0,cMed2=0,2251&gt;nFilas),NA(),IF(AND(ISNUMBER(INDEX(rMed2,2251)),ISNUMBER(INDEX(rMed,2251))),INDEX(rMed2,2251),NA()))</f>
        <v>3</v>
      </c>
      <c r="BY2253">
        <f>IF(OR(cMed=0,cMed2=0,2251&gt;nFilas),NA(),IF(AND(ISNUMBER(INDEX(rMed2,2251)),ISNUMBER(INDEX(rMed,2251))),INDEX(rMed,2251),NA()))</f>
        <v>510300</v>
      </c>
    </row>
    <row r="2254">
      <c r="BX2254">
        <f>IF(OR(cMed=0,cMed2=0,2252&gt;nFilas),NA(),IF(AND(ISNUMBER(INDEX(rMed2,2252)),ISNUMBER(INDEX(rMed,2252))),INDEX(rMed2,2252),NA()))</f>
        <v>4</v>
      </c>
      <c r="BY2254">
        <f>IF(OR(cMed=0,cMed2=0,2252&gt;nFilas),NA(),IF(AND(ISNUMBER(INDEX(rMed2,2252)),ISNUMBER(INDEX(rMed,2252))),INDEX(rMed,2252),NA()))</f>
        <v>482400</v>
      </c>
    </row>
    <row r="2255">
      <c r="BX2255">
        <f>IF(OR(cMed=0,cMed2=0,2253&gt;nFilas),NA(),IF(AND(ISNUMBER(INDEX(rMed2,2253)),ISNUMBER(INDEX(rMed,2253))),INDEX(rMed2,2253),NA()))</f>
        <v>2</v>
      </c>
      <c r="BY2255">
        <f>IF(OR(cMed=0,cMed2=0,2253&gt;nFilas),NA(),IF(AND(ISNUMBER(INDEX(rMed2,2253)),ISNUMBER(INDEX(rMed,2253))),INDEX(rMed,2253),NA()))</f>
        <v>389600</v>
      </c>
    </row>
    <row r="2256">
      <c r="BX2256">
        <f>IF(OR(cMed=0,cMed2=0,2254&gt;nFilas),NA(),IF(AND(ISNUMBER(INDEX(rMed2,2254)),ISNUMBER(INDEX(rMed,2254))),INDEX(rMed2,2254),NA()))</f>
        <v>5</v>
      </c>
      <c r="BY2256">
        <f>IF(OR(cMed=0,cMed2=0,2254&gt;nFilas),NA(),IF(AND(ISNUMBER(INDEX(rMed2,2254)),ISNUMBER(INDEX(rMed,2254))),INDEX(rMed,2254),NA()))</f>
        <v>719325</v>
      </c>
    </row>
    <row r="2257">
      <c r="BX2257">
        <f>IF(OR(cMed=0,cMed2=0,2255&gt;nFilas),NA(),IF(AND(ISNUMBER(INDEX(rMed2,2255)),ISNUMBER(INDEX(rMed,2255))),INDEX(rMed2,2255),NA()))</f>
        <v>5</v>
      </c>
      <c r="BY2257">
        <f>IF(OR(cMed=0,cMed2=0,2255&gt;nFilas),NA(),IF(AND(ISNUMBER(INDEX(rMed2,2255)),ISNUMBER(INDEX(rMed,2255))),INDEX(rMed,2255),NA()))</f>
        <v>1175875</v>
      </c>
    </row>
    <row r="2258">
      <c r="BX2258">
        <f>IF(OR(cMed=0,cMed2=0,2256&gt;nFilas),NA(),IF(AND(ISNUMBER(INDEX(rMed2,2256)),ISNUMBER(INDEX(rMed,2256))),INDEX(rMed2,2256),NA()))</f>
        <v>5</v>
      </c>
      <c r="BY2258">
        <f>IF(OR(cMed=0,cMed2=0,2256&gt;nFilas),NA(),IF(AND(ISNUMBER(INDEX(rMed2,2256)),ISNUMBER(INDEX(rMed,2256))),INDEX(rMed,2256),NA()))</f>
        <v>305900</v>
      </c>
    </row>
    <row r="2259">
      <c r="BX2259">
        <f>IF(OR(cMed=0,cMed2=0,2257&gt;nFilas),NA(),IF(AND(ISNUMBER(INDEX(rMed2,2257)),ISNUMBER(INDEX(rMed,2257))),INDEX(rMed2,2257),NA()))</f>
        <v>4</v>
      </c>
      <c r="BY2259">
        <f>IF(OR(cMed=0,cMed2=0,2257&gt;nFilas),NA(),IF(AND(ISNUMBER(INDEX(rMed2,2257)),ISNUMBER(INDEX(rMed,2257))),INDEX(rMed,2257),NA()))</f>
        <v>572700</v>
      </c>
    </row>
    <row r="2260">
      <c r="BX2260">
        <f>IF(OR(cMed=0,cMed2=0,2258&gt;nFilas),NA(),IF(AND(ISNUMBER(INDEX(rMed2,2258)),ISNUMBER(INDEX(rMed,2258))),INDEX(rMed2,2258),NA()))</f>
        <v>3</v>
      </c>
      <c r="BY2260">
        <f>IF(OR(cMed=0,cMed2=0,2258&gt;nFilas),NA(),IF(AND(ISNUMBER(INDEX(rMed2,2258)),ISNUMBER(INDEX(rMed,2258))),INDEX(rMed,2258),NA()))</f>
        <v>535785</v>
      </c>
    </row>
    <row r="2261">
      <c r="BX2261">
        <f>IF(OR(cMed=0,cMed2=0,2259&gt;nFilas),NA(),IF(AND(ISNUMBER(INDEX(rMed2,2259)),ISNUMBER(INDEX(rMed,2259))),INDEX(rMed2,2259),NA()))</f>
        <v>4</v>
      </c>
      <c r="BY2261">
        <f>IF(OR(cMed=0,cMed2=0,2259&gt;nFilas),NA(),IF(AND(ISNUMBER(INDEX(rMed2,2259)),ISNUMBER(INDEX(rMed,2259))),INDEX(rMed,2259),NA()))</f>
        <v>361100</v>
      </c>
    </row>
    <row r="2262">
      <c r="BX2262">
        <f>IF(OR(cMed=0,cMed2=0,2260&gt;nFilas),NA(),IF(AND(ISNUMBER(INDEX(rMed2,2260)),ISNUMBER(INDEX(rMed,2260))),INDEX(rMed2,2260),NA()))</f>
        <v>1</v>
      </c>
      <c r="BY2262">
        <f>IF(OR(cMed=0,cMed2=0,2260&gt;nFilas),NA(),IF(AND(ISNUMBER(INDEX(rMed2,2260)),ISNUMBER(INDEX(rMed,2260))),INDEX(rMed,2260),NA()))</f>
        <v>178595</v>
      </c>
    </row>
    <row r="2263">
      <c r="BX2263">
        <f>IF(OR(cMed=0,cMed2=0,2261&gt;nFilas),NA(),IF(AND(ISNUMBER(INDEX(rMed2,2261)),ISNUMBER(INDEX(rMed,2261))),INDEX(rMed2,2261),NA()))</f>
        <v>3</v>
      </c>
      <c r="BY2263">
        <f>IF(OR(cMed=0,cMed2=0,2261&gt;nFilas),NA(),IF(AND(ISNUMBER(INDEX(rMed2,2261)),ISNUMBER(INDEX(rMed,2261))),INDEX(rMed,2261),NA()))</f>
        <v>231840</v>
      </c>
    </row>
    <row r="2264">
      <c r="BX2264">
        <f>IF(OR(cMed=0,cMed2=0,2262&gt;nFilas),NA(),IF(AND(ISNUMBER(INDEX(rMed2,2262)),ISNUMBER(INDEX(rMed,2262))),INDEX(rMed2,2262),NA()))</f>
        <v>1</v>
      </c>
      <c r="BY2264">
        <f>IF(OR(cMed=0,cMed2=0,2262&gt;nFilas),NA(),IF(AND(ISNUMBER(INDEX(rMed2,2262)),ISNUMBER(INDEX(rMed,2262))),INDEX(rMed,2262),NA()))</f>
        <v>805115</v>
      </c>
    </row>
    <row r="2265">
      <c r="BX2265">
        <f>IF(OR(cMed=0,cMed2=0,2263&gt;nFilas),NA(),IF(AND(ISNUMBER(INDEX(rMed2,2263)),ISNUMBER(INDEX(rMed,2263))),INDEX(rMed2,2263),NA()))</f>
        <v>2</v>
      </c>
      <c r="BY2265">
        <f>IF(OR(cMed=0,cMed2=0,2263&gt;nFilas),NA(),IF(AND(ISNUMBER(INDEX(rMed2,2263)),ISNUMBER(INDEX(rMed,2263))),INDEX(rMed,2263),NA()))</f>
        <v>2054820</v>
      </c>
    </row>
    <row r="2266">
      <c r="BX2266">
        <f>IF(OR(cMed=0,cMed2=0,2264&gt;nFilas),NA(),IF(AND(ISNUMBER(INDEX(rMed2,2264)),ISNUMBER(INDEX(rMed,2264))),INDEX(rMed2,2264),NA()))</f>
        <v>4</v>
      </c>
      <c r="BY2266">
        <f>IF(OR(cMed=0,cMed2=0,2264&gt;nFilas),NA(),IF(AND(ISNUMBER(INDEX(rMed2,2264)),ISNUMBER(INDEX(rMed,2264))),INDEX(rMed,2264),NA()))</f>
        <v>1220840</v>
      </c>
    </row>
    <row r="2267">
      <c r="BX2267">
        <f>IF(OR(cMed=0,cMed2=0,2265&gt;nFilas),NA(),IF(AND(ISNUMBER(INDEX(rMed2,2265)),ISNUMBER(INDEX(rMed,2265))),INDEX(rMed2,2265),NA()))</f>
        <v>3</v>
      </c>
      <c r="BY2267">
        <f>IF(OR(cMed=0,cMed2=0,2265&gt;nFilas),NA(),IF(AND(ISNUMBER(INDEX(rMed2,2265)),ISNUMBER(INDEX(rMed,2265))),INDEX(rMed,2265),NA()))</f>
        <v>252885</v>
      </c>
    </row>
    <row r="2268">
      <c r="BX2268">
        <f>IF(OR(cMed=0,cMed2=0,2266&gt;nFilas),NA(),IF(AND(ISNUMBER(INDEX(rMed2,2266)),ISNUMBER(INDEX(rMed,2266))),INDEX(rMed2,2266),NA()))</f>
        <v>4</v>
      </c>
      <c r="BY2268">
        <f>IF(OR(cMed=0,cMed2=0,2266&gt;nFilas),NA(),IF(AND(ISNUMBER(INDEX(rMed2,2266)),ISNUMBER(INDEX(rMed,2266))),INDEX(rMed,2266),NA()))</f>
        <v>896080</v>
      </c>
    </row>
    <row r="2269">
      <c r="BX2269">
        <f>IF(OR(cMed=0,cMed2=0,2267&gt;nFilas),NA(),IF(AND(ISNUMBER(INDEX(rMed2,2267)),ISNUMBER(INDEX(rMed,2267))),INDEX(rMed2,2267),NA()))</f>
        <v>1</v>
      </c>
      <c r="BY2269">
        <f>IF(OR(cMed=0,cMed2=0,2267&gt;nFilas),NA(),IF(AND(ISNUMBER(INDEX(rMed2,2267)),ISNUMBER(INDEX(rMed,2267))),INDEX(rMed,2267),NA()))</f>
        <v>285545</v>
      </c>
    </row>
    <row r="2270">
      <c r="BX2270">
        <f>IF(OR(cMed=0,cMed2=0,2268&gt;nFilas),NA(),IF(AND(ISNUMBER(INDEX(rMed2,2268)),ISNUMBER(INDEX(rMed,2268))),INDEX(rMed2,2268),NA()))</f>
        <v>1</v>
      </c>
      <c r="BY2270">
        <f>IF(OR(cMed=0,cMed2=0,2268&gt;nFilas),NA(),IF(AND(ISNUMBER(INDEX(rMed2,2268)),ISNUMBER(INDEX(rMed,2268))),INDEX(rMed,2268),NA()))</f>
        <v>197915</v>
      </c>
    </row>
    <row r="2271">
      <c r="BX2271">
        <f>IF(OR(cMed=0,cMed2=0,2269&gt;nFilas),NA(),IF(AND(ISNUMBER(INDEX(rMed2,2269)),ISNUMBER(INDEX(rMed,2269))),INDEX(rMed2,2269),NA()))</f>
        <v>5</v>
      </c>
      <c r="BY2271">
        <f>IF(OR(cMed=0,cMed2=0,2269&gt;nFilas),NA(),IF(AND(ISNUMBER(INDEX(rMed2,2269)),ISNUMBER(INDEX(rMed,2269))),INDEX(rMed,2269),NA()))</f>
        <v>725500</v>
      </c>
    </row>
    <row r="2272">
      <c r="BX2272">
        <f>IF(OR(cMed=0,cMed2=0,2270&gt;nFilas),NA(),IF(AND(ISNUMBER(INDEX(rMed2,2270)),ISNUMBER(INDEX(rMed,2270))),INDEX(rMed2,2270),NA()))</f>
        <v>2</v>
      </c>
      <c r="BY2272">
        <f>IF(OR(cMed=0,cMed2=0,2270&gt;nFilas),NA(),IF(AND(ISNUMBER(INDEX(rMed2,2270)),ISNUMBER(INDEX(rMed,2270))),INDEX(rMed,2270),NA()))</f>
        <v>114200</v>
      </c>
    </row>
    <row r="2273">
      <c r="BX2273">
        <f>IF(OR(cMed=0,cMed2=0,2271&gt;nFilas),NA(),IF(AND(ISNUMBER(INDEX(rMed2,2271)),ISNUMBER(INDEX(rMed,2271))),INDEX(rMed2,2271),NA()))</f>
        <v>5</v>
      </c>
      <c r="BY2273">
        <f>IF(OR(cMed=0,cMed2=0,2271&gt;nFilas),NA(),IF(AND(ISNUMBER(INDEX(rMed2,2271)),ISNUMBER(INDEX(rMed,2271))),INDEX(rMed,2271),NA()))</f>
        <v>918000</v>
      </c>
    </row>
    <row r="2274">
      <c r="BX2274">
        <f>IF(OR(cMed=0,cMed2=0,2272&gt;nFilas),NA(),IF(AND(ISNUMBER(INDEX(rMed2,2272)),ISNUMBER(INDEX(rMed,2272))),INDEX(rMed2,2272),NA()))</f>
        <v>4</v>
      </c>
      <c r="BY2274">
        <f>IF(OR(cMed=0,cMed2=0,2272&gt;nFilas),NA(),IF(AND(ISNUMBER(INDEX(rMed2,2272)),ISNUMBER(INDEX(rMed,2272))),INDEX(rMed,2272),NA()))</f>
        <v>568000</v>
      </c>
    </row>
    <row r="2275">
      <c r="BX2275">
        <f>IF(OR(cMed=0,cMed2=0,2273&gt;nFilas),NA(),IF(AND(ISNUMBER(INDEX(rMed2,2273)),ISNUMBER(INDEX(rMed,2273))),INDEX(rMed2,2273),NA()))</f>
        <v>1</v>
      </c>
      <c r="BY2275">
        <f>IF(OR(cMed=0,cMed2=0,2273&gt;nFilas),NA(),IF(AND(ISNUMBER(INDEX(rMed2,2273)),ISNUMBER(INDEX(rMed,2273))),INDEX(rMed,2273),NA()))</f>
        <v>180400</v>
      </c>
    </row>
    <row r="2276">
      <c r="BX2276">
        <f>IF(OR(cMed=0,cMed2=0,2274&gt;nFilas),NA(),IF(AND(ISNUMBER(INDEX(rMed2,2274)),ISNUMBER(INDEX(rMed,2274))),INDEX(rMed2,2274),NA()))</f>
        <v>3</v>
      </c>
      <c r="BY2276">
        <f>IF(OR(cMed=0,cMed2=0,2274&gt;nFilas),NA(),IF(AND(ISNUMBER(INDEX(rMed2,2274)),ISNUMBER(INDEX(rMed,2274))),INDEX(rMed,2274),NA()))</f>
        <v>394800</v>
      </c>
    </row>
    <row r="2277">
      <c r="BX2277">
        <f>IF(OR(cMed=0,cMed2=0,2275&gt;nFilas),NA(),IF(AND(ISNUMBER(INDEX(rMed2,2275)),ISNUMBER(INDEX(rMed,2275))),INDEX(rMed2,2275),NA()))</f>
        <v>3</v>
      </c>
      <c r="BY2277">
        <f>IF(OR(cMed=0,cMed2=0,2275&gt;nFilas),NA(),IF(AND(ISNUMBER(INDEX(rMed2,2275)),ISNUMBER(INDEX(rMed,2275))),INDEX(rMed,2275),NA()))</f>
        <v>264900</v>
      </c>
    </row>
    <row r="2278">
      <c r="BX2278">
        <f>IF(OR(cMed=0,cMed2=0,2276&gt;nFilas),NA(),IF(AND(ISNUMBER(INDEX(rMed2,2276)),ISNUMBER(INDEX(rMed,2276))),INDEX(rMed2,2276),NA()))</f>
        <v>3</v>
      </c>
      <c r="BY2278">
        <f>IF(OR(cMed=0,cMed2=0,2276&gt;nFilas),NA(),IF(AND(ISNUMBER(INDEX(rMed2,2276)),ISNUMBER(INDEX(rMed,2276))),INDEX(rMed,2276),NA()))</f>
        <v>524100</v>
      </c>
    </row>
    <row r="2279">
      <c r="BX2279">
        <f>IF(OR(cMed=0,cMed2=0,2277&gt;nFilas),NA(),IF(AND(ISNUMBER(INDEX(rMed2,2277)),ISNUMBER(INDEX(rMed,2277))),INDEX(rMed2,2277),NA()))</f>
        <v>4</v>
      </c>
      <c r="BY2279">
        <f>IF(OR(cMed=0,cMed2=0,2277&gt;nFilas),NA(),IF(AND(ISNUMBER(INDEX(rMed2,2277)),ISNUMBER(INDEX(rMed,2277))),INDEX(rMed,2277),NA()))</f>
        <v>505200</v>
      </c>
    </row>
    <row r="2280">
      <c r="BX2280">
        <f>IF(OR(cMed=0,cMed2=0,2278&gt;nFilas),NA(),IF(AND(ISNUMBER(INDEX(rMed2,2278)),ISNUMBER(INDEX(rMed,2278))),INDEX(rMed2,2278),NA()))</f>
        <v>5</v>
      </c>
      <c r="BY2280">
        <f>IF(OR(cMed=0,cMed2=0,2278&gt;nFilas),NA(),IF(AND(ISNUMBER(INDEX(rMed2,2278)),ISNUMBER(INDEX(rMed,2278))),INDEX(rMed,2278),NA()))</f>
        <v>765000</v>
      </c>
    </row>
    <row r="2281">
      <c r="BX2281">
        <f>IF(OR(cMed=0,cMed2=0,2279&gt;nFilas),NA(),IF(AND(ISNUMBER(INDEX(rMed2,2279)),ISNUMBER(INDEX(rMed,2279))),INDEX(rMed2,2279),NA()))</f>
        <v>2</v>
      </c>
      <c r="BY2281">
        <f>IF(OR(cMed=0,cMed2=0,2279&gt;nFilas),NA(),IF(AND(ISNUMBER(INDEX(rMed2,2279)),ISNUMBER(INDEX(rMed,2279))),INDEX(rMed,2279),NA()))</f>
        <v>404800</v>
      </c>
    </row>
    <row r="2282">
      <c r="BX2282">
        <f>IF(OR(cMed=0,cMed2=0,2280&gt;nFilas),NA(),IF(AND(ISNUMBER(INDEX(rMed2,2280)),ISNUMBER(INDEX(rMed,2280))),INDEX(rMed2,2280),NA()))</f>
        <v>3</v>
      </c>
      <c r="BY2282">
        <f>IF(OR(cMed=0,cMed2=0,2280&gt;nFilas),NA(),IF(AND(ISNUMBER(INDEX(rMed2,2280)),ISNUMBER(INDEX(rMed,2280))),INDEX(rMed,2280),NA()))</f>
        <v>196200</v>
      </c>
    </row>
    <row r="2283">
      <c r="BX2283">
        <f>IF(OR(cMed=0,cMed2=0,2281&gt;nFilas),NA(),IF(AND(ISNUMBER(INDEX(rMed2,2281)),ISNUMBER(INDEX(rMed,2281))),INDEX(rMed2,2281),NA()))</f>
        <v>3</v>
      </c>
      <c r="BY2283">
        <f>IF(OR(cMed=0,cMed2=0,2281&gt;nFilas),NA(),IF(AND(ISNUMBER(INDEX(rMed2,2281)),ISNUMBER(INDEX(rMed,2281))),INDEX(rMed,2281),NA()))</f>
        <v>1921500</v>
      </c>
    </row>
    <row r="2284">
      <c r="BX2284">
        <f>IF(OR(cMed=0,cMed2=0,2282&gt;nFilas),NA(),IF(AND(ISNUMBER(INDEX(rMed2,2282)),ISNUMBER(INDEX(rMed,2282))),INDEX(rMed2,2282),NA()))</f>
        <v>5</v>
      </c>
      <c r="BY2284">
        <f>IF(OR(cMed=0,cMed2=0,2282&gt;nFilas),NA(),IF(AND(ISNUMBER(INDEX(rMed2,2282)),ISNUMBER(INDEX(rMed,2282))),INDEX(rMed,2282),NA()))</f>
        <v>824500</v>
      </c>
    </row>
    <row r="2285">
      <c r="BX2285">
        <f>IF(OR(cMed=0,cMed2=0,2283&gt;nFilas),NA(),IF(AND(ISNUMBER(INDEX(rMed2,2283)),ISNUMBER(INDEX(rMed,2283))),INDEX(rMed2,2283),NA()))</f>
        <v>4</v>
      </c>
      <c r="BY2285">
        <f>IF(OR(cMed=0,cMed2=0,2283&gt;nFilas),NA(),IF(AND(ISNUMBER(INDEX(rMed2,2283)),ISNUMBER(INDEX(rMed,2283))),INDEX(rMed,2283),NA()))</f>
        <v>3719200</v>
      </c>
    </row>
    <row r="2286">
      <c r="BX2286">
        <f>IF(OR(cMed=0,cMed2=0,2284&gt;nFilas),NA(),IF(AND(ISNUMBER(INDEX(rMed2,2284)),ISNUMBER(INDEX(rMed,2284))),INDEX(rMed2,2284),NA()))</f>
        <v>1</v>
      </c>
      <c r="BY2286">
        <f>IF(OR(cMed=0,cMed2=0,2284&gt;nFilas),NA(),IF(AND(ISNUMBER(INDEX(rMed2,2284)),ISNUMBER(INDEX(rMed,2284))),INDEX(rMed,2284),NA()))</f>
        <v>112500</v>
      </c>
    </row>
    <row r="2287">
      <c r="BX2287">
        <f>IF(OR(cMed=0,cMed2=0,2285&gt;nFilas),NA(),IF(AND(ISNUMBER(INDEX(rMed2,2285)),ISNUMBER(INDEX(rMed,2285))),INDEX(rMed2,2285),NA()))</f>
        <v>3</v>
      </c>
      <c r="BY2287">
        <f>IF(OR(cMed=0,cMed2=0,2285&gt;nFilas),NA(),IF(AND(ISNUMBER(INDEX(rMed2,2285)),ISNUMBER(INDEX(rMed,2285))),INDEX(rMed,2285),NA()))</f>
        <v>251100</v>
      </c>
    </row>
    <row r="2288">
      <c r="BX2288">
        <f>IF(OR(cMed=0,cMed2=0,2286&gt;nFilas),NA(),IF(AND(ISNUMBER(INDEX(rMed2,2286)),ISNUMBER(INDEX(rMed,2286))),INDEX(rMed2,2286),NA()))</f>
        <v>1</v>
      </c>
      <c r="BY2288">
        <f>IF(OR(cMed=0,cMed2=0,2286&gt;nFilas),NA(),IF(AND(ISNUMBER(INDEX(rMed2,2286)),ISNUMBER(INDEX(rMed,2286))),INDEX(rMed,2286),NA()))</f>
        <v>74500</v>
      </c>
    </row>
    <row r="2289">
      <c r="BX2289">
        <f>IF(OR(cMed=0,cMed2=0,2287&gt;nFilas),NA(),IF(AND(ISNUMBER(INDEX(rMed2,2287)),ISNUMBER(INDEX(rMed,2287))),INDEX(rMed2,2287),NA()))</f>
        <v>1</v>
      </c>
      <c r="BY2289">
        <f>IF(OR(cMed=0,cMed2=0,2287&gt;nFilas),NA(),IF(AND(ISNUMBER(INDEX(rMed2,2287)),ISNUMBER(INDEX(rMed,2287))),INDEX(rMed,2287),NA()))</f>
        <v>74700</v>
      </c>
    </row>
    <row r="2290">
      <c r="BX2290">
        <f>IF(OR(cMed=0,cMed2=0,2288&gt;nFilas),NA(),IF(AND(ISNUMBER(INDEX(rMed2,2288)),ISNUMBER(INDEX(rMed,2288))),INDEX(rMed2,2288),NA()))</f>
        <v>2</v>
      </c>
      <c r="BY2290">
        <f>IF(OR(cMed=0,cMed2=0,2288&gt;nFilas),NA(),IF(AND(ISNUMBER(INDEX(rMed2,2288)),ISNUMBER(INDEX(rMed,2288))),INDEX(rMed,2288),NA()))</f>
        <v>198200</v>
      </c>
    </row>
    <row r="2291">
      <c r="BX2291">
        <f>IF(OR(cMed=0,cMed2=0,2289&gt;nFilas),NA(),IF(AND(ISNUMBER(INDEX(rMed2,2289)),ISNUMBER(INDEX(rMed,2289))),INDEX(rMed2,2289),NA()))</f>
        <v>4</v>
      </c>
      <c r="BY2291">
        <f>IF(OR(cMed=0,cMed2=0,2289&gt;nFilas),NA(),IF(AND(ISNUMBER(INDEX(rMed2,2289)),ISNUMBER(INDEX(rMed,2289))),INDEX(rMed,2289),NA()))</f>
        <v>318320</v>
      </c>
    </row>
    <row r="2292">
      <c r="BX2292">
        <f>IF(OR(cMed=0,cMed2=0,2290&gt;nFilas),NA(),IF(AND(ISNUMBER(INDEX(rMed2,2290)),ISNUMBER(INDEX(rMed,2290))),INDEX(rMed2,2290),NA()))</f>
        <v>2</v>
      </c>
      <c r="BY2292">
        <f>IF(OR(cMed=0,cMed2=0,2290&gt;nFilas),NA(),IF(AND(ISNUMBER(INDEX(rMed2,2290)),ISNUMBER(INDEX(rMed,2290))),INDEX(rMed,2290),NA()))</f>
        <v>509450</v>
      </c>
    </row>
    <row r="2293">
      <c r="BX2293">
        <f>IF(OR(cMed=0,cMed2=0,2291&gt;nFilas),NA(),IF(AND(ISNUMBER(INDEX(rMed2,2291)),ISNUMBER(INDEX(rMed,2291))),INDEX(rMed2,2291),NA()))</f>
        <v>5</v>
      </c>
      <c r="BY2293">
        <f>IF(OR(cMed=0,cMed2=0,2291&gt;nFilas),NA(),IF(AND(ISNUMBER(INDEX(rMed2,2291)),ISNUMBER(INDEX(rMed,2291))),INDEX(rMed,2291),NA()))</f>
        <v>296125</v>
      </c>
    </row>
    <row r="2294">
      <c r="BX2294">
        <f>IF(OR(cMed=0,cMed2=0,2292&gt;nFilas),NA(),IF(AND(ISNUMBER(INDEX(rMed2,2292)),ISNUMBER(INDEX(rMed,2292))),INDEX(rMed2,2292),NA()))</f>
        <v>5</v>
      </c>
      <c r="BY2294">
        <f>IF(OR(cMed=0,cMed2=0,2292&gt;nFilas),NA(),IF(AND(ISNUMBER(INDEX(rMed2,2292)),ISNUMBER(INDEX(rMed,2292))),INDEX(rMed,2292),NA()))</f>
        <v>4505700</v>
      </c>
    </row>
    <row r="2295">
      <c r="BX2295">
        <f>IF(OR(cMed=0,cMed2=0,2293&gt;nFilas),NA(),IF(AND(ISNUMBER(INDEX(rMed2,2293)),ISNUMBER(INDEX(rMed,2293))),INDEX(rMed2,2293),NA()))</f>
        <v>1</v>
      </c>
      <c r="BY2295">
        <f>IF(OR(cMed=0,cMed2=0,2293&gt;nFilas),NA(),IF(AND(ISNUMBER(INDEX(rMed2,2293)),ISNUMBER(INDEX(rMed,2293))),INDEX(rMed,2293),NA()))</f>
        <v>179285</v>
      </c>
    </row>
    <row r="2296">
      <c r="BX2296">
        <f>IF(OR(cMed=0,cMed2=0,2294&gt;nFilas),NA(),IF(AND(ISNUMBER(INDEX(rMed2,2294)),ISNUMBER(INDEX(rMed,2294))),INDEX(rMed2,2294),NA()))</f>
        <v>1</v>
      </c>
      <c r="BY2296">
        <f>IF(OR(cMed=0,cMed2=0,2294&gt;nFilas),NA(),IF(AND(ISNUMBER(INDEX(rMed2,2294)),ISNUMBER(INDEX(rMed,2294))),INDEX(rMed,2294),NA()))</f>
        <v>262775</v>
      </c>
    </row>
    <row r="2297">
      <c r="BX2297">
        <f>IF(OR(cMed=0,cMed2=0,2295&gt;nFilas),NA(),IF(AND(ISNUMBER(INDEX(rMed2,2295)),ISNUMBER(INDEX(rMed,2295))),INDEX(rMed2,2295),NA()))</f>
        <v>1</v>
      </c>
      <c r="BY2297">
        <f>IF(OR(cMed=0,cMed2=0,2295&gt;nFilas),NA(),IF(AND(ISNUMBER(INDEX(rMed2,2295)),ISNUMBER(INDEX(rMed,2295))),INDEX(rMed,2295),NA()))</f>
        <v>73140</v>
      </c>
    </row>
    <row r="2298">
      <c r="BX2298">
        <f>IF(OR(cMed=0,cMed2=0,2296&gt;nFilas),NA(),IF(AND(ISNUMBER(INDEX(rMed2,2296)),ISNUMBER(INDEX(rMed,2296))),INDEX(rMed2,2296),NA()))</f>
        <v>4</v>
      </c>
      <c r="BY2298">
        <f>IF(OR(cMed=0,cMed2=0,2296&gt;nFilas),NA(),IF(AND(ISNUMBER(INDEX(rMed2,2296)),ISNUMBER(INDEX(rMed,2296))),INDEX(rMed,2296),NA()))</f>
        <v>321540</v>
      </c>
    </row>
    <row r="2299">
      <c r="BX2299">
        <f>IF(OR(cMed=0,cMed2=0,2297&gt;nFilas),NA(),IF(AND(ISNUMBER(INDEX(rMed2,2297)),ISNUMBER(INDEX(rMed,2297))),INDEX(rMed2,2297),NA()))</f>
        <v>4</v>
      </c>
      <c r="BY2299">
        <f>IF(OR(cMed=0,cMed2=0,2297&gt;nFilas),NA(),IF(AND(ISNUMBER(INDEX(rMed2,2297)),ISNUMBER(INDEX(rMed,2297))),INDEX(rMed,2297),NA()))</f>
        <v>330740</v>
      </c>
    </row>
    <row r="2300">
      <c r="BX2300">
        <f>IF(OR(cMed=0,cMed2=0,2298&gt;nFilas),NA(),IF(AND(ISNUMBER(INDEX(rMed2,2298)),ISNUMBER(INDEX(rMed,2298))),INDEX(rMed2,2298),NA()))</f>
        <v>4</v>
      </c>
      <c r="BY2300">
        <f>IF(OR(cMed=0,cMed2=0,2298&gt;nFilas),NA(),IF(AND(ISNUMBER(INDEX(rMed2,2298)),ISNUMBER(INDEX(rMed,2298))),INDEX(rMed,2298),NA()))</f>
        <v>431940</v>
      </c>
    </row>
    <row r="2301">
      <c r="BX2301">
        <f>IF(OR(cMed=0,cMed2=0,2299&gt;nFilas),NA(),IF(AND(ISNUMBER(INDEX(rMed2,2299)),ISNUMBER(INDEX(rMed,2299))),INDEX(rMed2,2299),NA()))</f>
        <v>2</v>
      </c>
      <c r="BY2301">
        <f>IF(OR(cMed=0,cMed2=0,2299&gt;nFilas),NA(),IF(AND(ISNUMBER(INDEX(rMed2,2299)),ISNUMBER(INDEX(rMed,2299))),INDEX(rMed,2299),NA()))</f>
        <v>283130</v>
      </c>
    </row>
    <row r="2302">
      <c r="BX2302">
        <f>IF(OR(cMed=0,cMed2=0,2300&gt;nFilas),NA(),IF(AND(ISNUMBER(INDEX(rMed2,2300)),ISNUMBER(INDEX(rMed,2300))),INDEX(rMed2,2300),NA()))</f>
        <v>2</v>
      </c>
      <c r="BY2302">
        <f>IF(OR(cMed=0,cMed2=0,2300&gt;nFilas),NA(),IF(AND(ISNUMBER(INDEX(rMed2,2300)),ISNUMBER(INDEX(rMed,2300))),INDEX(rMed,2300),NA()))</f>
        <v>373060</v>
      </c>
    </row>
    <row r="2303">
      <c r="BX2303">
        <f>IF(OR(cMed=0,cMed2=0,2301&gt;nFilas),NA(),IF(AND(ISNUMBER(INDEX(rMed2,2301)),ISNUMBER(INDEX(rMed,2301))),INDEX(rMed2,2301),NA()))</f>
        <v>3</v>
      </c>
      <c r="BY2303">
        <f>IF(OR(cMed=0,cMed2=0,2301&gt;nFilas),NA(),IF(AND(ISNUMBER(INDEX(rMed2,2301)),ISNUMBER(INDEX(rMed,2301))),INDEX(rMed,2301),NA()))</f>
        <v>2378700</v>
      </c>
    </row>
    <row r="2304">
      <c r="BX2304">
        <f>IF(OR(cMed=0,cMed2=0,2302&gt;nFilas),NA(),IF(AND(ISNUMBER(INDEX(rMed2,2302)),ISNUMBER(INDEX(rMed,2302))),INDEX(rMed2,2302),NA()))</f>
        <v>3</v>
      </c>
      <c r="BY2304">
        <f>IF(OR(cMed=0,cMed2=0,2302&gt;nFilas),NA(),IF(AND(ISNUMBER(INDEX(rMed2,2302)),ISNUMBER(INDEX(rMed,2302))),INDEX(rMed,2302),NA()))</f>
        <v>732600</v>
      </c>
    </row>
    <row r="2305">
      <c r="BX2305">
        <f>IF(OR(cMed=0,cMed2=0,2303&gt;nFilas),NA(),IF(AND(ISNUMBER(INDEX(rMed2,2303)),ISNUMBER(INDEX(rMed,2303))),INDEX(rMed2,2303),NA()))</f>
        <v>2</v>
      </c>
      <c r="BY2305">
        <f>IF(OR(cMed=0,cMed2=0,2303&gt;nFilas),NA(),IF(AND(ISNUMBER(INDEX(rMed2,2303)),ISNUMBER(INDEX(rMed,2303))),INDEX(rMed,2303),NA()))</f>
        <v>147000</v>
      </c>
    </row>
    <row r="2306">
      <c r="BX2306">
        <f>IF(OR(cMed=0,cMed2=0,2304&gt;nFilas),NA(),IF(AND(ISNUMBER(INDEX(rMed2,2304)),ISNUMBER(INDEX(rMed,2304))),INDEX(rMed2,2304),NA()))</f>
        <v>4</v>
      </c>
      <c r="BY2306">
        <f>IF(OR(cMed=0,cMed2=0,2304&gt;nFilas),NA(),IF(AND(ISNUMBER(INDEX(rMed2,2304)),ISNUMBER(INDEX(rMed,2304))),INDEX(rMed,2304),NA()))</f>
        <v>776000</v>
      </c>
    </row>
    <row r="2307">
      <c r="BX2307">
        <f>IF(OR(cMed=0,cMed2=0,2305&gt;nFilas),NA(),IF(AND(ISNUMBER(INDEX(rMed2,2305)),ISNUMBER(INDEX(rMed,2305))),INDEX(rMed2,2305),NA()))</f>
        <v>2</v>
      </c>
      <c r="BY2307">
        <f>IF(OR(cMed=0,cMed2=0,2305&gt;nFilas),NA(),IF(AND(ISNUMBER(INDEX(rMed2,2305)),ISNUMBER(INDEX(rMed,2305))),INDEX(rMed,2305),NA()))</f>
        <v>1391000</v>
      </c>
    </row>
    <row r="2308">
      <c r="BX2308">
        <f>IF(OR(cMed=0,cMed2=0,2306&gt;nFilas),NA(),IF(AND(ISNUMBER(INDEX(rMed2,2306)),ISNUMBER(INDEX(rMed,2306))),INDEX(rMed2,2306),NA()))</f>
        <v>5</v>
      </c>
      <c r="BY2308">
        <f>IF(OR(cMed=0,cMed2=0,2306&gt;nFilas),NA(),IF(AND(ISNUMBER(INDEX(rMed2,2306)),ISNUMBER(INDEX(rMed,2306))),INDEX(rMed,2306),NA()))</f>
        <v>743500</v>
      </c>
    </row>
    <row r="2309">
      <c r="BX2309">
        <f>IF(OR(cMed=0,cMed2=0,2307&gt;nFilas),NA(),IF(AND(ISNUMBER(INDEX(rMed2,2307)),ISNUMBER(INDEX(rMed,2307))),INDEX(rMed2,2307),NA()))</f>
        <v>1</v>
      </c>
      <c r="BY2309">
        <f>IF(OR(cMed=0,cMed2=0,2307&gt;nFilas),NA(),IF(AND(ISNUMBER(INDEX(rMed2,2307)),ISNUMBER(INDEX(rMed,2307))),INDEX(rMed,2307),NA()))</f>
        <v>772600</v>
      </c>
    </row>
    <row r="2310">
      <c r="BX2310">
        <f>IF(OR(cMed=0,cMed2=0,2308&gt;nFilas),NA(),IF(AND(ISNUMBER(INDEX(rMed2,2308)),ISNUMBER(INDEX(rMed,2308))),INDEX(rMed2,2308),NA()))</f>
        <v>1</v>
      </c>
      <c r="BY2310">
        <f>IF(OR(cMed=0,cMed2=0,2308&gt;nFilas),NA(),IF(AND(ISNUMBER(INDEX(rMed2,2308)),ISNUMBER(INDEX(rMed,2308))),INDEX(rMed,2308),NA()))</f>
        <v>929200</v>
      </c>
    </row>
    <row r="2311">
      <c r="BX2311">
        <f>IF(OR(cMed=0,cMed2=0,2309&gt;nFilas),NA(),IF(AND(ISNUMBER(INDEX(rMed2,2309)),ISNUMBER(INDEX(rMed,2309))),INDEX(rMed2,2309),NA()))</f>
        <v>3</v>
      </c>
      <c r="BY2311">
        <f>IF(OR(cMed=0,cMed2=0,2309&gt;nFilas),NA(),IF(AND(ISNUMBER(INDEX(rMed2,2309)),ISNUMBER(INDEX(rMed,2309))),INDEX(rMed,2309),NA()))</f>
        <v>220500</v>
      </c>
    </row>
    <row r="2312">
      <c r="BX2312">
        <f>IF(OR(cMed=0,cMed2=0,2310&gt;nFilas),NA(),IF(AND(ISNUMBER(INDEX(rMed2,2310)),ISNUMBER(INDEX(rMed,2310))),INDEX(rMed2,2310),NA()))</f>
        <v>2</v>
      </c>
      <c r="BY2312">
        <f>IF(OR(cMed=0,cMed2=0,2310&gt;nFilas),NA(),IF(AND(ISNUMBER(INDEX(rMed2,2310)),ISNUMBER(INDEX(rMed,2310))),INDEX(rMed,2310),NA()))</f>
        <v>136800</v>
      </c>
    </row>
    <row r="2313">
      <c r="BX2313">
        <f>IF(OR(cMed=0,cMed2=0,2311&gt;nFilas),NA(),IF(AND(ISNUMBER(INDEX(rMed2,2311)),ISNUMBER(INDEX(rMed,2311))),INDEX(rMed2,2311),NA()))</f>
        <v>3</v>
      </c>
      <c r="BY2313">
        <f>IF(OR(cMed=0,cMed2=0,2311&gt;nFilas),NA(),IF(AND(ISNUMBER(INDEX(rMed2,2311)),ISNUMBER(INDEX(rMed,2311))),INDEX(rMed,2311),NA()))</f>
        <v>438900</v>
      </c>
    </row>
    <row r="2314">
      <c r="BX2314">
        <f>IF(OR(cMed=0,cMed2=0,2312&gt;nFilas),NA(),IF(AND(ISNUMBER(INDEX(rMed2,2312)),ISNUMBER(INDEX(rMed,2312))),INDEX(rMed2,2312),NA()))</f>
        <v>2</v>
      </c>
      <c r="BY2314">
        <f>IF(OR(cMed=0,cMed2=0,2312&gt;nFilas),NA(),IF(AND(ISNUMBER(INDEX(rMed2,2312)),ISNUMBER(INDEX(rMed,2312))),INDEX(rMed,2312),NA()))</f>
        <v>186200</v>
      </c>
    </row>
    <row r="2315">
      <c r="BX2315">
        <f>IF(OR(cMed=0,cMed2=0,2313&gt;nFilas),NA(),IF(AND(ISNUMBER(INDEX(rMed2,2313)),ISNUMBER(INDEX(rMed,2313))),INDEX(rMed2,2313),NA()))</f>
        <v>1</v>
      </c>
      <c r="BY2315">
        <f>IF(OR(cMed=0,cMed2=0,2313&gt;nFilas),NA(),IF(AND(ISNUMBER(INDEX(rMed2,2313)),ISNUMBER(INDEX(rMed,2313))),INDEX(rMed,2313),NA()))</f>
        <v>79600</v>
      </c>
    </row>
    <row r="2316">
      <c r="BX2316">
        <f>IF(OR(cMed=0,cMed2=0,2314&gt;nFilas),NA(),IF(AND(ISNUMBER(INDEX(rMed2,2314)),ISNUMBER(INDEX(rMed,2314))),INDEX(rMed2,2314),NA()))</f>
        <v>4</v>
      </c>
      <c r="BY2316">
        <f>IF(OR(cMed=0,cMed2=0,2314&gt;nFilas),NA(),IF(AND(ISNUMBER(INDEX(rMed2,2314)),ISNUMBER(INDEX(rMed,2314))),INDEX(rMed,2314),NA()))</f>
        <v>414800</v>
      </c>
    </row>
    <row r="2317">
      <c r="BX2317">
        <f>IF(OR(cMed=0,cMed2=0,2315&gt;nFilas),NA(),IF(AND(ISNUMBER(INDEX(rMed2,2315)),ISNUMBER(INDEX(rMed,2315))),INDEX(rMed2,2315),NA()))</f>
        <v>4</v>
      </c>
      <c r="BY2317">
        <f>IF(OR(cMed=0,cMed2=0,2315&gt;nFilas),NA(),IF(AND(ISNUMBER(INDEX(rMed2,2315)),ISNUMBER(INDEX(rMed,2315))),INDEX(rMed,2315),NA()))</f>
        <v>352400</v>
      </c>
    </row>
    <row r="2318">
      <c r="BX2318">
        <f>IF(OR(cMed=0,cMed2=0,2316&gt;nFilas),NA(),IF(AND(ISNUMBER(INDEX(rMed2,2316)),ISNUMBER(INDEX(rMed,2316))),INDEX(rMed2,2316),NA()))</f>
        <v>2</v>
      </c>
      <c r="BY2318">
        <f>IF(OR(cMed=0,cMed2=0,2316&gt;nFilas),NA(),IF(AND(ISNUMBER(INDEX(rMed2,2316)),ISNUMBER(INDEX(rMed,2316))),INDEX(rMed,2316),NA()))</f>
        <v>1268400</v>
      </c>
    </row>
    <row r="2319">
      <c r="BX2319">
        <f>IF(OR(cMed=0,cMed2=0,2317&gt;nFilas),NA(),IF(AND(ISNUMBER(INDEX(rMed2,2317)),ISNUMBER(INDEX(rMed,2317))),INDEX(rMed2,2317),NA()))</f>
        <v>5</v>
      </c>
      <c r="BY2319">
        <f>IF(OR(cMed=0,cMed2=0,2317&gt;nFilas),NA(),IF(AND(ISNUMBER(INDEX(rMed2,2317)),ISNUMBER(INDEX(rMed,2317))),INDEX(rMed,2317),NA()))</f>
        <v>636000</v>
      </c>
    </row>
    <row r="2320">
      <c r="BX2320">
        <f>IF(OR(cMed=0,cMed2=0,2318&gt;nFilas),NA(),IF(AND(ISNUMBER(INDEX(rMed2,2318)),ISNUMBER(INDEX(rMed,2318))),INDEX(rMed2,2318),NA()))</f>
        <v>1</v>
      </c>
      <c r="BY2320">
        <f>IF(OR(cMed=0,cMed2=0,2318&gt;nFilas),NA(),IF(AND(ISNUMBER(INDEX(rMed2,2318)),ISNUMBER(INDEX(rMed,2318))),INDEX(rMed,2318),NA()))</f>
        <v>59800</v>
      </c>
    </row>
    <row r="2321">
      <c r="BX2321">
        <f>IF(OR(cMed=0,cMed2=0,2319&gt;nFilas),NA(),IF(AND(ISNUMBER(INDEX(rMed2,2319)),ISNUMBER(INDEX(rMed,2319))),INDEX(rMed2,2319),NA()))</f>
        <v>5</v>
      </c>
      <c r="BY2321">
        <f>IF(OR(cMed=0,cMed2=0,2319&gt;nFilas),NA(),IF(AND(ISNUMBER(INDEX(rMed2,2319)),ISNUMBER(INDEX(rMed,2319))),INDEX(rMed,2319),NA()))</f>
        <v>480000</v>
      </c>
    </row>
    <row r="2322">
      <c r="BX2322">
        <f>IF(OR(cMed=0,cMed2=0,2320&gt;nFilas),NA(),IF(AND(ISNUMBER(INDEX(rMed2,2320)),ISNUMBER(INDEX(rMed,2320))),INDEX(rMed2,2320),NA()))</f>
        <v>5</v>
      </c>
      <c r="BY2322">
        <f>IF(OR(cMed=0,cMed2=0,2320&gt;nFilas),NA(),IF(AND(ISNUMBER(INDEX(rMed2,2320)),ISNUMBER(INDEX(rMed,2320))),INDEX(rMed,2320),NA()))</f>
        <v>1100500</v>
      </c>
    </row>
    <row r="2323">
      <c r="BX2323">
        <f>IF(OR(cMed=0,cMed2=0,2321&gt;nFilas),NA(),IF(AND(ISNUMBER(INDEX(rMed2,2321)),ISNUMBER(INDEX(rMed,2321))),INDEX(rMed2,2321),NA()))</f>
        <v>2</v>
      </c>
      <c r="BY2323">
        <f>IF(OR(cMed=0,cMed2=0,2321&gt;nFilas),NA(),IF(AND(ISNUMBER(INDEX(rMed2,2321)),ISNUMBER(INDEX(rMed,2321))),INDEX(rMed,2321),NA()))</f>
        <v>135600</v>
      </c>
    </row>
    <row r="2324">
      <c r="BX2324">
        <f>IF(OR(cMed=0,cMed2=0,2322&gt;nFilas),NA(),IF(AND(ISNUMBER(INDEX(rMed2,2322)),ISNUMBER(INDEX(rMed,2322))),INDEX(rMed2,2322),NA()))</f>
        <v>4</v>
      </c>
      <c r="BY2324">
        <f>IF(OR(cMed=0,cMed2=0,2322&gt;nFilas),NA(),IF(AND(ISNUMBER(INDEX(rMed2,2322)),ISNUMBER(INDEX(rMed,2322))),INDEX(rMed,2322),NA()))</f>
        <v>385200</v>
      </c>
    </row>
    <row r="2325">
      <c r="BX2325">
        <f>IF(OR(cMed=0,cMed2=0,2323&gt;nFilas),NA(),IF(AND(ISNUMBER(INDEX(rMed2,2323)),ISNUMBER(INDEX(rMed,2323))),INDEX(rMed2,2323),NA()))</f>
        <v>1</v>
      </c>
      <c r="BY2325">
        <f>IF(OR(cMed=0,cMed2=0,2323&gt;nFilas),NA(),IF(AND(ISNUMBER(INDEX(rMed2,2323)),ISNUMBER(INDEX(rMed,2323))),INDEX(rMed,2323),NA()))</f>
        <v>107700</v>
      </c>
    </row>
    <row r="2326">
      <c r="BX2326">
        <f>IF(OR(cMed=0,cMed2=0,2324&gt;nFilas),NA(),IF(AND(ISNUMBER(INDEX(rMed2,2324)),ISNUMBER(INDEX(rMed,2324))),INDEX(rMed2,2324),NA()))</f>
        <v>3</v>
      </c>
      <c r="BY2326">
        <f>IF(OR(cMed=0,cMed2=0,2324&gt;nFilas),NA(),IF(AND(ISNUMBER(INDEX(rMed2,2324)),ISNUMBER(INDEX(rMed,2324))),INDEX(rMed,2324),NA()))</f>
        <v>274200</v>
      </c>
    </row>
    <row r="2327">
      <c r="BX2327">
        <f>IF(OR(cMed=0,cMed2=0,2325&gt;nFilas),NA(),IF(AND(ISNUMBER(INDEX(rMed2,2325)),ISNUMBER(INDEX(rMed,2325))),INDEX(rMed2,2325),NA()))</f>
        <v>4</v>
      </c>
      <c r="BY2327">
        <f>IF(OR(cMed=0,cMed2=0,2325&gt;nFilas),NA(),IF(AND(ISNUMBER(INDEX(rMed2,2325)),ISNUMBER(INDEX(rMed,2325))),INDEX(rMed,2325),NA()))</f>
        <v>372400</v>
      </c>
    </row>
    <row r="2328">
      <c r="BX2328">
        <f>IF(OR(cMed=0,cMed2=0,2326&gt;nFilas),NA(),IF(AND(ISNUMBER(INDEX(rMed2,2326)),ISNUMBER(INDEX(rMed,2326))),INDEX(rMed2,2326),NA()))</f>
        <v>2</v>
      </c>
      <c r="BY2328">
        <f>IF(OR(cMed=0,cMed2=0,2326&gt;nFilas),NA(),IF(AND(ISNUMBER(INDEX(rMed2,2326)),ISNUMBER(INDEX(rMed,2326))),INDEX(rMed,2326),NA()))</f>
        <v>180800</v>
      </c>
    </row>
    <row r="2329">
      <c r="BX2329">
        <f>IF(OR(cMed=0,cMed2=0,2327&gt;nFilas),NA(),IF(AND(ISNUMBER(INDEX(rMed2,2327)),ISNUMBER(INDEX(rMed,2327))),INDEX(rMed2,2327),NA()))</f>
        <v>2</v>
      </c>
      <c r="BY2329">
        <f>IF(OR(cMed=0,cMed2=0,2327&gt;nFilas),NA(),IF(AND(ISNUMBER(INDEX(rMed2,2327)),ISNUMBER(INDEX(rMed,2327))),INDEX(rMed,2327),NA()))</f>
        <v>192280</v>
      </c>
    </row>
    <row r="2330">
      <c r="BX2330">
        <f>IF(OR(cMed=0,cMed2=0,2328&gt;nFilas),NA(),IF(AND(ISNUMBER(INDEX(rMed2,2328)),ISNUMBER(INDEX(rMed,2328))),INDEX(rMed2,2328),NA()))</f>
        <v>5</v>
      </c>
      <c r="BY2330">
        <f>IF(OR(cMed=0,cMed2=0,2328&gt;nFilas),NA(),IF(AND(ISNUMBER(INDEX(rMed2,2328)),ISNUMBER(INDEX(rMed,2328))),INDEX(rMed,2328),NA()))</f>
        <v>638825</v>
      </c>
    </row>
    <row r="2331">
      <c r="BX2331">
        <f>IF(OR(cMed=0,cMed2=0,2329&gt;nFilas),NA(),IF(AND(ISNUMBER(INDEX(rMed2,2329)),ISNUMBER(INDEX(rMed,2329))),INDEX(rMed2,2329),NA()))</f>
        <v>5</v>
      </c>
      <c r="BY2331">
        <f>IF(OR(cMed=0,cMed2=0,2329&gt;nFilas),NA(),IF(AND(ISNUMBER(INDEX(rMed2,2329)),ISNUMBER(INDEX(rMed,2329))),INDEX(rMed,2329),NA()))</f>
        <v>475525</v>
      </c>
    </row>
    <row r="2332">
      <c r="BX2332">
        <f>IF(OR(cMed=0,cMed2=0,2330&gt;nFilas),NA(),IF(AND(ISNUMBER(INDEX(rMed2,2330)),ISNUMBER(INDEX(rMed,2330))),INDEX(rMed2,2330),NA()))</f>
        <v>2</v>
      </c>
      <c r="BY2332">
        <f>IF(OR(cMed=0,cMed2=0,2330&gt;nFilas),NA(),IF(AND(ISNUMBER(INDEX(rMed2,2330)),ISNUMBER(INDEX(rMed,2330))),INDEX(rMed,2330),NA()))</f>
        <v>2126580</v>
      </c>
    </row>
    <row r="2333">
      <c r="BX2333">
        <f>IF(OR(cMed=0,cMed2=0,2331&gt;nFilas),NA(),IF(AND(ISNUMBER(INDEX(rMed2,2331)),ISNUMBER(INDEX(rMed,2331))),INDEX(rMed2,2331),NA()))</f>
        <v>3</v>
      </c>
      <c r="BY2333">
        <f>IF(OR(cMed=0,cMed2=0,2331&gt;nFilas),NA(),IF(AND(ISNUMBER(INDEX(rMed2,2331)),ISNUMBER(INDEX(rMed,2331))),INDEX(rMed,2331),NA()))</f>
        <v>357420</v>
      </c>
    </row>
    <row r="2334">
      <c r="BX2334">
        <f>IF(OR(cMed=0,cMed2=0,2332&gt;nFilas),NA(),IF(AND(ISNUMBER(INDEX(rMed2,2332)),ISNUMBER(INDEX(rMed,2332))),INDEX(rMed2,2332),NA()))</f>
        <v>2</v>
      </c>
      <c r="BY2334">
        <f>IF(OR(cMed=0,cMed2=0,2332&gt;nFilas),NA(),IF(AND(ISNUMBER(INDEX(rMed2,2332)),ISNUMBER(INDEX(rMed,2332))),INDEX(rMed,2332),NA()))</f>
        <v>159160</v>
      </c>
    </row>
    <row r="2335">
      <c r="BX2335">
        <f>IF(OR(cMed=0,cMed2=0,2333&gt;nFilas),NA(),IF(AND(ISNUMBER(INDEX(rMed2,2333)),ISNUMBER(INDEX(rMed,2333))),INDEX(rMed2,2333),NA()))</f>
        <v>5</v>
      </c>
      <c r="BY2335">
        <f>IF(OR(cMed=0,cMed2=0,2333&gt;nFilas),NA(),IF(AND(ISNUMBER(INDEX(rMed2,2333)),ISNUMBER(INDEX(rMed,2333))),INDEX(rMed,2333),NA()))</f>
        <v>1045350</v>
      </c>
    </row>
    <row r="2336">
      <c r="BX2336">
        <f>IF(OR(cMed=0,cMed2=0,2334&gt;nFilas),NA(),IF(AND(ISNUMBER(INDEX(rMed2,2334)),ISNUMBER(INDEX(rMed,2334))),INDEX(rMed2,2334),NA()))</f>
        <v>3</v>
      </c>
      <c r="BY2336">
        <f>IF(OR(cMed=0,cMed2=0,2334&gt;nFilas),NA(),IF(AND(ISNUMBER(INDEX(rMed2,2334)),ISNUMBER(INDEX(rMed,2334))),INDEX(rMed,2334),NA()))</f>
        <v>2268030</v>
      </c>
    </row>
    <row r="2337">
      <c r="BX2337">
        <f>IF(OR(cMed=0,cMed2=0,2335&gt;nFilas),NA(),IF(AND(ISNUMBER(INDEX(rMed2,2335)),ISNUMBER(INDEX(rMed,2335))),INDEX(rMed2,2335),NA()))</f>
        <v>5</v>
      </c>
      <c r="BY2337">
        <f>IF(OR(cMed=0,cMed2=0,2335&gt;nFilas),NA(),IF(AND(ISNUMBER(INDEX(rMed2,2335)),ISNUMBER(INDEX(rMed,2335))),INDEX(rMed,2335),NA()))</f>
        <v>805000</v>
      </c>
    </row>
    <row r="2338">
      <c r="BX2338">
        <f>IF(OR(cMed=0,cMed2=0,2336&gt;nFilas),NA(),IF(AND(ISNUMBER(INDEX(rMed2,2336)),ISNUMBER(INDEX(rMed,2336))),INDEX(rMed2,2336),NA()))</f>
        <v>3</v>
      </c>
      <c r="BY2338">
        <f>IF(OR(cMed=0,cMed2=0,2336&gt;nFilas),NA(),IF(AND(ISNUMBER(INDEX(rMed2,2336)),ISNUMBER(INDEX(rMed,2336))),INDEX(rMed,2336),NA()))</f>
        <v>487140</v>
      </c>
    </row>
    <row r="2339">
      <c r="BX2339">
        <f>IF(OR(cMed=0,cMed2=0,2337&gt;nFilas),NA(),IF(AND(ISNUMBER(INDEX(rMed2,2337)),ISNUMBER(INDEX(rMed,2337))),INDEX(rMed2,2337),NA()))</f>
        <v>5</v>
      </c>
      <c r="BY2339">
        <f>IF(OR(cMed=0,cMed2=0,2337&gt;nFilas),NA(),IF(AND(ISNUMBER(INDEX(rMed2,2337)),ISNUMBER(INDEX(rMed,2337))),INDEX(rMed,2337),NA()))</f>
        <v>4914000</v>
      </c>
    </row>
    <row r="2340">
      <c r="BX2340">
        <f>IF(OR(cMed=0,cMed2=0,2338&gt;nFilas),NA(),IF(AND(ISNUMBER(INDEX(rMed2,2338)),ISNUMBER(INDEX(rMed,2338))),INDEX(rMed2,2338),NA()))</f>
        <v>5</v>
      </c>
      <c r="BY2340">
        <f>IF(OR(cMed=0,cMed2=0,2338&gt;nFilas),NA(),IF(AND(ISNUMBER(INDEX(rMed2,2338)),ISNUMBER(INDEX(rMed,2338))),INDEX(rMed,2338),NA()))</f>
        <v>3740000</v>
      </c>
    </row>
    <row r="2341">
      <c r="BX2341">
        <f>IF(OR(cMed=0,cMed2=0,2339&gt;nFilas),NA(),IF(AND(ISNUMBER(INDEX(rMed2,2339)),ISNUMBER(INDEX(rMed,2339))),INDEX(rMed2,2339),NA()))</f>
        <v>2</v>
      </c>
      <c r="BY2341">
        <f>IF(OR(cMed=0,cMed2=0,2339&gt;nFilas),NA(),IF(AND(ISNUMBER(INDEX(rMed2,2339)),ISNUMBER(INDEX(rMed,2339))),INDEX(rMed,2339),NA()))</f>
        <v>399000</v>
      </c>
    </row>
    <row r="2342">
      <c r="BX2342">
        <f>IF(OR(cMed=0,cMed2=0,2340&gt;nFilas),NA(),IF(AND(ISNUMBER(INDEX(rMed2,2340)),ISNUMBER(INDEX(rMed,2340))),INDEX(rMed2,2340),NA()))</f>
        <v>2</v>
      </c>
      <c r="BY2342">
        <f>IF(OR(cMed=0,cMed2=0,2340&gt;nFilas),NA(),IF(AND(ISNUMBER(INDEX(rMed2,2340)),ISNUMBER(INDEX(rMed,2340))),INDEX(rMed,2340),NA()))</f>
        <v>345400</v>
      </c>
    </row>
    <row r="2343">
      <c r="BX2343">
        <f>IF(OR(cMed=0,cMed2=0,2341&gt;nFilas),NA(),IF(AND(ISNUMBER(INDEX(rMed2,2341)),ISNUMBER(INDEX(rMed,2341))),INDEX(rMed2,2341),NA()))</f>
        <v>5</v>
      </c>
      <c r="BY2343">
        <f>IF(OR(cMed=0,cMed2=0,2341&gt;nFilas),NA(),IF(AND(ISNUMBER(INDEX(rMed2,2341)),ISNUMBER(INDEX(rMed,2341))),INDEX(rMed,2341),NA()))</f>
        <v>1006000</v>
      </c>
    </row>
    <row r="2344">
      <c r="BX2344">
        <f>IF(OR(cMed=0,cMed2=0,2342&gt;nFilas),NA(),IF(AND(ISNUMBER(INDEX(rMed2,2342)),ISNUMBER(INDEX(rMed,2342))),INDEX(rMed2,2342),NA()))</f>
        <v>3</v>
      </c>
      <c r="BY2344">
        <f>IF(OR(cMed=0,cMed2=0,2342&gt;nFilas),NA(),IF(AND(ISNUMBER(INDEX(rMed2,2342)),ISNUMBER(INDEX(rMed,2342))),INDEX(rMed,2342),NA()))</f>
        <v>366900</v>
      </c>
    </row>
    <row r="2345">
      <c r="BX2345">
        <f>IF(OR(cMed=0,cMed2=0,2343&gt;nFilas),NA(),IF(AND(ISNUMBER(INDEX(rMed2,2343)),ISNUMBER(INDEX(rMed,2343))),INDEX(rMed2,2343),NA()))</f>
        <v>4</v>
      </c>
      <c r="BY2345">
        <f>IF(OR(cMed=0,cMed2=0,2343&gt;nFilas),NA(),IF(AND(ISNUMBER(INDEX(rMed2,2343)),ISNUMBER(INDEX(rMed,2343))),INDEX(rMed,2343),NA()))</f>
        <v>374800</v>
      </c>
    </row>
    <row r="2346">
      <c r="BX2346">
        <f>IF(OR(cMed=0,cMed2=0,2344&gt;nFilas),NA(),IF(AND(ISNUMBER(INDEX(rMed2,2344)),ISNUMBER(INDEX(rMed,2344))),INDEX(rMed2,2344),NA()))</f>
        <v>1</v>
      </c>
      <c r="BY2346">
        <f>IF(OR(cMed=0,cMed2=0,2344&gt;nFilas),NA(),IF(AND(ISNUMBER(INDEX(rMed2,2344)),ISNUMBER(INDEX(rMed,2344))),INDEX(rMed,2344),NA()))</f>
        <v>125000</v>
      </c>
    </row>
    <row r="2347">
      <c r="BX2347">
        <f>IF(OR(cMed=0,cMed2=0,2345&gt;nFilas),NA(),IF(AND(ISNUMBER(INDEX(rMed2,2345)),ISNUMBER(INDEX(rMed,2345))),INDEX(rMed2,2345),NA()))</f>
        <v>2</v>
      </c>
      <c r="BY2347">
        <f>IF(OR(cMed=0,cMed2=0,2345&gt;nFilas),NA(),IF(AND(ISNUMBER(INDEX(rMed2,2345)),ISNUMBER(INDEX(rMed,2345))),INDEX(rMed,2345),NA()))</f>
        <v>351800</v>
      </c>
    </row>
    <row r="2348">
      <c r="BX2348">
        <f>IF(OR(cMed=0,cMed2=0,2346&gt;nFilas),NA(),IF(AND(ISNUMBER(INDEX(rMed2,2346)),ISNUMBER(INDEX(rMed,2346))),INDEX(rMed2,2346),NA()))</f>
        <v>1</v>
      </c>
      <c r="BY2348">
        <f>IF(OR(cMed=0,cMed2=0,2346&gt;nFilas),NA(),IF(AND(ISNUMBER(INDEX(rMed2,2346)),ISNUMBER(INDEX(rMed,2346))),INDEX(rMed,2346),NA()))</f>
        <v>71600</v>
      </c>
    </row>
    <row r="2349">
      <c r="BX2349">
        <f>IF(OR(cMed=0,cMed2=0,2347&gt;nFilas),NA(),IF(AND(ISNUMBER(INDEX(rMed2,2347)),ISNUMBER(INDEX(rMed,2347))),INDEX(rMed2,2347),NA()))</f>
        <v>1</v>
      </c>
      <c r="BY2349">
        <f>IF(OR(cMed=0,cMed2=0,2347&gt;nFilas),NA(),IF(AND(ISNUMBER(INDEX(rMed2,2347)),ISNUMBER(INDEX(rMed,2347))),INDEX(rMed,2347),NA()))</f>
        <v>1060500</v>
      </c>
    </row>
    <row r="2350">
      <c r="BX2350">
        <f>IF(OR(cMed=0,cMed2=0,2348&gt;nFilas),NA(),IF(AND(ISNUMBER(INDEX(rMed2,2348)),ISNUMBER(INDEX(rMed,2348))),INDEX(rMed2,2348),NA()))</f>
        <v>3</v>
      </c>
      <c r="BY2350">
        <f>IF(OR(cMed=0,cMed2=0,2348&gt;nFilas),NA(),IF(AND(ISNUMBER(INDEX(rMed2,2348)),ISNUMBER(INDEX(rMed,2348))),INDEX(rMed,2348),NA()))</f>
        <v>2370000</v>
      </c>
    </row>
    <row r="2351">
      <c r="BX2351">
        <f>IF(OR(cMed=0,cMed2=0,2349&gt;nFilas),NA(),IF(AND(ISNUMBER(INDEX(rMed2,2349)),ISNUMBER(INDEX(rMed,2349))),INDEX(rMed2,2349),NA()))</f>
        <v>5</v>
      </c>
      <c r="BY2351">
        <f>IF(OR(cMed=0,cMed2=0,2349&gt;nFilas),NA(),IF(AND(ISNUMBER(INDEX(rMed2,2349)),ISNUMBER(INDEX(rMed,2349))),INDEX(rMed,2349),NA()))</f>
        <v>3982000</v>
      </c>
    </row>
    <row r="2352">
      <c r="BX2352">
        <f>IF(OR(cMed=0,cMed2=0,2350&gt;nFilas),NA(),IF(AND(ISNUMBER(INDEX(rMed2,2350)),ISNUMBER(INDEX(rMed,2350))),INDEX(rMed2,2350),NA()))</f>
        <v>2</v>
      </c>
      <c r="BY2352">
        <f>IF(OR(cMed=0,cMed2=0,2350&gt;nFilas),NA(),IF(AND(ISNUMBER(INDEX(rMed2,2350)),ISNUMBER(INDEX(rMed,2350))),INDEX(rMed,2350),NA()))</f>
        <v>188600</v>
      </c>
    </row>
    <row r="2353">
      <c r="BX2353">
        <f>IF(OR(cMed=0,cMed2=0,2351&gt;nFilas),NA(),IF(AND(ISNUMBER(INDEX(rMed2,2351)),ISNUMBER(INDEX(rMed,2351))),INDEX(rMed2,2351),NA()))</f>
        <v>3</v>
      </c>
      <c r="BY2353">
        <f>IF(OR(cMed=0,cMed2=0,2351&gt;nFilas),NA(),IF(AND(ISNUMBER(INDEX(rMed2,2351)),ISNUMBER(INDEX(rMed,2351))),INDEX(rMed,2351),NA()))</f>
        <v>372600</v>
      </c>
    </row>
    <row r="2354">
      <c r="BX2354">
        <f>IF(OR(cMed=0,cMed2=0,2352&gt;nFilas),NA(),IF(AND(ISNUMBER(INDEX(rMed2,2352)),ISNUMBER(INDEX(rMed,2352))),INDEX(rMed2,2352),NA()))</f>
        <v>5</v>
      </c>
      <c r="BY2354">
        <f>IF(OR(cMed=0,cMed2=0,2352&gt;nFilas),NA(),IF(AND(ISNUMBER(INDEX(rMed2,2352)),ISNUMBER(INDEX(rMed,2352))),INDEX(rMed,2352),NA()))</f>
        <v>4415500</v>
      </c>
    </row>
    <row r="2355">
      <c r="BX2355">
        <f>IF(OR(cMed=0,cMed2=0,2353&gt;nFilas),NA(),IF(AND(ISNUMBER(INDEX(rMed2,2353)),ISNUMBER(INDEX(rMed,2353))),INDEX(rMed2,2353),NA()))</f>
        <v>5</v>
      </c>
      <c r="BY2355">
        <f>IF(OR(cMed=0,cMed2=0,2353&gt;nFilas),NA(),IF(AND(ISNUMBER(INDEX(rMed2,2353)),ISNUMBER(INDEX(rMed,2353))),INDEX(rMed,2353),NA()))</f>
        <v>409400</v>
      </c>
    </row>
    <row r="2356">
      <c r="BX2356">
        <f>IF(OR(cMed=0,cMed2=0,2354&gt;nFilas),NA(),IF(AND(ISNUMBER(INDEX(rMed2,2354)),ISNUMBER(INDEX(rMed,2354))),INDEX(rMed2,2354),NA()))</f>
        <v>2</v>
      </c>
      <c r="BY2356">
        <f>IF(OR(cMed=0,cMed2=0,2354&gt;nFilas),NA(),IF(AND(ISNUMBER(INDEX(rMed2,2354)),ISNUMBER(INDEX(rMed,2354))),INDEX(rMed,2354),NA()))</f>
        <v>175720</v>
      </c>
    </row>
    <row r="2357">
      <c r="BX2357">
        <f>IF(OR(cMed=0,cMed2=0,2355&gt;nFilas),NA(),IF(AND(ISNUMBER(INDEX(rMed2,2355)),ISNUMBER(INDEX(rMed,2355))),INDEX(rMed2,2355),NA()))</f>
        <v>1</v>
      </c>
      <c r="BY2357">
        <f>IF(OR(cMed=0,cMed2=0,2355&gt;nFilas),NA(),IF(AND(ISNUMBER(INDEX(rMed2,2355)),ISNUMBER(INDEX(rMed,2355))),INDEX(rMed,2355),NA()))</f>
        <v>1107795</v>
      </c>
    </row>
    <row r="2358">
      <c r="BX2358">
        <f>IF(OR(cMed=0,cMed2=0,2356&gt;nFilas),NA(),IF(AND(ISNUMBER(INDEX(rMed2,2356)),ISNUMBER(INDEX(rMed,2356))),INDEX(rMed2,2356),NA()))</f>
        <v>5</v>
      </c>
      <c r="BY2358">
        <f>IF(OR(cMed=0,cMed2=0,2356&gt;nFilas),NA(),IF(AND(ISNUMBER(INDEX(rMed2,2356)),ISNUMBER(INDEX(rMed,2356))),INDEX(rMed,2356),NA()))</f>
        <v>1056275</v>
      </c>
    </row>
    <row r="2359">
      <c r="BX2359">
        <f>IF(OR(cMed=0,cMed2=0,2357&gt;nFilas),NA(),IF(AND(ISNUMBER(INDEX(rMed2,2357)),ISNUMBER(INDEX(rMed,2357))),INDEX(rMed2,2357),NA()))</f>
        <v>4</v>
      </c>
      <c r="BY2359">
        <f>IF(OR(cMed=0,cMed2=0,2357&gt;nFilas),NA(),IF(AND(ISNUMBER(INDEX(rMed2,2357)),ISNUMBER(INDEX(rMed,2357))),INDEX(rMed,2357),NA()))</f>
        <v>1002800</v>
      </c>
    </row>
    <row r="2360">
      <c r="BX2360">
        <f>IF(OR(cMed=0,cMed2=0,2358&gt;nFilas),NA(),IF(AND(ISNUMBER(INDEX(rMed2,2358)),ISNUMBER(INDEX(rMed,2358))),INDEX(rMed2,2358),NA()))</f>
        <v>5</v>
      </c>
      <c r="BY2360">
        <f>IF(OR(cMed=0,cMed2=0,2358&gt;nFilas),NA(),IF(AND(ISNUMBER(INDEX(rMed2,2358)),ISNUMBER(INDEX(rMed,2358))),INDEX(rMed,2358),NA()))</f>
        <v>833750</v>
      </c>
    </row>
    <row r="2361">
      <c r="BX2361">
        <f>IF(OR(cMed=0,cMed2=0,2359&gt;nFilas),NA(),IF(AND(ISNUMBER(INDEX(rMed2,2359)),ISNUMBER(INDEX(rMed,2359))),INDEX(rMed2,2359),NA()))</f>
        <v>3</v>
      </c>
      <c r="BY2361">
        <f>IF(OR(cMed=0,cMed2=0,2359&gt;nFilas),NA(),IF(AND(ISNUMBER(INDEX(rMed2,2359)),ISNUMBER(INDEX(rMed,2359))),INDEX(rMed,2359),NA()))</f>
        <v>3392730</v>
      </c>
    </row>
    <row r="2362">
      <c r="BX2362">
        <f>IF(OR(cMed=0,cMed2=0,2360&gt;nFilas),NA(),IF(AND(ISNUMBER(INDEX(rMed2,2360)),ISNUMBER(INDEX(rMed,2360))),INDEX(rMed2,2360),NA()))</f>
        <v>3</v>
      </c>
      <c r="BY2362">
        <f>IF(OR(cMed=0,cMed2=0,2360&gt;nFilas),NA(),IF(AND(ISNUMBER(INDEX(rMed2,2360)),ISNUMBER(INDEX(rMed,2360))),INDEX(rMed,2360),NA()))</f>
        <v>370875</v>
      </c>
    </row>
    <row r="2363">
      <c r="BX2363">
        <f>IF(OR(cMed=0,cMed2=0,2361&gt;nFilas),NA(),IF(AND(ISNUMBER(INDEX(rMed2,2361)),ISNUMBER(INDEX(rMed,2361))),INDEX(rMed2,2361),NA()))</f>
        <v>1</v>
      </c>
      <c r="BY2363">
        <f>IF(OR(cMed=0,cMed2=0,2361&gt;nFilas),NA(),IF(AND(ISNUMBER(INDEX(rMed2,2361)),ISNUMBER(INDEX(rMed,2361))),INDEX(rMed,2361),NA()))</f>
        <v>743015</v>
      </c>
    </row>
    <row r="2364">
      <c r="BX2364">
        <f>IF(OR(cMed=0,cMed2=0,2362&gt;nFilas),NA(),IF(AND(ISNUMBER(INDEX(rMed2,2362)),ISNUMBER(INDEX(rMed,2362))),INDEX(rMed2,2362),NA()))</f>
        <v>5</v>
      </c>
      <c r="BY2364">
        <f>IF(OR(cMed=0,cMed2=0,2362&gt;nFilas),NA(),IF(AND(ISNUMBER(INDEX(rMed2,2362)),ISNUMBER(INDEX(rMed,2362))),INDEX(rMed,2362),NA()))</f>
        <v>1122975</v>
      </c>
    </row>
    <row r="2365">
      <c r="BX2365">
        <f>IF(OR(cMed=0,cMed2=0,2363&gt;nFilas),NA(),IF(AND(ISNUMBER(INDEX(rMed2,2363)),ISNUMBER(INDEX(rMed,2363))),INDEX(rMed2,2363),NA()))</f>
        <v>4</v>
      </c>
      <c r="BY2365">
        <f>IF(OR(cMed=0,cMed2=0,2363&gt;nFilas),NA(),IF(AND(ISNUMBER(INDEX(rMed2,2363)),ISNUMBER(INDEX(rMed,2363))),INDEX(rMed,2363),NA()))</f>
        <v>610880</v>
      </c>
    </row>
    <row r="2366">
      <c r="BX2366">
        <f>IF(OR(cMed=0,cMed2=0,2364&gt;nFilas),NA(),IF(AND(ISNUMBER(INDEX(rMed2,2364)),ISNUMBER(INDEX(rMed,2364))),INDEX(rMed2,2364),NA()))</f>
        <v>2</v>
      </c>
      <c r="BY2366">
        <f>IF(OR(cMed=0,cMed2=0,2364&gt;nFilas),NA(),IF(AND(ISNUMBER(INDEX(rMed2,2364)),ISNUMBER(INDEX(rMed,2364))),INDEX(rMed,2364),NA()))</f>
        <v>285400</v>
      </c>
    </row>
    <row r="2367">
      <c r="BX2367">
        <f>IF(OR(cMed=0,cMed2=0,2365&gt;nFilas),NA(),IF(AND(ISNUMBER(INDEX(rMed2,2365)),ISNUMBER(INDEX(rMed,2365))),INDEX(rMed2,2365),NA()))</f>
        <v>1</v>
      </c>
      <c r="BY2367">
        <f>IF(OR(cMed=0,cMed2=0,2365&gt;nFilas),NA(),IF(AND(ISNUMBER(INDEX(rMed2,2365)),ISNUMBER(INDEX(rMed,2365))),INDEX(rMed,2365),NA()))</f>
        <v>81700</v>
      </c>
    </row>
    <row r="2368">
      <c r="BX2368">
        <f>IF(OR(cMed=0,cMed2=0,2366&gt;nFilas),NA(),IF(AND(ISNUMBER(INDEX(rMed2,2366)),ISNUMBER(INDEX(rMed,2366))),INDEX(rMed2,2366),NA()))</f>
        <v>4</v>
      </c>
      <c r="BY2368">
        <f>IF(OR(cMed=0,cMed2=0,2366&gt;nFilas),NA(),IF(AND(ISNUMBER(INDEX(rMed2,2366)),ISNUMBER(INDEX(rMed,2366))),INDEX(rMed,2366),NA()))</f>
        <v>260400</v>
      </c>
    </row>
    <row r="2369">
      <c r="BX2369">
        <f>IF(OR(cMed=0,cMed2=0,2367&gt;nFilas),NA(),IF(AND(ISNUMBER(INDEX(rMed2,2367)),ISNUMBER(INDEX(rMed,2367))),INDEX(rMed2,2367),NA()))</f>
        <v>2</v>
      </c>
      <c r="BY2369">
        <f>IF(OR(cMed=0,cMed2=0,2367&gt;nFilas),NA(),IF(AND(ISNUMBER(INDEX(rMed2,2367)),ISNUMBER(INDEX(rMed,2367))),INDEX(rMed,2367),NA()))</f>
        <v>128400</v>
      </c>
    </row>
    <row r="2370">
      <c r="BX2370">
        <f>IF(OR(cMed=0,cMed2=0,2368&gt;nFilas),NA(),IF(AND(ISNUMBER(INDEX(rMed2,2368)),ISNUMBER(INDEX(rMed,2368))),INDEX(rMed2,2368),NA()))</f>
        <v>3</v>
      </c>
      <c r="BY2370">
        <f>IF(OR(cMed=0,cMed2=0,2368&gt;nFilas),NA(),IF(AND(ISNUMBER(INDEX(rMed2,2368)),ISNUMBER(INDEX(rMed,2368))),INDEX(rMed,2368),NA()))</f>
        <v>761700</v>
      </c>
    </row>
    <row r="2371">
      <c r="BX2371">
        <f>IF(OR(cMed=0,cMed2=0,2369&gt;nFilas),NA(),IF(AND(ISNUMBER(INDEX(rMed2,2369)),ISNUMBER(INDEX(rMed,2369))),INDEX(rMed2,2369),NA()))</f>
        <v>2</v>
      </c>
      <c r="BY2371">
        <f>IF(OR(cMed=0,cMed2=0,2369&gt;nFilas),NA(),IF(AND(ISNUMBER(INDEX(rMed2,2369)),ISNUMBER(INDEX(rMed,2369))),INDEX(rMed,2369),NA()))</f>
        <v>321000</v>
      </c>
    </row>
    <row r="2372">
      <c r="BX2372">
        <f>IF(OR(cMed=0,cMed2=0,2370&gt;nFilas),NA(),IF(AND(ISNUMBER(INDEX(rMed2,2370)),ISNUMBER(INDEX(rMed,2370))),INDEX(rMed2,2370),NA()))</f>
        <v>2</v>
      </c>
      <c r="BY2372">
        <f>IF(OR(cMed=0,cMed2=0,2370&gt;nFilas),NA(),IF(AND(ISNUMBER(INDEX(rMed2,2370)),ISNUMBER(INDEX(rMed,2370))),INDEX(rMed,2370),NA()))</f>
        <v>190800</v>
      </c>
    </row>
    <row r="2373">
      <c r="BX2373">
        <f>IF(OR(cMed=0,cMed2=0,2371&gt;nFilas),NA(),IF(AND(ISNUMBER(INDEX(rMed2,2371)),ISNUMBER(INDEX(rMed,2371))),INDEX(rMed2,2371),NA()))</f>
        <v>2</v>
      </c>
      <c r="BY2373">
        <f>IF(OR(cMed=0,cMed2=0,2371&gt;nFilas),NA(),IF(AND(ISNUMBER(INDEX(rMed2,2371)),ISNUMBER(INDEX(rMed,2371))),INDEX(rMed,2371),NA()))</f>
        <v>165000</v>
      </c>
    </row>
    <row r="2374">
      <c r="BX2374">
        <f>IF(OR(cMed=0,cMed2=0,2372&gt;nFilas),NA(),IF(AND(ISNUMBER(INDEX(rMed2,2372)),ISNUMBER(INDEX(rMed,2372))),INDEX(rMed2,2372),NA()))</f>
        <v>1</v>
      </c>
      <c r="BY2374">
        <f>IF(OR(cMed=0,cMed2=0,2372&gt;nFilas),NA(),IF(AND(ISNUMBER(INDEX(rMed2,2372)),ISNUMBER(INDEX(rMed,2372))),INDEX(rMed,2372),NA()))</f>
        <v>188100</v>
      </c>
    </row>
    <row r="2375">
      <c r="BX2375">
        <f>IF(OR(cMed=0,cMed2=0,2373&gt;nFilas),NA(),IF(AND(ISNUMBER(INDEX(rMed2,2373)),ISNUMBER(INDEX(rMed,2373))),INDEX(rMed2,2373),NA()))</f>
        <v>2</v>
      </c>
      <c r="BY2375">
        <f>IF(OR(cMed=0,cMed2=0,2373&gt;nFilas),NA(),IF(AND(ISNUMBER(INDEX(rMed2,2373)),ISNUMBER(INDEX(rMed,2373))),INDEX(rMed,2373),NA()))</f>
        <v>297400</v>
      </c>
    </row>
    <row r="2376">
      <c r="BX2376">
        <f>IF(OR(cMed=0,cMed2=0,2374&gt;nFilas),NA(),IF(AND(ISNUMBER(INDEX(rMed2,2374)),ISNUMBER(INDEX(rMed,2374))),INDEX(rMed2,2374),NA()))</f>
        <v>4</v>
      </c>
      <c r="BY2376">
        <f>IF(OR(cMed=0,cMed2=0,2374&gt;nFilas),NA(),IF(AND(ISNUMBER(INDEX(rMed2,2374)),ISNUMBER(INDEX(rMed,2374))),INDEX(rMed,2374),NA()))</f>
        <v>484800</v>
      </c>
    </row>
    <row r="2377">
      <c r="BX2377">
        <f>IF(OR(cMed=0,cMed2=0,2375&gt;nFilas),NA(),IF(AND(ISNUMBER(INDEX(rMed2,2375)),ISNUMBER(INDEX(rMed,2375))),INDEX(rMed2,2375),NA()))</f>
        <v>4</v>
      </c>
      <c r="BY2377">
        <f>IF(OR(cMed=0,cMed2=0,2375&gt;nFilas),NA(),IF(AND(ISNUMBER(INDEX(rMed2,2375)),ISNUMBER(INDEX(rMed,2375))),INDEX(rMed,2375),NA()))</f>
        <v>386800</v>
      </c>
    </row>
    <row r="2378">
      <c r="BX2378">
        <f>IF(OR(cMed=0,cMed2=0,2376&gt;nFilas),NA(),IF(AND(ISNUMBER(INDEX(rMed2,2376)),ISNUMBER(INDEX(rMed,2376))),INDEX(rMed2,2376),NA()))</f>
        <v>3</v>
      </c>
      <c r="BY2378">
        <f>IF(OR(cMed=0,cMed2=0,2376&gt;nFilas),NA(),IF(AND(ISNUMBER(INDEX(rMed2,2376)),ISNUMBER(INDEX(rMed,2376))),INDEX(rMed,2376),NA()))</f>
        <v>710700</v>
      </c>
    </row>
    <row r="2379">
      <c r="BX2379">
        <f>IF(OR(cMed=0,cMed2=0,2377&gt;nFilas),NA(),IF(AND(ISNUMBER(INDEX(rMed2,2377)),ISNUMBER(INDEX(rMed,2377))),INDEX(rMed2,2377),NA()))</f>
        <v>3</v>
      </c>
      <c r="BY2379">
        <f>IF(OR(cMed=0,cMed2=0,2377&gt;nFilas),NA(),IF(AND(ISNUMBER(INDEX(rMed2,2377)),ISNUMBER(INDEX(rMed,2377))),INDEX(rMed,2377),NA()))</f>
        <v>3426540</v>
      </c>
    </row>
    <row r="2380">
      <c r="BX2380">
        <f>IF(OR(cMed=0,cMed2=0,2378&gt;nFilas),NA(),IF(AND(ISNUMBER(INDEX(rMed2,2378)),ISNUMBER(INDEX(rMed,2378))),INDEX(rMed2,2378),NA()))</f>
        <v>3</v>
      </c>
      <c r="BY2380">
        <f>IF(OR(cMed=0,cMed2=0,2378&gt;nFilas),NA(),IF(AND(ISNUMBER(INDEX(rMed2,2378)),ISNUMBER(INDEX(rMed,2378))),INDEX(rMed,2378),NA()))</f>
        <v>2902830</v>
      </c>
    </row>
    <row r="2381">
      <c r="BX2381">
        <f>IF(OR(cMed=0,cMed2=0,2379&gt;nFilas),NA(),IF(AND(ISNUMBER(INDEX(rMed2,2379)),ISNUMBER(INDEX(rMed,2379))),INDEX(rMed2,2379),NA()))</f>
        <v>1</v>
      </c>
      <c r="BY2381">
        <f>IF(OR(cMed=0,cMed2=0,2379&gt;nFilas),NA(),IF(AND(ISNUMBER(INDEX(rMed2,2379)),ISNUMBER(INDEX(rMed,2379))),INDEX(rMed,2379),NA()))</f>
        <v>825010</v>
      </c>
    </row>
    <row r="2382">
      <c r="BX2382">
        <f>IF(OR(cMed=0,cMed2=0,2380&gt;nFilas),NA(),IF(AND(ISNUMBER(INDEX(rMed2,2380)),ISNUMBER(INDEX(rMed,2380))),INDEX(rMed2,2380),NA()))</f>
        <v>2</v>
      </c>
      <c r="BY2382">
        <f>IF(OR(cMed=0,cMed2=0,2380&gt;nFilas),NA(),IF(AND(ISNUMBER(INDEX(rMed2,2380)),ISNUMBER(INDEX(rMed,2380))),INDEX(rMed,2380),NA()))</f>
        <v>183080</v>
      </c>
    </row>
    <row r="2383">
      <c r="BX2383">
        <f>IF(OR(cMed=0,cMed2=0,2381&gt;nFilas),NA(),IF(AND(ISNUMBER(INDEX(rMed2,2381)),ISNUMBER(INDEX(rMed,2381))),INDEX(rMed2,2381),NA()))</f>
        <v>5</v>
      </c>
      <c r="BY2383">
        <f>IF(OR(cMed=0,cMed2=0,2381&gt;nFilas),NA(),IF(AND(ISNUMBER(INDEX(rMed2,2381)),ISNUMBER(INDEX(rMed,2381))),INDEX(rMed,2381),NA()))</f>
        <v>4299850</v>
      </c>
    </row>
    <row r="2384">
      <c r="BX2384">
        <f>IF(OR(cMed=0,cMed2=0,2382&gt;nFilas),NA(),IF(AND(ISNUMBER(INDEX(rMed2,2382)),ISNUMBER(INDEX(rMed,2382))),INDEX(rMed2,2382),NA()))</f>
        <v>2</v>
      </c>
      <c r="BY2384">
        <f>IF(OR(cMed=0,cMed2=0,2382&gt;nFilas),NA(),IF(AND(ISNUMBER(INDEX(rMed2,2382)),ISNUMBER(INDEX(rMed,2382))),INDEX(rMed,2382),NA()))</f>
        <v>320390</v>
      </c>
    </row>
    <row r="2385">
      <c r="BX2385">
        <f>IF(OR(cMed=0,cMed2=0,2383&gt;nFilas),NA(),IF(AND(ISNUMBER(INDEX(rMed2,2383)),ISNUMBER(INDEX(rMed,2383))),INDEX(rMed2,2383),NA()))</f>
        <v>3</v>
      </c>
      <c r="BY2385">
        <f>IF(OR(cMed=0,cMed2=0,2383&gt;nFilas),NA(),IF(AND(ISNUMBER(INDEX(rMed2,2383)),ISNUMBER(INDEX(rMed,2383))),INDEX(rMed,2383),NA()))</f>
        <v>2413620</v>
      </c>
    </row>
    <row r="2386">
      <c r="BX2386">
        <f>IF(OR(cMed=0,cMed2=0,2384&gt;nFilas),NA(),IF(AND(ISNUMBER(INDEX(rMed2,2384)),ISNUMBER(INDEX(rMed,2384))),INDEX(rMed2,2384),NA()))</f>
        <v>4</v>
      </c>
      <c r="BY2386">
        <f>IF(OR(cMed=0,cMed2=0,2384&gt;nFilas),NA(),IF(AND(ISNUMBER(INDEX(rMed2,2384)),ISNUMBER(INDEX(rMed,2384))),INDEX(rMed,2384),NA()))</f>
        <v>929200</v>
      </c>
    </row>
    <row r="2387">
      <c r="BX2387">
        <f>IF(OR(cMed=0,cMed2=0,2385&gt;nFilas),NA(),IF(AND(ISNUMBER(INDEX(rMed2,2385)),ISNUMBER(INDEX(rMed,2385))),INDEX(rMed2,2385),NA()))</f>
        <v>4</v>
      </c>
      <c r="BY2387">
        <f>IF(OR(cMed=0,cMed2=0,2385&gt;nFilas),NA(),IF(AND(ISNUMBER(INDEX(rMed2,2385)),ISNUMBER(INDEX(rMed,2385))),INDEX(rMed,2385),NA()))</f>
        <v>876300</v>
      </c>
    </row>
    <row r="2388">
      <c r="BX2388">
        <f>IF(OR(cMed=0,cMed2=0,2386&gt;nFilas),NA(),IF(AND(ISNUMBER(INDEX(rMed2,2386)),ISNUMBER(INDEX(rMed,2386))),INDEX(rMed2,2386),NA()))</f>
        <v>1</v>
      </c>
      <c r="BY2388">
        <f>IF(OR(cMed=0,cMed2=0,2386&gt;nFilas),NA(),IF(AND(ISNUMBER(INDEX(rMed2,2386)),ISNUMBER(INDEX(rMed,2386))),INDEX(rMed,2386),NA()))</f>
        <v>60375</v>
      </c>
    </row>
    <row r="2389">
      <c r="BX2389">
        <f>IF(OR(cMed=0,cMed2=0,2387&gt;nFilas),NA(),IF(AND(ISNUMBER(INDEX(rMed2,2387)),ISNUMBER(INDEX(rMed,2387))),INDEX(rMed2,2387),NA()))</f>
        <v>4</v>
      </c>
      <c r="BY2389">
        <f>IF(OR(cMed=0,cMed2=0,2387&gt;nFilas),NA(),IF(AND(ISNUMBER(INDEX(rMed2,2387)),ISNUMBER(INDEX(rMed,2387))),INDEX(rMed,2387),NA()))</f>
        <v>4598620</v>
      </c>
    </row>
    <row r="2390">
      <c r="BX2390">
        <f>IF(OR(cMed=0,cMed2=0,2388&gt;nFilas),NA(),IF(AND(ISNUMBER(INDEX(rMed2,2388)),ISNUMBER(INDEX(rMed,2388))),INDEX(rMed2,2388),NA()))</f>
        <v>5</v>
      </c>
      <c r="BY2390">
        <f>IF(OR(cMed=0,cMed2=0,2388&gt;nFilas),NA(),IF(AND(ISNUMBER(INDEX(rMed2,2388)),ISNUMBER(INDEX(rMed,2388))),INDEX(rMed,2388),NA()))</f>
        <v>506575</v>
      </c>
    </row>
    <row r="2391">
      <c r="BX2391">
        <f>IF(OR(cMed=0,cMed2=0,2389&gt;nFilas),NA(),IF(AND(ISNUMBER(INDEX(rMed2,2389)),ISNUMBER(INDEX(rMed,2389))),INDEX(rMed2,2389),NA()))</f>
        <v>5</v>
      </c>
      <c r="BY2391">
        <f>IF(OR(cMed=0,cMed2=0,2389&gt;nFilas),NA(),IF(AND(ISNUMBER(INDEX(rMed2,2389)),ISNUMBER(INDEX(rMed,2389))),INDEX(rMed,2389),NA()))</f>
        <v>602600</v>
      </c>
    </row>
    <row r="2392">
      <c r="BX2392">
        <f>IF(OR(cMed=0,cMed2=0,2390&gt;nFilas),NA(),IF(AND(ISNUMBER(INDEX(rMed2,2390)),ISNUMBER(INDEX(rMed,2390))),INDEX(rMed2,2390),NA()))</f>
        <v>4</v>
      </c>
      <c r="BY2392">
        <f>IF(OR(cMed=0,cMed2=0,2390&gt;nFilas),NA(),IF(AND(ISNUMBER(INDEX(rMed2,2390)),ISNUMBER(INDEX(rMed,2390))),INDEX(rMed,2390),NA()))</f>
        <v>572700</v>
      </c>
    </row>
    <row r="2393">
      <c r="BX2393">
        <f>IF(OR(cMed=0,cMed2=0,2391&gt;nFilas),NA(),IF(AND(ISNUMBER(INDEX(rMed2,2391)),ISNUMBER(INDEX(rMed,2391))),INDEX(rMed2,2391),NA()))</f>
        <v>4</v>
      </c>
      <c r="BY2393">
        <f>IF(OR(cMed=0,cMed2=0,2391&gt;nFilas),NA(),IF(AND(ISNUMBER(INDEX(rMed2,2391)),ISNUMBER(INDEX(rMed,2391))),INDEX(rMed,2391),NA()))</f>
        <v>4822180</v>
      </c>
    </row>
    <row r="2394">
      <c r="BX2394">
        <f>IF(OR(cMed=0,cMed2=0,2392&gt;nFilas),NA(),IF(AND(ISNUMBER(INDEX(rMed2,2392)),ISNUMBER(INDEX(rMed,2392))),INDEX(rMed2,2392),NA()))</f>
        <v>5</v>
      </c>
      <c r="BY2394">
        <f>IF(OR(cMed=0,cMed2=0,2392&gt;nFilas),NA(),IF(AND(ISNUMBER(INDEX(rMed2,2392)),ISNUMBER(INDEX(rMed,2392))),INDEX(rMed,2392),NA()))</f>
        <v>884350</v>
      </c>
    </row>
    <row r="2395">
      <c r="BX2395">
        <f>IF(OR(cMed=0,cMed2=0,2393&gt;nFilas),NA(),IF(AND(ISNUMBER(INDEX(rMed2,2393)),ISNUMBER(INDEX(rMed,2393))),INDEX(rMed2,2393),NA()))</f>
        <v>3</v>
      </c>
      <c r="BY2395">
        <f>IF(OR(cMed=0,cMed2=0,2393&gt;nFilas),NA(),IF(AND(ISNUMBER(INDEX(rMed2,2393)),ISNUMBER(INDEX(rMed,2393))),INDEX(rMed,2393),NA()))</f>
        <v>283200</v>
      </c>
    </row>
    <row r="2396">
      <c r="BX2396">
        <f>IF(OR(cMed=0,cMed2=0,2394&gt;nFilas),NA(),IF(AND(ISNUMBER(INDEX(rMed2,2394)),ISNUMBER(INDEX(rMed,2394))),INDEX(rMed2,2394),NA()))</f>
        <v>1</v>
      </c>
      <c r="BY2396">
        <f>IF(OR(cMed=0,cMed2=0,2394&gt;nFilas),NA(),IF(AND(ISNUMBER(INDEX(rMed2,2394)),ISNUMBER(INDEX(rMed,2394))),INDEX(rMed,2394),NA()))</f>
        <v>135600</v>
      </c>
    </row>
    <row r="2397">
      <c r="BX2397">
        <f>IF(OR(cMed=0,cMed2=0,2395&gt;nFilas),NA(),IF(AND(ISNUMBER(INDEX(rMed2,2395)),ISNUMBER(INDEX(rMed,2395))),INDEX(rMed2,2395),NA()))</f>
        <v>4</v>
      </c>
      <c r="BY2397">
        <f>IF(OR(cMed=0,cMed2=0,2395&gt;nFilas),NA(),IF(AND(ISNUMBER(INDEX(rMed2,2395)),ISNUMBER(INDEX(rMed,2395))),INDEX(rMed,2395),NA()))</f>
        <v>589600</v>
      </c>
    </row>
    <row r="2398">
      <c r="BX2398">
        <f>IF(OR(cMed=0,cMed2=0,2396&gt;nFilas),NA(),IF(AND(ISNUMBER(INDEX(rMed2,2396)),ISNUMBER(INDEX(rMed,2396))),INDEX(rMed2,2396),NA()))</f>
        <v>4</v>
      </c>
      <c r="BY2398">
        <f>IF(OR(cMed=0,cMed2=0,2396&gt;nFilas),NA(),IF(AND(ISNUMBER(INDEX(rMed2,2396)),ISNUMBER(INDEX(rMed,2396))),INDEX(rMed,2396),NA()))</f>
        <v>288400</v>
      </c>
    </row>
    <row r="2399">
      <c r="BX2399">
        <f>IF(OR(cMed=0,cMed2=0,2397&gt;nFilas),NA(),IF(AND(ISNUMBER(INDEX(rMed2,2397)),ISNUMBER(INDEX(rMed,2397))),INDEX(rMed2,2397),NA()))</f>
        <v>1</v>
      </c>
      <c r="BY2399">
        <f>IF(OR(cMed=0,cMed2=0,2397&gt;nFilas),NA(),IF(AND(ISNUMBER(INDEX(rMed2,2397)),ISNUMBER(INDEX(rMed,2397))),INDEX(rMed,2397),NA()))</f>
        <v>1090300</v>
      </c>
    </row>
    <row r="2400">
      <c r="BX2400">
        <f>IF(OR(cMed=0,cMed2=0,2398&gt;nFilas),NA(),IF(AND(ISNUMBER(INDEX(rMed2,2398)),ISNUMBER(INDEX(rMed,2398))),INDEX(rMed2,2398),NA()))</f>
        <v>3</v>
      </c>
      <c r="BY2400">
        <f>IF(OR(cMed=0,cMed2=0,2398&gt;nFilas),NA(),IF(AND(ISNUMBER(INDEX(rMed2,2398)),ISNUMBER(INDEX(rMed,2398))),INDEX(rMed,2398),NA()))</f>
        <v>456300</v>
      </c>
    </row>
    <row r="2401">
      <c r="BX2401">
        <f>IF(OR(cMed=0,cMed2=0,2399&gt;nFilas),NA(),IF(AND(ISNUMBER(INDEX(rMed2,2399)),ISNUMBER(INDEX(rMed,2399))),INDEX(rMed2,2399),NA()))</f>
        <v>2</v>
      </c>
      <c r="BY2401">
        <f>IF(OR(cMed=0,cMed2=0,2399&gt;nFilas),NA(),IF(AND(ISNUMBER(INDEX(rMed2,2399)),ISNUMBER(INDEX(rMed,2399))),INDEX(rMed,2399),NA()))</f>
        <v>1833400</v>
      </c>
    </row>
    <row r="2402">
      <c r="BX2402">
        <f>IF(OR(cMed=0,cMed2=0,2400&gt;nFilas),NA(),IF(AND(ISNUMBER(INDEX(rMed2,2400)),ISNUMBER(INDEX(rMed,2400))),INDEX(rMed2,2400),NA()))</f>
        <v>4</v>
      </c>
      <c r="BY2402">
        <f>IF(OR(cMed=0,cMed2=0,2400&gt;nFilas),NA(),IF(AND(ISNUMBER(INDEX(rMed2,2400)),ISNUMBER(INDEX(rMed,2400))),INDEX(rMed,2400),NA()))</f>
        <v>414800</v>
      </c>
    </row>
    <row r="2403">
      <c r="BX2403" t="e">
        <f>IF(OR(cMed=0,cMed2=0,2401&gt;nFilas),NA(),IF(AND(ISNUMBER(INDEX(rMed2,2401)),ISNUMBER(INDEX(rMed,2401))),INDEX(rMed2,2401),NA()))</f>
        <v>#N/A</v>
      </c>
      <c r="BY2403" t="e">
        <f>IF(OR(cMed=0,cMed2=0,2401&gt;nFilas),NA(),IF(AND(ISNUMBER(INDEX(rMed2,2401)),ISNUMBER(INDEX(rMed,2401))),INDEX(rMed,2401),NA()))</f>
        <v>#N/A</v>
      </c>
    </row>
    <row r="2404">
      <c r="BX2404" t="e">
        <f>IF(OR(cMed=0,cMed2=0,2402&gt;nFilas),NA(),IF(AND(ISNUMBER(INDEX(rMed2,2402)),ISNUMBER(INDEX(rMed,2402))),INDEX(rMed2,2402),NA()))</f>
        <v>#N/A</v>
      </c>
      <c r="BY2404" t="e">
        <f>IF(OR(cMed=0,cMed2=0,2402&gt;nFilas),NA(),IF(AND(ISNUMBER(INDEX(rMed2,2402)),ISNUMBER(INDEX(rMed,2402))),INDEX(rMed,2402),NA()))</f>
        <v>#N/A</v>
      </c>
    </row>
    <row r="2405">
      <c r="BX2405" t="e">
        <f>IF(OR(cMed=0,cMed2=0,2403&gt;nFilas),NA(),IF(AND(ISNUMBER(INDEX(rMed2,2403)),ISNUMBER(INDEX(rMed,2403))),INDEX(rMed2,2403),NA()))</f>
        <v>#N/A</v>
      </c>
      <c r="BY2405" t="e">
        <f>IF(OR(cMed=0,cMed2=0,2403&gt;nFilas),NA(),IF(AND(ISNUMBER(INDEX(rMed2,2403)),ISNUMBER(INDEX(rMed,2403))),INDEX(rMed,2403),NA()))</f>
        <v>#N/A</v>
      </c>
    </row>
    <row r="2406">
      <c r="BX2406" t="e">
        <f>IF(OR(cMed=0,cMed2=0,2404&gt;nFilas),NA(),IF(AND(ISNUMBER(INDEX(rMed2,2404)),ISNUMBER(INDEX(rMed,2404))),INDEX(rMed2,2404),NA()))</f>
        <v>#N/A</v>
      </c>
      <c r="BY2406" t="e">
        <f>IF(OR(cMed=0,cMed2=0,2404&gt;nFilas),NA(),IF(AND(ISNUMBER(INDEX(rMed2,2404)),ISNUMBER(INDEX(rMed,2404))),INDEX(rMed,2404),NA()))</f>
        <v>#N/A</v>
      </c>
    </row>
    <row r="2407">
      <c r="BX2407" t="e">
        <f>IF(OR(cMed=0,cMed2=0,2405&gt;nFilas),NA(),IF(AND(ISNUMBER(INDEX(rMed2,2405)),ISNUMBER(INDEX(rMed,2405))),INDEX(rMed2,2405),NA()))</f>
        <v>#N/A</v>
      </c>
      <c r="BY2407" t="e">
        <f>IF(OR(cMed=0,cMed2=0,2405&gt;nFilas),NA(),IF(AND(ISNUMBER(INDEX(rMed2,2405)),ISNUMBER(INDEX(rMed,2405))),INDEX(rMed,2405),NA()))</f>
        <v>#N/A</v>
      </c>
    </row>
    <row r="2408">
      <c r="BX2408" t="e">
        <f>IF(OR(cMed=0,cMed2=0,2406&gt;nFilas),NA(),IF(AND(ISNUMBER(INDEX(rMed2,2406)),ISNUMBER(INDEX(rMed,2406))),INDEX(rMed2,2406),NA()))</f>
        <v>#N/A</v>
      </c>
      <c r="BY2408" t="e">
        <f>IF(OR(cMed=0,cMed2=0,2406&gt;nFilas),NA(),IF(AND(ISNUMBER(INDEX(rMed2,2406)),ISNUMBER(INDEX(rMed,2406))),INDEX(rMed,2406),NA()))</f>
        <v>#N/A</v>
      </c>
    </row>
    <row r="2409">
      <c r="BX2409" t="e">
        <f>IF(OR(cMed=0,cMed2=0,2407&gt;nFilas),NA(),IF(AND(ISNUMBER(INDEX(rMed2,2407)),ISNUMBER(INDEX(rMed,2407))),INDEX(rMed2,2407),NA()))</f>
        <v>#N/A</v>
      </c>
      <c r="BY2409" t="e">
        <f>IF(OR(cMed=0,cMed2=0,2407&gt;nFilas),NA(),IF(AND(ISNUMBER(INDEX(rMed2,2407)),ISNUMBER(INDEX(rMed,2407))),INDEX(rMed,2407),NA()))</f>
        <v>#N/A</v>
      </c>
    </row>
    <row r="2410">
      <c r="BX2410" t="e">
        <f>IF(OR(cMed=0,cMed2=0,2408&gt;nFilas),NA(),IF(AND(ISNUMBER(INDEX(rMed2,2408)),ISNUMBER(INDEX(rMed,2408))),INDEX(rMed2,2408),NA()))</f>
        <v>#N/A</v>
      </c>
      <c r="BY2410" t="e">
        <f>IF(OR(cMed=0,cMed2=0,2408&gt;nFilas),NA(),IF(AND(ISNUMBER(INDEX(rMed2,2408)),ISNUMBER(INDEX(rMed,2408))),INDEX(rMed,2408),NA()))</f>
        <v>#N/A</v>
      </c>
    </row>
    <row r="2411">
      <c r="BX2411" t="e">
        <f>IF(OR(cMed=0,cMed2=0,2409&gt;nFilas),NA(),IF(AND(ISNUMBER(INDEX(rMed2,2409)),ISNUMBER(INDEX(rMed,2409))),INDEX(rMed2,2409),NA()))</f>
        <v>#N/A</v>
      </c>
      <c r="BY2411" t="e">
        <f>IF(OR(cMed=0,cMed2=0,2409&gt;nFilas),NA(),IF(AND(ISNUMBER(INDEX(rMed2,2409)),ISNUMBER(INDEX(rMed,2409))),INDEX(rMed,2409),NA()))</f>
        <v>#N/A</v>
      </c>
    </row>
    <row r="2412">
      <c r="BX2412" t="e">
        <f>IF(OR(cMed=0,cMed2=0,2410&gt;nFilas),NA(),IF(AND(ISNUMBER(INDEX(rMed2,2410)),ISNUMBER(INDEX(rMed,2410))),INDEX(rMed2,2410),NA()))</f>
        <v>#N/A</v>
      </c>
      <c r="BY2412" t="e">
        <f>IF(OR(cMed=0,cMed2=0,2410&gt;nFilas),NA(),IF(AND(ISNUMBER(INDEX(rMed2,2410)),ISNUMBER(INDEX(rMed,2410))),INDEX(rMed,2410),NA()))</f>
        <v>#N/A</v>
      </c>
    </row>
    <row r="2413">
      <c r="BX2413" t="e">
        <f>IF(OR(cMed=0,cMed2=0,2411&gt;nFilas),NA(),IF(AND(ISNUMBER(INDEX(rMed2,2411)),ISNUMBER(INDEX(rMed,2411))),INDEX(rMed2,2411),NA()))</f>
        <v>#N/A</v>
      </c>
      <c r="BY2413" t="e">
        <f>IF(OR(cMed=0,cMed2=0,2411&gt;nFilas),NA(),IF(AND(ISNUMBER(INDEX(rMed2,2411)),ISNUMBER(INDEX(rMed,2411))),INDEX(rMed,2411),NA()))</f>
        <v>#N/A</v>
      </c>
    </row>
    <row r="2414">
      <c r="BX2414" t="e">
        <f>IF(OR(cMed=0,cMed2=0,2412&gt;nFilas),NA(),IF(AND(ISNUMBER(INDEX(rMed2,2412)),ISNUMBER(INDEX(rMed,2412))),INDEX(rMed2,2412),NA()))</f>
        <v>#N/A</v>
      </c>
      <c r="BY2414" t="e">
        <f>IF(OR(cMed=0,cMed2=0,2412&gt;nFilas),NA(),IF(AND(ISNUMBER(INDEX(rMed2,2412)),ISNUMBER(INDEX(rMed,2412))),INDEX(rMed,2412),NA()))</f>
        <v>#N/A</v>
      </c>
    </row>
    <row r="2415">
      <c r="BX2415" t="e">
        <f>IF(OR(cMed=0,cMed2=0,2413&gt;nFilas),NA(),IF(AND(ISNUMBER(INDEX(rMed2,2413)),ISNUMBER(INDEX(rMed,2413))),INDEX(rMed2,2413),NA()))</f>
        <v>#N/A</v>
      </c>
      <c r="BY2415" t="e">
        <f>IF(OR(cMed=0,cMed2=0,2413&gt;nFilas),NA(),IF(AND(ISNUMBER(INDEX(rMed2,2413)),ISNUMBER(INDEX(rMed,2413))),INDEX(rMed,2413),NA()))</f>
        <v>#N/A</v>
      </c>
    </row>
    <row r="2416">
      <c r="BX2416" t="e">
        <f>IF(OR(cMed=0,cMed2=0,2414&gt;nFilas),NA(),IF(AND(ISNUMBER(INDEX(rMed2,2414)),ISNUMBER(INDEX(rMed,2414))),INDEX(rMed2,2414),NA()))</f>
        <v>#N/A</v>
      </c>
      <c r="BY2416" t="e">
        <f>IF(OR(cMed=0,cMed2=0,2414&gt;nFilas),NA(),IF(AND(ISNUMBER(INDEX(rMed2,2414)),ISNUMBER(INDEX(rMed,2414))),INDEX(rMed,2414),NA()))</f>
        <v>#N/A</v>
      </c>
    </row>
    <row r="2417">
      <c r="BX2417" t="e">
        <f>IF(OR(cMed=0,cMed2=0,2415&gt;nFilas),NA(),IF(AND(ISNUMBER(INDEX(rMed2,2415)),ISNUMBER(INDEX(rMed,2415))),INDEX(rMed2,2415),NA()))</f>
        <v>#N/A</v>
      </c>
      <c r="BY2417" t="e">
        <f>IF(OR(cMed=0,cMed2=0,2415&gt;nFilas),NA(),IF(AND(ISNUMBER(INDEX(rMed2,2415)),ISNUMBER(INDEX(rMed,2415))),INDEX(rMed,2415),NA()))</f>
        <v>#N/A</v>
      </c>
    </row>
    <row r="2418">
      <c r="BX2418" t="e">
        <f>IF(OR(cMed=0,cMed2=0,2416&gt;nFilas),NA(),IF(AND(ISNUMBER(INDEX(rMed2,2416)),ISNUMBER(INDEX(rMed,2416))),INDEX(rMed2,2416),NA()))</f>
        <v>#N/A</v>
      </c>
      <c r="BY2418" t="e">
        <f>IF(OR(cMed=0,cMed2=0,2416&gt;nFilas),NA(),IF(AND(ISNUMBER(INDEX(rMed2,2416)),ISNUMBER(INDEX(rMed,2416))),INDEX(rMed,2416),NA()))</f>
        <v>#N/A</v>
      </c>
    </row>
    <row r="2419">
      <c r="BX2419" t="e">
        <f>IF(OR(cMed=0,cMed2=0,2417&gt;nFilas),NA(),IF(AND(ISNUMBER(INDEX(rMed2,2417)),ISNUMBER(INDEX(rMed,2417))),INDEX(rMed2,2417),NA()))</f>
        <v>#N/A</v>
      </c>
      <c r="BY2419" t="e">
        <f>IF(OR(cMed=0,cMed2=0,2417&gt;nFilas),NA(),IF(AND(ISNUMBER(INDEX(rMed2,2417)),ISNUMBER(INDEX(rMed,2417))),INDEX(rMed,2417),NA()))</f>
        <v>#N/A</v>
      </c>
    </row>
    <row r="2420">
      <c r="BX2420" t="e">
        <f>IF(OR(cMed=0,cMed2=0,2418&gt;nFilas),NA(),IF(AND(ISNUMBER(INDEX(rMed2,2418)),ISNUMBER(INDEX(rMed,2418))),INDEX(rMed2,2418),NA()))</f>
        <v>#N/A</v>
      </c>
      <c r="BY2420" t="e">
        <f>IF(OR(cMed=0,cMed2=0,2418&gt;nFilas),NA(),IF(AND(ISNUMBER(INDEX(rMed2,2418)),ISNUMBER(INDEX(rMed,2418))),INDEX(rMed,2418),NA()))</f>
        <v>#N/A</v>
      </c>
    </row>
    <row r="2421">
      <c r="BX2421" t="e">
        <f>IF(OR(cMed=0,cMed2=0,2419&gt;nFilas),NA(),IF(AND(ISNUMBER(INDEX(rMed2,2419)),ISNUMBER(INDEX(rMed,2419))),INDEX(rMed2,2419),NA()))</f>
        <v>#N/A</v>
      </c>
      <c r="BY2421" t="e">
        <f>IF(OR(cMed=0,cMed2=0,2419&gt;nFilas),NA(),IF(AND(ISNUMBER(INDEX(rMed2,2419)),ISNUMBER(INDEX(rMed,2419))),INDEX(rMed,2419),NA()))</f>
        <v>#N/A</v>
      </c>
    </row>
    <row r="2422">
      <c r="BX2422" t="e">
        <f>IF(OR(cMed=0,cMed2=0,2420&gt;nFilas),NA(),IF(AND(ISNUMBER(INDEX(rMed2,2420)),ISNUMBER(INDEX(rMed,2420))),INDEX(rMed2,2420),NA()))</f>
        <v>#N/A</v>
      </c>
      <c r="BY2422" t="e">
        <f>IF(OR(cMed=0,cMed2=0,2420&gt;nFilas),NA(),IF(AND(ISNUMBER(INDEX(rMed2,2420)),ISNUMBER(INDEX(rMed,2420))),INDEX(rMed,2420),NA()))</f>
        <v>#N/A</v>
      </c>
    </row>
    <row r="2423">
      <c r="BX2423" t="e">
        <f>IF(OR(cMed=0,cMed2=0,2421&gt;nFilas),NA(),IF(AND(ISNUMBER(INDEX(rMed2,2421)),ISNUMBER(INDEX(rMed,2421))),INDEX(rMed2,2421),NA()))</f>
        <v>#N/A</v>
      </c>
      <c r="BY2423" t="e">
        <f>IF(OR(cMed=0,cMed2=0,2421&gt;nFilas),NA(),IF(AND(ISNUMBER(INDEX(rMed2,2421)),ISNUMBER(INDEX(rMed,2421))),INDEX(rMed,2421),NA()))</f>
        <v>#N/A</v>
      </c>
    </row>
    <row r="2424">
      <c r="BX2424" t="e">
        <f>IF(OR(cMed=0,cMed2=0,2422&gt;nFilas),NA(),IF(AND(ISNUMBER(INDEX(rMed2,2422)),ISNUMBER(INDEX(rMed,2422))),INDEX(rMed2,2422),NA()))</f>
        <v>#N/A</v>
      </c>
      <c r="BY2424" t="e">
        <f>IF(OR(cMed=0,cMed2=0,2422&gt;nFilas),NA(),IF(AND(ISNUMBER(INDEX(rMed2,2422)),ISNUMBER(INDEX(rMed,2422))),INDEX(rMed,2422),NA()))</f>
        <v>#N/A</v>
      </c>
    </row>
    <row r="2425">
      <c r="BX2425" t="e">
        <f>IF(OR(cMed=0,cMed2=0,2423&gt;nFilas),NA(),IF(AND(ISNUMBER(INDEX(rMed2,2423)),ISNUMBER(INDEX(rMed,2423))),INDEX(rMed2,2423),NA()))</f>
        <v>#N/A</v>
      </c>
      <c r="BY2425" t="e">
        <f>IF(OR(cMed=0,cMed2=0,2423&gt;nFilas),NA(),IF(AND(ISNUMBER(INDEX(rMed2,2423)),ISNUMBER(INDEX(rMed,2423))),INDEX(rMed,2423),NA()))</f>
        <v>#N/A</v>
      </c>
    </row>
    <row r="2426">
      <c r="BX2426" t="e">
        <f>IF(OR(cMed=0,cMed2=0,2424&gt;nFilas),NA(),IF(AND(ISNUMBER(INDEX(rMed2,2424)),ISNUMBER(INDEX(rMed,2424))),INDEX(rMed2,2424),NA()))</f>
        <v>#N/A</v>
      </c>
      <c r="BY2426" t="e">
        <f>IF(OR(cMed=0,cMed2=0,2424&gt;nFilas),NA(),IF(AND(ISNUMBER(INDEX(rMed2,2424)),ISNUMBER(INDEX(rMed,2424))),INDEX(rMed,2424),NA()))</f>
        <v>#N/A</v>
      </c>
    </row>
    <row r="2427">
      <c r="BX2427" t="e">
        <f>IF(OR(cMed=0,cMed2=0,2425&gt;nFilas),NA(),IF(AND(ISNUMBER(INDEX(rMed2,2425)),ISNUMBER(INDEX(rMed,2425))),INDEX(rMed2,2425),NA()))</f>
        <v>#N/A</v>
      </c>
      <c r="BY2427" t="e">
        <f>IF(OR(cMed=0,cMed2=0,2425&gt;nFilas),NA(),IF(AND(ISNUMBER(INDEX(rMed2,2425)),ISNUMBER(INDEX(rMed,2425))),INDEX(rMed,2425),NA()))</f>
        <v>#N/A</v>
      </c>
    </row>
    <row r="2428">
      <c r="BX2428" t="e">
        <f>IF(OR(cMed=0,cMed2=0,2426&gt;nFilas),NA(),IF(AND(ISNUMBER(INDEX(rMed2,2426)),ISNUMBER(INDEX(rMed,2426))),INDEX(rMed2,2426),NA()))</f>
        <v>#N/A</v>
      </c>
      <c r="BY2428" t="e">
        <f>IF(OR(cMed=0,cMed2=0,2426&gt;nFilas),NA(),IF(AND(ISNUMBER(INDEX(rMed2,2426)),ISNUMBER(INDEX(rMed,2426))),INDEX(rMed,2426),NA()))</f>
        <v>#N/A</v>
      </c>
    </row>
    <row r="2429">
      <c r="BX2429" t="e">
        <f>IF(OR(cMed=0,cMed2=0,2427&gt;nFilas),NA(),IF(AND(ISNUMBER(INDEX(rMed2,2427)),ISNUMBER(INDEX(rMed,2427))),INDEX(rMed2,2427),NA()))</f>
        <v>#N/A</v>
      </c>
      <c r="BY2429" t="e">
        <f>IF(OR(cMed=0,cMed2=0,2427&gt;nFilas),NA(),IF(AND(ISNUMBER(INDEX(rMed2,2427)),ISNUMBER(INDEX(rMed,2427))),INDEX(rMed,2427),NA()))</f>
        <v>#N/A</v>
      </c>
    </row>
    <row r="2430">
      <c r="BX2430" t="e">
        <f>IF(OR(cMed=0,cMed2=0,2428&gt;nFilas),NA(),IF(AND(ISNUMBER(INDEX(rMed2,2428)),ISNUMBER(INDEX(rMed,2428))),INDEX(rMed2,2428),NA()))</f>
        <v>#N/A</v>
      </c>
      <c r="BY2430" t="e">
        <f>IF(OR(cMed=0,cMed2=0,2428&gt;nFilas),NA(),IF(AND(ISNUMBER(INDEX(rMed2,2428)),ISNUMBER(INDEX(rMed,2428))),INDEX(rMed,2428),NA()))</f>
        <v>#N/A</v>
      </c>
    </row>
    <row r="2431">
      <c r="BX2431" t="e">
        <f>IF(OR(cMed=0,cMed2=0,2429&gt;nFilas),NA(),IF(AND(ISNUMBER(INDEX(rMed2,2429)),ISNUMBER(INDEX(rMed,2429))),INDEX(rMed2,2429),NA()))</f>
        <v>#N/A</v>
      </c>
      <c r="BY2431" t="e">
        <f>IF(OR(cMed=0,cMed2=0,2429&gt;nFilas),NA(),IF(AND(ISNUMBER(INDEX(rMed2,2429)),ISNUMBER(INDEX(rMed,2429))),INDEX(rMed,2429),NA()))</f>
        <v>#N/A</v>
      </c>
    </row>
    <row r="2432">
      <c r="BX2432" t="e">
        <f>IF(OR(cMed=0,cMed2=0,2430&gt;nFilas),NA(),IF(AND(ISNUMBER(INDEX(rMed2,2430)),ISNUMBER(INDEX(rMed,2430))),INDEX(rMed2,2430),NA()))</f>
        <v>#N/A</v>
      </c>
      <c r="BY2432" t="e">
        <f>IF(OR(cMed=0,cMed2=0,2430&gt;nFilas),NA(),IF(AND(ISNUMBER(INDEX(rMed2,2430)),ISNUMBER(INDEX(rMed,2430))),INDEX(rMed,2430),NA()))</f>
        <v>#N/A</v>
      </c>
    </row>
    <row r="2433">
      <c r="BX2433" t="e">
        <f>IF(OR(cMed=0,cMed2=0,2431&gt;nFilas),NA(),IF(AND(ISNUMBER(INDEX(rMed2,2431)),ISNUMBER(INDEX(rMed,2431))),INDEX(rMed2,2431),NA()))</f>
        <v>#N/A</v>
      </c>
      <c r="BY2433" t="e">
        <f>IF(OR(cMed=0,cMed2=0,2431&gt;nFilas),NA(),IF(AND(ISNUMBER(INDEX(rMed2,2431)),ISNUMBER(INDEX(rMed,2431))),INDEX(rMed,2431),NA()))</f>
        <v>#N/A</v>
      </c>
    </row>
    <row r="2434">
      <c r="BX2434" t="e">
        <f>IF(OR(cMed=0,cMed2=0,2432&gt;nFilas),NA(),IF(AND(ISNUMBER(INDEX(rMed2,2432)),ISNUMBER(INDEX(rMed,2432))),INDEX(rMed2,2432),NA()))</f>
        <v>#N/A</v>
      </c>
      <c r="BY2434" t="e">
        <f>IF(OR(cMed=0,cMed2=0,2432&gt;nFilas),NA(),IF(AND(ISNUMBER(INDEX(rMed2,2432)),ISNUMBER(INDEX(rMed,2432))),INDEX(rMed,2432),NA()))</f>
        <v>#N/A</v>
      </c>
    </row>
    <row r="2435">
      <c r="BX2435" t="e">
        <f>IF(OR(cMed=0,cMed2=0,2433&gt;nFilas),NA(),IF(AND(ISNUMBER(INDEX(rMed2,2433)),ISNUMBER(INDEX(rMed,2433))),INDEX(rMed2,2433),NA()))</f>
        <v>#N/A</v>
      </c>
      <c r="BY2435" t="e">
        <f>IF(OR(cMed=0,cMed2=0,2433&gt;nFilas),NA(),IF(AND(ISNUMBER(INDEX(rMed2,2433)),ISNUMBER(INDEX(rMed,2433))),INDEX(rMed,2433),NA()))</f>
        <v>#N/A</v>
      </c>
    </row>
    <row r="2436">
      <c r="BX2436" t="e">
        <f>IF(OR(cMed=0,cMed2=0,2434&gt;nFilas),NA(),IF(AND(ISNUMBER(INDEX(rMed2,2434)),ISNUMBER(INDEX(rMed,2434))),INDEX(rMed2,2434),NA()))</f>
        <v>#N/A</v>
      </c>
      <c r="BY2436" t="e">
        <f>IF(OR(cMed=0,cMed2=0,2434&gt;nFilas),NA(),IF(AND(ISNUMBER(INDEX(rMed2,2434)),ISNUMBER(INDEX(rMed,2434))),INDEX(rMed,2434),NA()))</f>
        <v>#N/A</v>
      </c>
    </row>
    <row r="2437">
      <c r="BX2437" t="e">
        <f>IF(OR(cMed=0,cMed2=0,2435&gt;nFilas),NA(),IF(AND(ISNUMBER(INDEX(rMed2,2435)),ISNUMBER(INDEX(rMed,2435))),INDEX(rMed2,2435),NA()))</f>
        <v>#N/A</v>
      </c>
      <c r="BY2437" t="e">
        <f>IF(OR(cMed=0,cMed2=0,2435&gt;nFilas),NA(),IF(AND(ISNUMBER(INDEX(rMed2,2435)),ISNUMBER(INDEX(rMed,2435))),INDEX(rMed,2435),NA()))</f>
        <v>#N/A</v>
      </c>
    </row>
    <row r="2438">
      <c r="BX2438" t="e">
        <f>IF(OR(cMed=0,cMed2=0,2436&gt;nFilas),NA(),IF(AND(ISNUMBER(INDEX(rMed2,2436)),ISNUMBER(INDEX(rMed,2436))),INDEX(rMed2,2436),NA()))</f>
        <v>#N/A</v>
      </c>
      <c r="BY2438" t="e">
        <f>IF(OR(cMed=0,cMed2=0,2436&gt;nFilas),NA(),IF(AND(ISNUMBER(INDEX(rMed2,2436)),ISNUMBER(INDEX(rMed,2436))),INDEX(rMed,2436),NA()))</f>
        <v>#N/A</v>
      </c>
    </row>
    <row r="2439">
      <c r="BX2439" t="e">
        <f>IF(OR(cMed=0,cMed2=0,2437&gt;nFilas),NA(),IF(AND(ISNUMBER(INDEX(rMed2,2437)),ISNUMBER(INDEX(rMed,2437))),INDEX(rMed2,2437),NA()))</f>
        <v>#N/A</v>
      </c>
      <c r="BY2439" t="e">
        <f>IF(OR(cMed=0,cMed2=0,2437&gt;nFilas),NA(),IF(AND(ISNUMBER(INDEX(rMed2,2437)),ISNUMBER(INDEX(rMed,2437))),INDEX(rMed,2437),NA()))</f>
        <v>#N/A</v>
      </c>
    </row>
    <row r="2440">
      <c r="BX2440" t="e">
        <f>IF(OR(cMed=0,cMed2=0,2438&gt;nFilas),NA(),IF(AND(ISNUMBER(INDEX(rMed2,2438)),ISNUMBER(INDEX(rMed,2438))),INDEX(rMed2,2438),NA()))</f>
        <v>#N/A</v>
      </c>
      <c r="BY2440" t="e">
        <f>IF(OR(cMed=0,cMed2=0,2438&gt;nFilas),NA(),IF(AND(ISNUMBER(INDEX(rMed2,2438)),ISNUMBER(INDEX(rMed,2438))),INDEX(rMed,2438),NA()))</f>
        <v>#N/A</v>
      </c>
    </row>
    <row r="2441">
      <c r="BX2441" t="e">
        <f>IF(OR(cMed=0,cMed2=0,2439&gt;nFilas),NA(),IF(AND(ISNUMBER(INDEX(rMed2,2439)),ISNUMBER(INDEX(rMed,2439))),INDEX(rMed2,2439),NA()))</f>
        <v>#N/A</v>
      </c>
      <c r="BY2441" t="e">
        <f>IF(OR(cMed=0,cMed2=0,2439&gt;nFilas),NA(),IF(AND(ISNUMBER(INDEX(rMed2,2439)),ISNUMBER(INDEX(rMed,2439))),INDEX(rMed,2439),NA()))</f>
        <v>#N/A</v>
      </c>
    </row>
    <row r="2442">
      <c r="BX2442" t="e">
        <f>IF(OR(cMed=0,cMed2=0,2440&gt;nFilas),NA(),IF(AND(ISNUMBER(INDEX(rMed2,2440)),ISNUMBER(INDEX(rMed,2440))),INDEX(rMed2,2440),NA()))</f>
        <v>#N/A</v>
      </c>
      <c r="BY2442" t="e">
        <f>IF(OR(cMed=0,cMed2=0,2440&gt;nFilas),NA(),IF(AND(ISNUMBER(INDEX(rMed2,2440)),ISNUMBER(INDEX(rMed,2440))),INDEX(rMed,2440),NA()))</f>
        <v>#N/A</v>
      </c>
    </row>
    <row r="2443">
      <c r="BX2443" t="e">
        <f>IF(OR(cMed=0,cMed2=0,2441&gt;nFilas),NA(),IF(AND(ISNUMBER(INDEX(rMed2,2441)),ISNUMBER(INDEX(rMed,2441))),INDEX(rMed2,2441),NA()))</f>
        <v>#N/A</v>
      </c>
      <c r="BY2443" t="e">
        <f>IF(OR(cMed=0,cMed2=0,2441&gt;nFilas),NA(),IF(AND(ISNUMBER(INDEX(rMed2,2441)),ISNUMBER(INDEX(rMed,2441))),INDEX(rMed,2441),NA()))</f>
        <v>#N/A</v>
      </c>
    </row>
    <row r="2444">
      <c r="BX2444" t="e">
        <f>IF(OR(cMed=0,cMed2=0,2442&gt;nFilas),NA(),IF(AND(ISNUMBER(INDEX(rMed2,2442)),ISNUMBER(INDEX(rMed,2442))),INDEX(rMed2,2442),NA()))</f>
        <v>#N/A</v>
      </c>
      <c r="BY2444" t="e">
        <f>IF(OR(cMed=0,cMed2=0,2442&gt;nFilas),NA(),IF(AND(ISNUMBER(INDEX(rMed2,2442)),ISNUMBER(INDEX(rMed,2442))),INDEX(rMed,2442),NA()))</f>
        <v>#N/A</v>
      </c>
    </row>
    <row r="2445">
      <c r="BX2445" t="e">
        <f>IF(OR(cMed=0,cMed2=0,2443&gt;nFilas),NA(),IF(AND(ISNUMBER(INDEX(rMed2,2443)),ISNUMBER(INDEX(rMed,2443))),INDEX(rMed2,2443),NA()))</f>
        <v>#N/A</v>
      </c>
      <c r="BY2445" t="e">
        <f>IF(OR(cMed=0,cMed2=0,2443&gt;nFilas),NA(),IF(AND(ISNUMBER(INDEX(rMed2,2443)),ISNUMBER(INDEX(rMed,2443))),INDEX(rMed,2443),NA()))</f>
        <v>#N/A</v>
      </c>
    </row>
    <row r="2446">
      <c r="BX2446" t="e">
        <f>IF(OR(cMed=0,cMed2=0,2444&gt;nFilas),NA(),IF(AND(ISNUMBER(INDEX(rMed2,2444)),ISNUMBER(INDEX(rMed,2444))),INDEX(rMed2,2444),NA()))</f>
        <v>#N/A</v>
      </c>
      <c r="BY2446" t="e">
        <f>IF(OR(cMed=0,cMed2=0,2444&gt;nFilas),NA(),IF(AND(ISNUMBER(INDEX(rMed2,2444)),ISNUMBER(INDEX(rMed,2444))),INDEX(rMed,2444),NA()))</f>
        <v>#N/A</v>
      </c>
    </row>
    <row r="2447">
      <c r="BX2447" t="e">
        <f>IF(OR(cMed=0,cMed2=0,2445&gt;nFilas),NA(),IF(AND(ISNUMBER(INDEX(rMed2,2445)),ISNUMBER(INDEX(rMed,2445))),INDEX(rMed2,2445),NA()))</f>
        <v>#N/A</v>
      </c>
      <c r="BY2447" t="e">
        <f>IF(OR(cMed=0,cMed2=0,2445&gt;nFilas),NA(),IF(AND(ISNUMBER(INDEX(rMed2,2445)),ISNUMBER(INDEX(rMed,2445))),INDEX(rMed,2445),NA()))</f>
        <v>#N/A</v>
      </c>
    </row>
    <row r="2448">
      <c r="BX2448" t="e">
        <f>IF(OR(cMed=0,cMed2=0,2446&gt;nFilas),NA(),IF(AND(ISNUMBER(INDEX(rMed2,2446)),ISNUMBER(INDEX(rMed,2446))),INDEX(rMed2,2446),NA()))</f>
        <v>#N/A</v>
      </c>
      <c r="BY2448" t="e">
        <f>IF(OR(cMed=0,cMed2=0,2446&gt;nFilas),NA(),IF(AND(ISNUMBER(INDEX(rMed2,2446)),ISNUMBER(INDEX(rMed,2446))),INDEX(rMed,2446),NA()))</f>
        <v>#N/A</v>
      </c>
    </row>
    <row r="2449">
      <c r="BX2449" t="e">
        <f>IF(OR(cMed=0,cMed2=0,2447&gt;nFilas),NA(),IF(AND(ISNUMBER(INDEX(rMed2,2447)),ISNUMBER(INDEX(rMed,2447))),INDEX(rMed2,2447),NA()))</f>
        <v>#N/A</v>
      </c>
      <c r="BY2449" t="e">
        <f>IF(OR(cMed=0,cMed2=0,2447&gt;nFilas),NA(),IF(AND(ISNUMBER(INDEX(rMed2,2447)),ISNUMBER(INDEX(rMed,2447))),INDEX(rMed,2447),NA()))</f>
        <v>#N/A</v>
      </c>
    </row>
    <row r="2450">
      <c r="BX2450" t="e">
        <f>IF(OR(cMed=0,cMed2=0,2448&gt;nFilas),NA(),IF(AND(ISNUMBER(INDEX(rMed2,2448)),ISNUMBER(INDEX(rMed,2448))),INDEX(rMed2,2448),NA()))</f>
        <v>#N/A</v>
      </c>
      <c r="BY2450" t="e">
        <f>IF(OR(cMed=0,cMed2=0,2448&gt;nFilas),NA(),IF(AND(ISNUMBER(INDEX(rMed2,2448)),ISNUMBER(INDEX(rMed,2448))),INDEX(rMed,2448),NA()))</f>
        <v>#N/A</v>
      </c>
    </row>
    <row r="2451">
      <c r="BX2451" t="e">
        <f>IF(OR(cMed=0,cMed2=0,2449&gt;nFilas),NA(),IF(AND(ISNUMBER(INDEX(rMed2,2449)),ISNUMBER(INDEX(rMed,2449))),INDEX(rMed2,2449),NA()))</f>
        <v>#N/A</v>
      </c>
      <c r="BY2451" t="e">
        <f>IF(OR(cMed=0,cMed2=0,2449&gt;nFilas),NA(),IF(AND(ISNUMBER(INDEX(rMed2,2449)),ISNUMBER(INDEX(rMed,2449))),INDEX(rMed,2449),NA()))</f>
        <v>#N/A</v>
      </c>
    </row>
    <row r="2452">
      <c r="BX2452" t="e">
        <f>IF(OR(cMed=0,cMed2=0,2450&gt;nFilas),NA(),IF(AND(ISNUMBER(INDEX(rMed2,2450)),ISNUMBER(INDEX(rMed,2450))),INDEX(rMed2,2450),NA()))</f>
        <v>#N/A</v>
      </c>
      <c r="BY2452" t="e">
        <f>IF(OR(cMed=0,cMed2=0,2450&gt;nFilas),NA(),IF(AND(ISNUMBER(INDEX(rMed2,2450)),ISNUMBER(INDEX(rMed,2450))),INDEX(rMed,2450),NA()))</f>
        <v>#N/A</v>
      </c>
    </row>
    <row r="2453">
      <c r="BX2453" t="e">
        <f>IF(OR(cMed=0,cMed2=0,2451&gt;nFilas),NA(),IF(AND(ISNUMBER(INDEX(rMed2,2451)),ISNUMBER(INDEX(rMed,2451))),INDEX(rMed2,2451),NA()))</f>
        <v>#N/A</v>
      </c>
      <c r="BY2453" t="e">
        <f>IF(OR(cMed=0,cMed2=0,2451&gt;nFilas),NA(),IF(AND(ISNUMBER(INDEX(rMed2,2451)),ISNUMBER(INDEX(rMed,2451))),INDEX(rMed,2451),NA()))</f>
        <v>#N/A</v>
      </c>
    </row>
    <row r="2454">
      <c r="BX2454" t="e">
        <f>IF(OR(cMed=0,cMed2=0,2452&gt;nFilas),NA(),IF(AND(ISNUMBER(INDEX(rMed2,2452)),ISNUMBER(INDEX(rMed,2452))),INDEX(rMed2,2452),NA()))</f>
        <v>#N/A</v>
      </c>
      <c r="BY2454" t="e">
        <f>IF(OR(cMed=0,cMed2=0,2452&gt;nFilas),NA(),IF(AND(ISNUMBER(INDEX(rMed2,2452)),ISNUMBER(INDEX(rMed,2452))),INDEX(rMed,2452),NA()))</f>
        <v>#N/A</v>
      </c>
    </row>
    <row r="2455">
      <c r="BX2455" t="e">
        <f>IF(OR(cMed=0,cMed2=0,2453&gt;nFilas),NA(),IF(AND(ISNUMBER(INDEX(rMed2,2453)),ISNUMBER(INDEX(rMed,2453))),INDEX(rMed2,2453),NA()))</f>
        <v>#N/A</v>
      </c>
      <c r="BY2455" t="e">
        <f>IF(OR(cMed=0,cMed2=0,2453&gt;nFilas),NA(),IF(AND(ISNUMBER(INDEX(rMed2,2453)),ISNUMBER(INDEX(rMed,2453))),INDEX(rMed,2453),NA()))</f>
        <v>#N/A</v>
      </c>
    </row>
    <row r="2456">
      <c r="BX2456" t="e">
        <f>IF(OR(cMed=0,cMed2=0,2454&gt;nFilas),NA(),IF(AND(ISNUMBER(INDEX(rMed2,2454)),ISNUMBER(INDEX(rMed,2454))),INDEX(rMed2,2454),NA()))</f>
        <v>#N/A</v>
      </c>
      <c r="BY2456" t="e">
        <f>IF(OR(cMed=0,cMed2=0,2454&gt;nFilas),NA(),IF(AND(ISNUMBER(INDEX(rMed2,2454)),ISNUMBER(INDEX(rMed,2454))),INDEX(rMed,2454),NA()))</f>
        <v>#N/A</v>
      </c>
    </row>
    <row r="2457">
      <c r="BX2457" t="e">
        <f>IF(OR(cMed=0,cMed2=0,2455&gt;nFilas),NA(),IF(AND(ISNUMBER(INDEX(rMed2,2455)),ISNUMBER(INDEX(rMed,2455))),INDEX(rMed2,2455),NA()))</f>
        <v>#N/A</v>
      </c>
      <c r="BY2457" t="e">
        <f>IF(OR(cMed=0,cMed2=0,2455&gt;nFilas),NA(),IF(AND(ISNUMBER(INDEX(rMed2,2455)),ISNUMBER(INDEX(rMed,2455))),INDEX(rMed,2455),NA()))</f>
        <v>#N/A</v>
      </c>
    </row>
    <row r="2458">
      <c r="BX2458" t="e">
        <f>IF(OR(cMed=0,cMed2=0,2456&gt;nFilas),NA(),IF(AND(ISNUMBER(INDEX(rMed2,2456)),ISNUMBER(INDEX(rMed,2456))),INDEX(rMed2,2456),NA()))</f>
        <v>#N/A</v>
      </c>
      <c r="BY2458" t="e">
        <f>IF(OR(cMed=0,cMed2=0,2456&gt;nFilas),NA(),IF(AND(ISNUMBER(INDEX(rMed2,2456)),ISNUMBER(INDEX(rMed,2456))),INDEX(rMed,2456),NA()))</f>
        <v>#N/A</v>
      </c>
    </row>
    <row r="2459">
      <c r="BX2459" t="e">
        <f>IF(OR(cMed=0,cMed2=0,2457&gt;nFilas),NA(),IF(AND(ISNUMBER(INDEX(rMed2,2457)),ISNUMBER(INDEX(rMed,2457))),INDEX(rMed2,2457),NA()))</f>
        <v>#N/A</v>
      </c>
      <c r="BY2459" t="e">
        <f>IF(OR(cMed=0,cMed2=0,2457&gt;nFilas),NA(),IF(AND(ISNUMBER(INDEX(rMed2,2457)),ISNUMBER(INDEX(rMed,2457))),INDEX(rMed,2457),NA()))</f>
        <v>#N/A</v>
      </c>
    </row>
    <row r="2460">
      <c r="BX2460" t="e">
        <f>IF(OR(cMed=0,cMed2=0,2458&gt;nFilas),NA(),IF(AND(ISNUMBER(INDEX(rMed2,2458)),ISNUMBER(INDEX(rMed,2458))),INDEX(rMed2,2458),NA()))</f>
        <v>#N/A</v>
      </c>
      <c r="BY2460" t="e">
        <f>IF(OR(cMed=0,cMed2=0,2458&gt;nFilas),NA(),IF(AND(ISNUMBER(INDEX(rMed2,2458)),ISNUMBER(INDEX(rMed,2458))),INDEX(rMed,2458),NA()))</f>
        <v>#N/A</v>
      </c>
    </row>
    <row r="2461">
      <c r="BX2461" t="e">
        <f>IF(OR(cMed=0,cMed2=0,2459&gt;nFilas),NA(),IF(AND(ISNUMBER(INDEX(rMed2,2459)),ISNUMBER(INDEX(rMed,2459))),INDEX(rMed2,2459),NA()))</f>
        <v>#N/A</v>
      </c>
      <c r="BY2461" t="e">
        <f>IF(OR(cMed=0,cMed2=0,2459&gt;nFilas),NA(),IF(AND(ISNUMBER(INDEX(rMed2,2459)),ISNUMBER(INDEX(rMed,2459))),INDEX(rMed,2459),NA()))</f>
        <v>#N/A</v>
      </c>
    </row>
    <row r="2462">
      <c r="BX2462" t="e">
        <f>IF(OR(cMed=0,cMed2=0,2460&gt;nFilas),NA(),IF(AND(ISNUMBER(INDEX(rMed2,2460)),ISNUMBER(INDEX(rMed,2460))),INDEX(rMed2,2460),NA()))</f>
        <v>#N/A</v>
      </c>
      <c r="BY2462" t="e">
        <f>IF(OR(cMed=0,cMed2=0,2460&gt;nFilas),NA(),IF(AND(ISNUMBER(INDEX(rMed2,2460)),ISNUMBER(INDEX(rMed,2460))),INDEX(rMed,2460),NA()))</f>
        <v>#N/A</v>
      </c>
    </row>
    <row r="2463">
      <c r="BX2463" t="e">
        <f>IF(OR(cMed=0,cMed2=0,2461&gt;nFilas),NA(),IF(AND(ISNUMBER(INDEX(rMed2,2461)),ISNUMBER(INDEX(rMed,2461))),INDEX(rMed2,2461),NA()))</f>
        <v>#N/A</v>
      </c>
      <c r="BY2463" t="e">
        <f>IF(OR(cMed=0,cMed2=0,2461&gt;nFilas),NA(),IF(AND(ISNUMBER(INDEX(rMed2,2461)),ISNUMBER(INDEX(rMed,2461))),INDEX(rMed,2461),NA()))</f>
        <v>#N/A</v>
      </c>
    </row>
    <row r="2464">
      <c r="BX2464" t="e">
        <f>IF(OR(cMed=0,cMed2=0,2462&gt;nFilas),NA(),IF(AND(ISNUMBER(INDEX(rMed2,2462)),ISNUMBER(INDEX(rMed,2462))),INDEX(rMed2,2462),NA()))</f>
        <v>#N/A</v>
      </c>
      <c r="BY2464" t="e">
        <f>IF(OR(cMed=0,cMed2=0,2462&gt;nFilas),NA(),IF(AND(ISNUMBER(INDEX(rMed2,2462)),ISNUMBER(INDEX(rMed,2462))),INDEX(rMed,2462),NA()))</f>
        <v>#N/A</v>
      </c>
    </row>
    <row r="2465">
      <c r="BX2465" t="e">
        <f>IF(OR(cMed=0,cMed2=0,2463&gt;nFilas),NA(),IF(AND(ISNUMBER(INDEX(rMed2,2463)),ISNUMBER(INDEX(rMed,2463))),INDEX(rMed2,2463),NA()))</f>
        <v>#N/A</v>
      </c>
      <c r="BY2465" t="e">
        <f>IF(OR(cMed=0,cMed2=0,2463&gt;nFilas),NA(),IF(AND(ISNUMBER(INDEX(rMed2,2463)),ISNUMBER(INDEX(rMed,2463))),INDEX(rMed,2463),NA()))</f>
        <v>#N/A</v>
      </c>
    </row>
    <row r="2466">
      <c r="BX2466" t="e">
        <f>IF(OR(cMed=0,cMed2=0,2464&gt;nFilas),NA(),IF(AND(ISNUMBER(INDEX(rMed2,2464)),ISNUMBER(INDEX(rMed,2464))),INDEX(rMed2,2464),NA()))</f>
        <v>#N/A</v>
      </c>
      <c r="BY2466" t="e">
        <f>IF(OR(cMed=0,cMed2=0,2464&gt;nFilas),NA(),IF(AND(ISNUMBER(INDEX(rMed2,2464)),ISNUMBER(INDEX(rMed,2464))),INDEX(rMed,2464),NA()))</f>
        <v>#N/A</v>
      </c>
    </row>
    <row r="2467">
      <c r="BX2467" t="e">
        <f>IF(OR(cMed=0,cMed2=0,2465&gt;nFilas),NA(),IF(AND(ISNUMBER(INDEX(rMed2,2465)),ISNUMBER(INDEX(rMed,2465))),INDEX(rMed2,2465),NA()))</f>
        <v>#N/A</v>
      </c>
      <c r="BY2467" t="e">
        <f>IF(OR(cMed=0,cMed2=0,2465&gt;nFilas),NA(),IF(AND(ISNUMBER(INDEX(rMed2,2465)),ISNUMBER(INDEX(rMed,2465))),INDEX(rMed,2465),NA()))</f>
        <v>#N/A</v>
      </c>
    </row>
    <row r="2468">
      <c r="BX2468" t="e">
        <f>IF(OR(cMed=0,cMed2=0,2466&gt;nFilas),NA(),IF(AND(ISNUMBER(INDEX(rMed2,2466)),ISNUMBER(INDEX(rMed,2466))),INDEX(rMed2,2466),NA()))</f>
        <v>#N/A</v>
      </c>
      <c r="BY2468" t="e">
        <f>IF(OR(cMed=0,cMed2=0,2466&gt;nFilas),NA(),IF(AND(ISNUMBER(INDEX(rMed2,2466)),ISNUMBER(INDEX(rMed,2466))),INDEX(rMed,2466),NA()))</f>
        <v>#N/A</v>
      </c>
    </row>
    <row r="2469">
      <c r="BX2469" t="e">
        <f>IF(OR(cMed=0,cMed2=0,2467&gt;nFilas),NA(),IF(AND(ISNUMBER(INDEX(rMed2,2467)),ISNUMBER(INDEX(rMed,2467))),INDEX(rMed2,2467),NA()))</f>
        <v>#N/A</v>
      </c>
      <c r="BY2469" t="e">
        <f>IF(OR(cMed=0,cMed2=0,2467&gt;nFilas),NA(),IF(AND(ISNUMBER(INDEX(rMed2,2467)),ISNUMBER(INDEX(rMed,2467))),INDEX(rMed,2467),NA()))</f>
        <v>#N/A</v>
      </c>
    </row>
    <row r="2470">
      <c r="BX2470" t="e">
        <f>IF(OR(cMed=0,cMed2=0,2468&gt;nFilas),NA(),IF(AND(ISNUMBER(INDEX(rMed2,2468)),ISNUMBER(INDEX(rMed,2468))),INDEX(rMed2,2468),NA()))</f>
        <v>#N/A</v>
      </c>
      <c r="BY2470" t="e">
        <f>IF(OR(cMed=0,cMed2=0,2468&gt;nFilas),NA(),IF(AND(ISNUMBER(INDEX(rMed2,2468)),ISNUMBER(INDEX(rMed,2468))),INDEX(rMed,2468),NA()))</f>
        <v>#N/A</v>
      </c>
    </row>
    <row r="2471">
      <c r="BX2471" t="e">
        <f>IF(OR(cMed=0,cMed2=0,2469&gt;nFilas),NA(),IF(AND(ISNUMBER(INDEX(rMed2,2469)),ISNUMBER(INDEX(rMed,2469))),INDEX(rMed2,2469),NA()))</f>
        <v>#N/A</v>
      </c>
      <c r="BY2471" t="e">
        <f>IF(OR(cMed=0,cMed2=0,2469&gt;nFilas),NA(),IF(AND(ISNUMBER(INDEX(rMed2,2469)),ISNUMBER(INDEX(rMed,2469))),INDEX(rMed,2469),NA()))</f>
        <v>#N/A</v>
      </c>
    </row>
    <row r="2472">
      <c r="BX2472" t="e">
        <f>IF(OR(cMed=0,cMed2=0,2470&gt;nFilas),NA(),IF(AND(ISNUMBER(INDEX(rMed2,2470)),ISNUMBER(INDEX(rMed,2470))),INDEX(rMed2,2470),NA()))</f>
        <v>#N/A</v>
      </c>
      <c r="BY2472" t="e">
        <f>IF(OR(cMed=0,cMed2=0,2470&gt;nFilas),NA(),IF(AND(ISNUMBER(INDEX(rMed2,2470)),ISNUMBER(INDEX(rMed,2470))),INDEX(rMed,2470),NA()))</f>
        <v>#N/A</v>
      </c>
    </row>
    <row r="2473">
      <c r="BX2473" t="e">
        <f>IF(OR(cMed=0,cMed2=0,2471&gt;nFilas),NA(),IF(AND(ISNUMBER(INDEX(rMed2,2471)),ISNUMBER(INDEX(rMed,2471))),INDEX(rMed2,2471),NA()))</f>
        <v>#N/A</v>
      </c>
      <c r="BY2473" t="e">
        <f>IF(OR(cMed=0,cMed2=0,2471&gt;nFilas),NA(),IF(AND(ISNUMBER(INDEX(rMed2,2471)),ISNUMBER(INDEX(rMed,2471))),INDEX(rMed,2471),NA()))</f>
        <v>#N/A</v>
      </c>
    </row>
    <row r="2474">
      <c r="BX2474" t="e">
        <f>IF(OR(cMed=0,cMed2=0,2472&gt;nFilas),NA(),IF(AND(ISNUMBER(INDEX(rMed2,2472)),ISNUMBER(INDEX(rMed,2472))),INDEX(rMed2,2472),NA()))</f>
        <v>#N/A</v>
      </c>
      <c r="BY2474" t="e">
        <f>IF(OR(cMed=0,cMed2=0,2472&gt;nFilas),NA(),IF(AND(ISNUMBER(INDEX(rMed2,2472)),ISNUMBER(INDEX(rMed,2472))),INDEX(rMed,2472),NA()))</f>
        <v>#N/A</v>
      </c>
    </row>
    <row r="2475">
      <c r="BX2475" t="e">
        <f>IF(OR(cMed=0,cMed2=0,2473&gt;nFilas),NA(),IF(AND(ISNUMBER(INDEX(rMed2,2473)),ISNUMBER(INDEX(rMed,2473))),INDEX(rMed2,2473),NA()))</f>
        <v>#N/A</v>
      </c>
      <c r="BY2475" t="e">
        <f>IF(OR(cMed=0,cMed2=0,2473&gt;nFilas),NA(),IF(AND(ISNUMBER(INDEX(rMed2,2473)),ISNUMBER(INDEX(rMed,2473))),INDEX(rMed,2473),NA()))</f>
        <v>#N/A</v>
      </c>
    </row>
    <row r="2476">
      <c r="BX2476" t="e">
        <f>IF(OR(cMed=0,cMed2=0,2474&gt;nFilas),NA(),IF(AND(ISNUMBER(INDEX(rMed2,2474)),ISNUMBER(INDEX(rMed,2474))),INDEX(rMed2,2474),NA()))</f>
        <v>#N/A</v>
      </c>
      <c r="BY2476" t="e">
        <f>IF(OR(cMed=0,cMed2=0,2474&gt;nFilas),NA(),IF(AND(ISNUMBER(INDEX(rMed2,2474)),ISNUMBER(INDEX(rMed,2474))),INDEX(rMed,2474),NA()))</f>
        <v>#N/A</v>
      </c>
    </row>
    <row r="2477">
      <c r="BX2477" t="e">
        <f>IF(OR(cMed=0,cMed2=0,2475&gt;nFilas),NA(),IF(AND(ISNUMBER(INDEX(rMed2,2475)),ISNUMBER(INDEX(rMed,2475))),INDEX(rMed2,2475),NA()))</f>
        <v>#N/A</v>
      </c>
      <c r="BY2477" t="e">
        <f>IF(OR(cMed=0,cMed2=0,2475&gt;nFilas),NA(),IF(AND(ISNUMBER(INDEX(rMed2,2475)),ISNUMBER(INDEX(rMed,2475))),INDEX(rMed,2475),NA()))</f>
        <v>#N/A</v>
      </c>
    </row>
    <row r="2478">
      <c r="BX2478" t="e">
        <f>IF(OR(cMed=0,cMed2=0,2476&gt;nFilas),NA(),IF(AND(ISNUMBER(INDEX(rMed2,2476)),ISNUMBER(INDEX(rMed,2476))),INDEX(rMed2,2476),NA()))</f>
        <v>#N/A</v>
      </c>
      <c r="BY2478" t="e">
        <f>IF(OR(cMed=0,cMed2=0,2476&gt;nFilas),NA(),IF(AND(ISNUMBER(INDEX(rMed2,2476)),ISNUMBER(INDEX(rMed,2476))),INDEX(rMed,2476),NA()))</f>
        <v>#N/A</v>
      </c>
    </row>
    <row r="2479">
      <c r="BX2479" t="e">
        <f>IF(OR(cMed=0,cMed2=0,2477&gt;nFilas),NA(),IF(AND(ISNUMBER(INDEX(rMed2,2477)),ISNUMBER(INDEX(rMed,2477))),INDEX(rMed2,2477),NA()))</f>
        <v>#N/A</v>
      </c>
      <c r="BY2479" t="e">
        <f>IF(OR(cMed=0,cMed2=0,2477&gt;nFilas),NA(),IF(AND(ISNUMBER(INDEX(rMed2,2477)),ISNUMBER(INDEX(rMed,2477))),INDEX(rMed,2477),NA()))</f>
        <v>#N/A</v>
      </c>
    </row>
    <row r="2480">
      <c r="BX2480" t="e">
        <f>IF(OR(cMed=0,cMed2=0,2478&gt;nFilas),NA(),IF(AND(ISNUMBER(INDEX(rMed2,2478)),ISNUMBER(INDEX(rMed,2478))),INDEX(rMed2,2478),NA()))</f>
        <v>#N/A</v>
      </c>
      <c r="BY2480" t="e">
        <f>IF(OR(cMed=0,cMed2=0,2478&gt;nFilas),NA(),IF(AND(ISNUMBER(INDEX(rMed2,2478)),ISNUMBER(INDEX(rMed,2478))),INDEX(rMed,2478),NA()))</f>
        <v>#N/A</v>
      </c>
    </row>
    <row r="2481">
      <c r="BX2481" t="e">
        <f>IF(OR(cMed=0,cMed2=0,2479&gt;nFilas),NA(),IF(AND(ISNUMBER(INDEX(rMed2,2479)),ISNUMBER(INDEX(rMed,2479))),INDEX(rMed2,2479),NA()))</f>
        <v>#N/A</v>
      </c>
      <c r="BY2481" t="e">
        <f>IF(OR(cMed=0,cMed2=0,2479&gt;nFilas),NA(),IF(AND(ISNUMBER(INDEX(rMed2,2479)),ISNUMBER(INDEX(rMed,2479))),INDEX(rMed,2479),NA()))</f>
        <v>#N/A</v>
      </c>
    </row>
    <row r="2482">
      <c r="BX2482" t="e">
        <f>IF(OR(cMed=0,cMed2=0,2480&gt;nFilas),NA(),IF(AND(ISNUMBER(INDEX(rMed2,2480)),ISNUMBER(INDEX(rMed,2480))),INDEX(rMed2,2480),NA()))</f>
        <v>#N/A</v>
      </c>
      <c r="BY2482" t="e">
        <f>IF(OR(cMed=0,cMed2=0,2480&gt;nFilas),NA(),IF(AND(ISNUMBER(INDEX(rMed2,2480)),ISNUMBER(INDEX(rMed,2480))),INDEX(rMed,2480),NA()))</f>
        <v>#N/A</v>
      </c>
    </row>
    <row r="2483">
      <c r="BX2483" t="e">
        <f>IF(OR(cMed=0,cMed2=0,2481&gt;nFilas),NA(),IF(AND(ISNUMBER(INDEX(rMed2,2481)),ISNUMBER(INDEX(rMed,2481))),INDEX(rMed2,2481),NA()))</f>
        <v>#N/A</v>
      </c>
      <c r="BY2483" t="e">
        <f>IF(OR(cMed=0,cMed2=0,2481&gt;nFilas),NA(),IF(AND(ISNUMBER(INDEX(rMed2,2481)),ISNUMBER(INDEX(rMed,2481))),INDEX(rMed,2481),NA()))</f>
        <v>#N/A</v>
      </c>
    </row>
    <row r="2484">
      <c r="BX2484" t="e">
        <f>IF(OR(cMed=0,cMed2=0,2482&gt;nFilas),NA(),IF(AND(ISNUMBER(INDEX(rMed2,2482)),ISNUMBER(INDEX(rMed,2482))),INDEX(rMed2,2482),NA()))</f>
        <v>#N/A</v>
      </c>
      <c r="BY2484" t="e">
        <f>IF(OR(cMed=0,cMed2=0,2482&gt;nFilas),NA(),IF(AND(ISNUMBER(INDEX(rMed2,2482)),ISNUMBER(INDEX(rMed,2482))),INDEX(rMed,2482),NA()))</f>
        <v>#N/A</v>
      </c>
    </row>
    <row r="2485">
      <c r="BX2485" t="e">
        <f>IF(OR(cMed=0,cMed2=0,2483&gt;nFilas),NA(),IF(AND(ISNUMBER(INDEX(rMed2,2483)),ISNUMBER(INDEX(rMed,2483))),INDEX(rMed2,2483),NA()))</f>
        <v>#N/A</v>
      </c>
      <c r="BY2485" t="e">
        <f>IF(OR(cMed=0,cMed2=0,2483&gt;nFilas),NA(),IF(AND(ISNUMBER(INDEX(rMed2,2483)),ISNUMBER(INDEX(rMed,2483))),INDEX(rMed,2483),NA()))</f>
        <v>#N/A</v>
      </c>
    </row>
    <row r="2486">
      <c r="BX2486" t="e">
        <f>IF(OR(cMed=0,cMed2=0,2484&gt;nFilas),NA(),IF(AND(ISNUMBER(INDEX(rMed2,2484)),ISNUMBER(INDEX(rMed,2484))),INDEX(rMed2,2484),NA()))</f>
        <v>#N/A</v>
      </c>
      <c r="BY2486" t="e">
        <f>IF(OR(cMed=0,cMed2=0,2484&gt;nFilas),NA(),IF(AND(ISNUMBER(INDEX(rMed2,2484)),ISNUMBER(INDEX(rMed,2484))),INDEX(rMed,2484),NA()))</f>
        <v>#N/A</v>
      </c>
    </row>
    <row r="2487">
      <c r="BX2487" t="e">
        <f>IF(OR(cMed=0,cMed2=0,2485&gt;nFilas),NA(),IF(AND(ISNUMBER(INDEX(rMed2,2485)),ISNUMBER(INDEX(rMed,2485))),INDEX(rMed2,2485),NA()))</f>
        <v>#N/A</v>
      </c>
      <c r="BY2487" t="e">
        <f>IF(OR(cMed=0,cMed2=0,2485&gt;nFilas),NA(),IF(AND(ISNUMBER(INDEX(rMed2,2485)),ISNUMBER(INDEX(rMed,2485))),INDEX(rMed,2485),NA()))</f>
        <v>#N/A</v>
      </c>
    </row>
    <row r="2488">
      <c r="BX2488" t="e">
        <f>IF(OR(cMed=0,cMed2=0,2486&gt;nFilas),NA(),IF(AND(ISNUMBER(INDEX(rMed2,2486)),ISNUMBER(INDEX(rMed,2486))),INDEX(rMed2,2486),NA()))</f>
        <v>#N/A</v>
      </c>
      <c r="BY2488" t="e">
        <f>IF(OR(cMed=0,cMed2=0,2486&gt;nFilas),NA(),IF(AND(ISNUMBER(INDEX(rMed2,2486)),ISNUMBER(INDEX(rMed,2486))),INDEX(rMed,2486),NA()))</f>
        <v>#N/A</v>
      </c>
    </row>
    <row r="2489">
      <c r="BX2489" t="e">
        <f>IF(OR(cMed=0,cMed2=0,2487&gt;nFilas),NA(),IF(AND(ISNUMBER(INDEX(rMed2,2487)),ISNUMBER(INDEX(rMed,2487))),INDEX(rMed2,2487),NA()))</f>
        <v>#N/A</v>
      </c>
      <c r="BY2489" t="e">
        <f>IF(OR(cMed=0,cMed2=0,2487&gt;nFilas),NA(),IF(AND(ISNUMBER(INDEX(rMed2,2487)),ISNUMBER(INDEX(rMed,2487))),INDEX(rMed,2487),NA()))</f>
        <v>#N/A</v>
      </c>
    </row>
    <row r="2490">
      <c r="BX2490" t="e">
        <f>IF(OR(cMed=0,cMed2=0,2488&gt;nFilas),NA(),IF(AND(ISNUMBER(INDEX(rMed2,2488)),ISNUMBER(INDEX(rMed,2488))),INDEX(rMed2,2488),NA()))</f>
        <v>#N/A</v>
      </c>
      <c r="BY2490" t="e">
        <f>IF(OR(cMed=0,cMed2=0,2488&gt;nFilas),NA(),IF(AND(ISNUMBER(INDEX(rMed2,2488)),ISNUMBER(INDEX(rMed,2488))),INDEX(rMed,2488),NA()))</f>
        <v>#N/A</v>
      </c>
    </row>
    <row r="2491">
      <c r="BX2491" t="e">
        <f>IF(OR(cMed=0,cMed2=0,2489&gt;nFilas),NA(),IF(AND(ISNUMBER(INDEX(rMed2,2489)),ISNUMBER(INDEX(rMed,2489))),INDEX(rMed2,2489),NA()))</f>
        <v>#N/A</v>
      </c>
      <c r="BY2491" t="e">
        <f>IF(OR(cMed=0,cMed2=0,2489&gt;nFilas),NA(),IF(AND(ISNUMBER(INDEX(rMed2,2489)),ISNUMBER(INDEX(rMed,2489))),INDEX(rMed,2489),NA()))</f>
        <v>#N/A</v>
      </c>
    </row>
    <row r="2492">
      <c r="BX2492" t="e">
        <f>IF(OR(cMed=0,cMed2=0,2490&gt;nFilas),NA(),IF(AND(ISNUMBER(INDEX(rMed2,2490)),ISNUMBER(INDEX(rMed,2490))),INDEX(rMed2,2490),NA()))</f>
        <v>#N/A</v>
      </c>
      <c r="BY2492" t="e">
        <f>IF(OR(cMed=0,cMed2=0,2490&gt;nFilas),NA(),IF(AND(ISNUMBER(INDEX(rMed2,2490)),ISNUMBER(INDEX(rMed,2490))),INDEX(rMed,2490),NA()))</f>
        <v>#N/A</v>
      </c>
    </row>
    <row r="2493">
      <c r="BX2493" t="e">
        <f>IF(OR(cMed=0,cMed2=0,2491&gt;nFilas),NA(),IF(AND(ISNUMBER(INDEX(rMed2,2491)),ISNUMBER(INDEX(rMed,2491))),INDEX(rMed2,2491),NA()))</f>
        <v>#N/A</v>
      </c>
      <c r="BY2493" t="e">
        <f>IF(OR(cMed=0,cMed2=0,2491&gt;nFilas),NA(),IF(AND(ISNUMBER(INDEX(rMed2,2491)),ISNUMBER(INDEX(rMed,2491))),INDEX(rMed,2491),NA()))</f>
        <v>#N/A</v>
      </c>
    </row>
    <row r="2494">
      <c r="BX2494" t="e">
        <f>IF(OR(cMed=0,cMed2=0,2492&gt;nFilas),NA(),IF(AND(ISNUMBER(INDEX(rMed2,2492)),ISNUMBER(INDEX(rMed,2492))),INDEX(rMed2,2492),NA()))</f>
        <v>#N/A</v>
      </c>
      <c r="BY2494" t="e">
        <f>IF(OR(cMed=0,cMed2=0,2492&gt;nFilas),NA(),IF(AND(ISNUMBER(INDEX(rMed2,2492)),ISNUMBER(INDEX(rMed,2492))),INDEX(rMed,2492),NA()))</f>
        <v>#N/A</v>
      </c>
    </row>
    <row r="2495">
      <c r="BX2495" t="e">
        <f>IF(OR(cMed=0,cMed2=0,2493&gt;nFilas),NA(),IF(AND(ISNUMBER(INDEX(rMed2,2493)),ISNUMBER(INDEX(rMed,2493))),INDEX(rMed2,2493),NA()))</f>
        <v>#N/A</v>
      </c>
      <c r="BY2495" t="e">
        <f>IF(OR(cMed=0,cMed2=0,2493&gt;nFilas),NA(),IF(AND(ISNUMBER(INDEX(rMed2,2493)),ISNUMBER(INDEX(rMed,2493))),INDEX(rMed,2493),NA()))</f>
        <v>#N/A</v>
      </c>
    </row>
    <row r="2496">
      <c r="BX2496" t="e">
        <f>IF(OR(cMed=0,cMed2=0,2494&gt;nFilas),NA(),IF(AND(ISNUMBER(INDEX(rMed2,2494)),ISNUMBER(INDEX(rMed,2494))),INDEX(rMed2,2494),NA()))</f>
        <v>#N/A</v>
      </c>
      <c r="BY2496" t="e">
        <f>IF(OR(cMed=0,cMed2=0,2494&gt;nFilas),NA(),IF(AND(ISNUMBER(INDEX(rMed2,2494)),ISNUMBER(INDEX(rMed,2494))),INDEX(rMed,2494),NA()))</f>
        <v>#N/A</v>
      </c>
    </row>
    <row r="2497">
      <c r="BX2497" t="e">
        <f>IF(OR(cMed=0,cMed2=0,2495&gt;nFilas),NA(),IF(AND(ISNUMBER(INDEX(rMed2,2495)),ISNUMBER(INDEX(rMed,2495))),INDEX(rMed2,2495),NA()))</f>
        <v>#N/A</v>
      </c>
      <c r="BY2497" t="e">
        <f>IF(OR(cMed=0,cMed2=0,2495&gt;nFilas),NA(),IF(AND(ISNUMBER(INDEX(rMed2,2495)),ISNUMBER(INDEX(rMed,2495))),INDEX(rMed,2495),NA()))</f>
        <v>#N/A</v>
      </c>
    </row>
    <row r="2498">
      <c r="BX2498" t="e">
        <f>IF(OR(cMed=0,cMed2=0,2496&gt;nFilas),NA(),IF(AND(ISNUMBER(INDEX(rMed2,2496)),ISNUMBER(INDEX(rMed,2496))),INDEX(rMed2,2496),NA()))</f>
        <v>#N/A</v>
      </c>
      <c r="BY2498" t="e">
        <f>IF(OR(cMed=0,cMed2=0,2496&gt;nFilas),NA(),IF(AND(ISNUMBER(INDEX(rMed2,2496)),ISNUMBER(INDEX(rMed,2496))),INDEX(rMed,2496),NA()))</f>
        <v>#N/A</v>
      </c>
    </row>
    <row r="2499">
      <c r="BX2499" t="e">
        <f>IF(OR(cMed=0,cMed2=0,2497&gt;nFilas),NA(),IF(AND(ISNUMBER(INDEX(rMed2,2497)),ISNUMBER(INDEX(rMed,2497))),INDEX(rMed2,2497),NA()))</f>
        <v>#N/A</v>
      </c>
      <c r="BY2499" t="e">
        <f>IF(OR(cMed=0,cMed2=0,2497&gt;nFilas),NA(),IF(AND(ISNUMBER(INDEX(rMed2,2497)),ISNUMBER(INDEX(rMed,2497))),INDEX(rMed,2497),NA()))</f>
        <v>#N/A</v>
      </c>
    </row>
    <row r="2500">
      <c r="BX2500" t="e">
        <f>IF(OR(cMed=0,cMed2=0,2498&gt;nFilas),NA(),IF(AND(ISNUMBER(INDEX(rMed2,2498)),ISNUMBER(INDEX(rMed,2498))),INDEX(rMed2,2498),NA()))</f>
        <v>#N/A</v>
      </c>
      <c r="BY2500" t="e">
        <f>IF(OR(cMed=0,cMed2=0,2498&gt;nFilas),NA(),IF(AND(ISNUMBER(INDEX(rMed2,2498)),ISNUMBER(INDEX(rMed,2498))),INDEX(rMed,2498),NA()))</f>
        <v>#N/A</v>
      </c>
    </row>
    <row r="2501">
      <c r="BX2501" t="e">
        <f>IF(OR(cMed=0,cMed2=0,2499&gt;nFilas),NA(),IF(AND(ISNUMBER(INDEX(rMed2,2499)),ISNUMBER(INDEX(rMed,2499))),INDEX(rMed2,2499),NA()))</f>
        <v>#N/A</v>
      </c>
      <c r="BY2501" t="e">
        <f>IF(OR(cMed=0,cMed2=0,2499&gt;nFilas),NA(),IF(AND(ISNUMBER(INDEX(rMed2,2499)),ISNUMBER(INDEX(rMed,2499))),INDEX(rMed,2499),NA()))</f>
        <v>#N/A</v>
      </c>
    </row>
    <row r="2502">
      <c r="BX2502" t="e">
        <f>IF(OR(cMed=0,cMed2=0,2500&gt;nFilas),NA(),IF(AND(ISNUMBER(INDEX(rMed2,2500)),ISNUMBER(INDEX(rMed,2500))),INDEX(rMed2,2500),NA()))</f>
        <v>#N/A</v>
      </c>
      <c r="BY2502" t="e">
        <f>IF(OR(cMed=0,cMed2=0,2500&gt;nFilas),NA(),IF(AND(ISNUMBER(INDEX(rMed2,2500)),ISNUMBER(INDEX(rMed,2500))),INDEX(rMed,2500),NA()))</f>
        <v>#N/A</v>
      </c>
    </row>
    <row r="2503">
      <c r="BX2503" t="e">
        <f>IF(OR(cMed=0,cMed2=0,2501&gt;nFilas),NA(),IF(AND(ISNUMBER(INDEX(rMed2,2501)),ISNUMBER(INDEX(rMed,2501))),INDEX(rMed2,2501),NA()))</f>
        <v>#N/A</v>
      </c>
      <c r="BY2503" t="e">
        <f>IF(OR(cMed=0,cMed2=0,2501&gt;nFilas),NA(),IF(AND(ISNUMBER(INDEX(rMed2,2501)),ISNUMBER(INDEX(rMed,2501))),INDEX(rMed,2501),NA()))</f>
        <v>#N/A</v>
      </c>
    </row>
    <row r="2504">
      <c r="BX2504" t="e">
        <f>IF(OR(cMed=0,cMed2=0,2502&gt;nFilas),NA(),IF(AND(ISNUMBER(INDEX(rMed2,2502)),ISNUMBER(INDEX(rMed,2502))),INDEX(rMed2,2502),NA()))</f>
        <v>#N/A</v>
      </c>
      <c r="BY2504" t="e">
        <f>IF(OR(cMed=0,cMed2=0,2502&gt;nFilas),NA(),IF(AND(ISNUMBER(INDEX(rMed2,2502)),ISNUMBER(INDEX(rMed,2502))),INDEX(rMed,2502),NA()))</f>
        <v>#N/A</v>
      </c>
    </row>
    <row r="2505">
      <c r="BX2505" t="e">
        <f>IF(OR(cMed=0,cMed2=0,2503&gt;nFilas),NA(),IF(AND(ISNUMBER(INDEX(rMed2,2503)),ISNUMBER(INDEX(rMed,2503))),INDEX(rMed2,2503),NA()))</f>
        <v>#N/A</v>
      </c>
      <c r="BY2505" t="e">
        <f>IF(OR(cMed=0,cMed2=0,2503&gt;nFilas),NA(),IF(AND(ISNUMBER(INDEX(rMed2,2503)),ISNUMBER(INDEX(rMed,2503))),INDEX(rMed,2503),NA()))</f>
        <v>#N/A</v>
      </c>
    </row>
    <row r="2506">
      <c r="BX2506" t="e">
        <f>IF(OR(cMed=0,cMed2=0,2504&gt;nFilas),NA(),IF(AND(ISNUMBER(INDEX(rMed2,2504)),ISNUMBER(INDEX(rMed,2504))),INDEX(rMed2,2504),NA()))</f>
        <v>#N/A</v>
      </c>
      <c r="BY2506" t="e">
        <f>IF(OR(cMed=0,cMed2=0,2504&gt;nFilas),NA(),IF(AND(ISNUMBER(INDEX(rMed2,2504)),ISNUMBER(INDEX(rMed,2504))),INDEX(rMed,2504),NA()))</f>
        <v>#N/A</v>
      </c>
    </row>
    <row r="2507">
      <c r="BX2507" t="e">
        <f>IF(OR(cMed=0,cMed2=0,2505&gt;nFilas),NA(),IF(AND(ISNUMBER(INDEX(rMed2,2505)),ISNUMBER(INDEX(rMed,2505))),INDEX(rMed2,2505),NA()))</f>
        <v>#N/A</v>
      </c>
      <c r="BY2507" t="e">
        <f>IF(OR(cMed=0,cMed2=0,2505&gt;nFilas),NA(),IF(AND(ISNUMBER(INDEX(rMed2,2505)),ISNUMBER(INDEX(rMed,2505))),INDEX(rMed,2505),NA()))</f>
        <v>#N/A</v>
      </c>
    </row>
    <row r="2508">
      <c r="BX2508" t="e">
        <f>IF(OR(cMed=0,cMed2=0,2506&gt;nFilas),NA(),IF(AND(ISNUMBER(INDEX(rMed2,2506)),ISNUMBER(INDEX(rMed,2506))),INDEX(rMed2,2506),NA()))</f>
        <v>#N/A</v>
      </c>
      <c r="BY2508" t="e">
        <f>IF(OR(cMed=0,cMed2=0,2506&gt;nFilas),NA(),IF(AND(ISNUMBER(INDEX(rMed2,2506)),ISNUMBER(INDEX(rMed,2506))),INDEX(rMed,2506),NA()))</f>
        <v>#N/A</v>
      </c>
    </row>
    <row r="2509">
      <c r="BX2509" t="e">
        <f>IF(OR(cMed=0,cMed2=0,2507&gt;nFilas),NA(),IF(AND(ISNUMBER(INDEX(rMed2,2507)),ISNUMBER(INDEX(rMed,2507))),INDEX(rMed2,2507),NA()))</f>
        <v>#N/A</v>
      </c>
      <c r="BY2509" t="e">
        <f>IF(OR(cMed=0,cMed2=0,2507&gt;nFilas),NA(),IF(AND(ISNUMBER(INDEX(rMed2,2507)),ISNUMBER(INDEX(rMed,2507))),INDEX(rMed,2507),NA()))</f>
        <v>#N/A</v>
      </c>
    </row>
    <row r="2510">
      <c r="BX2510" t="e">
        <f>IF(OR(cMed=0,cMed2=0,2508&gt;nFilas),NA(),IF(AND(ISNUMBER(INDEX(rMed2,2508)),ISNUMBER(INDEX(rMed,2508))),INDEX(rMed2,2508),NA()))</f>
        <v>#N/A</v>
      </c>
      <c r="BY2510" t="e">
        <f>IF(OR(cMed=0,cMed2=0,2508&gt;nFilas),NA(),IF(AND(ISNUMBER(INDEX(rMed2,2508)),ISNUMBER(INDEX(rMed,2508))),INDEX(rMed,2508),NA()))</f>
        <v>#N/A</v>
      </c>
    </row>
    <row r="2511">
      <c r="BX2511" t="e">
        <f>IF(OR(cMed=0,cMed2=0,2509&gt;nFilas),NA(),IF(AND(ISNUMBER(INDEX(rMed2,2509)),ISNUMBER(INDEX(rMed,2509))),INDEX(rMed2,2509),NA()))</f>
        <v>#N/A</v>
      </c>
      <c r="BY2511" t="e">
        <f>IF(OR(cMed=0,cMed2=0,2509&gt;nFilas),NA(),IF(AND(ISNUMBER(INDEX(rMed2,2509)),ISNUMBER(INDEX(rMed,2509))),INDEX(rMed,2509),NA()))</f>
        <v>#N/A</v>
      </c>
    </row>
    <row r="2512">
      <c r="BX2512" t="e">
        <f>IF(OR(cMed=0,cMed2=0,2510&gt;nFilas),NA(),IF(AND(ISNUMBER(INDEX(rMed2,2510)),ISNUMBER(INDEX(rMed,2510))),INDEX(rMed2,2510),NA()))</f>
        <v>#N/A</v>
      </c>
      <c r="BY2512" t="e">
        <f>IF(OR(cMed=0,cMed2=0,2510&gt;nFilas),NA(),IF(AND(ISNUMBER(INDEX(rMed2,2510)),ISNUMBER(INDEX(rMed,2510))),INDEX(rMed,2510),NA()))</f>
        <v>#N/A</v>
      </c>
    </row>
    <row r="2513">
      <c r="BX2513" t="e">
        <f>IF(OR(cMed=0,cMed2=0,2511&gt;nFilas),NA(),IF(AND(ISNUMBER(INDEX(rMed2,2511)),ISNUMBER(INDEX(rMed,2511))),INDEX(rMed2,2511),NA()))</f>
        <v>#N/A</v>
      </c>
      <c r="BY2513" t="e">
        <f>IF(OR(cMed=0,cMed2=0,2511&gt;nFilas),NA(),IF(AND(ISNUMBER(INDEX(rMed2,2511)),ISNUMBER(INDEX(rMed,2511))),INDEX(rMed,2511),NA()))</f>
        <v>#N/A</v>
      </c>
    </row>
    <row r="2514">
      <c r="BX2514" t="e">
        <f>IF(OR(cMed=0,cMed2=0,2512&gt;nFilas),NA(),IF(AND(ISNUMBER(INDEX(rMed2,2512)),ISNUMBER(INDEX(rMed,2512))),INDEX(rMed2,2512),NA()))</f>
        <v>#N/A</v>
      </c>
      <c r="BY2514" t="e">
        <f>IF(OR(cMed=0,cMed2=0,2512&gt;nFilas),NA(),IF(AND(ISNUMBER(INDEX(rMed2,2512)),ISNUMBER(INDEX(rMed,2512))),INDEX(rMed,2512),NA()))</f>
        <v>#N/A</v>
      </c>
    </row>
    <row r="2515">
      <c r="BX2515" t="e">
        <f>IF(OR(cMed=0,cMed2=0,2513&gt;nFilas),NA(),IF(AND(ISNUMBER(INDEX(rMed2,2513)),ISNUMBER(INDEX(rMed,2513))),INDEX(rMed2,2513),NA()))</f>
        <v>#N/A</v>
      </c>
      <c r="BY2515" t="e">
        <f>IF(OR(cMed=0,cMed2=0,2513&gt;nFilas),NA(),IF(AND(ISNUMBER(INDEX(rMed2,2513)),ISNUMBER(INDEX(rMed,2513))),INDEX(rMed,2513),NA()))</f>
        <v>#N/A</v>
      </c>
    </row>
    <row r="2516">
      <c r="BX2516" t="e">
        <f>IF(OR(cMed=0,cMed2=0,2514&gt;nFilas),NA(),IF(AND(ISNUMBER(INDEX(rMed2,2514)),ISNUMBER(INDEX(rMed,2514))),INDEX(rMed2,2514),NA()))</f>
        <v>#N/A</v>
      </c>
      <c r="BY2516" t="e">
        <f>IF(OR(cMed=0,cMed2=0,2514&gt;nFilas),NA(),IF(AND(ISNUMBER(INDEX(rMed2,2514)),ISNUMBER(INDEX(rMed,2514))),INDEX(rMed,2514),NA()))</f>
        <v>#N/A</v>
      </c>
    </row>
    <row r="2517">
      <c r="BX2517" t="e">
        <f>IF(OR(cMed=0,cMed2=0,2515&gt;nFilas),NA(),IF(AND(ISNUMBER(INDEX(rMed2,2515)),ISNUMBER(INDEX(rMed,2515))),INDEX(rMed2,2515),NA()))</f>
        <v>#N/A</v>
      </c>
      <c r="BY2517" t="e">
        <f>IF(OR(cMed=0,cMed2=0,2515&gt;nFilas),NA(),IF(AND(ISNUMBER(INDEX(rMed2,2515)),ISNUMBER(INDEX(rMed,2515))),INDEX(rMed,2515),NA()))</f>
        <v>#N/A</v>
      </c>
    </row>
    <row r="2518">
      <c r="BX2518" t="e">
        <f>IF(OR(cMed=0,cMed2=0,2516&gt;nFilas),NA(),IF(AND(ISNUMBER(INDEX(rMed2,2516)),ISNUMBER(INDEX(rMed,2516))),INDEX(rMed2,2516),NA()))</f>
        <v>#N/A</v>
      </c>
      <c r="BY2518" t="e">
        <f>IF(OR(cMed=0,cMed2=0,2516&gt;nFilas),NA(),IF(AND(ISNUMBER(INDEX(rMed2,2516)),ISNUMBER(INDEX(rMed,2516))),INDEX(rMed,2516),NA()))</f>
        <v>#N/A</v>
      </c>
    </row>
    <row r="2519">
      <c r="BX2519" t="e">
        <f>IF(OR(cMed=0,cMed2=0,2517&gt;nFilas),NA(),IF(AND(ISNUMBER(INDEX(rMed2,2517)),ISNUMBER(INDEX(rMed,2517))),INDEX(rMed2,2517),NA()))</f>
        <v>#N/A</v>
      </c>
      <c r="BY2519" t="e">
        <f>IF(OR(cMed=0,cMed2=0,2517&gt;nFilas),NA(),IF(AND(ISNUMBER(INDEX(rMed2,2517)),ISNUMBER(INDEX(rMed,2517))),INDEX(rMed,2517),NA()))</f>
        <v>#N/A</v>
      </c>
    </row>
    <row r="2520">
      <c r="BX2520" t="e">
        <f>IF(OR(cMed=0,cMed2=0,2518&gt;nFilas),NA(),IF(AND(ISNUMBER(INDEX(rMed2,2518)),ISNUMBER(INDEX(rMed,2518))),INDEX(rMed2,2518),NA()))</f>
        <v>#N/A</v>
      </c>
      <c r="BY2520" t="e">
        <f>IF(OR(cMed=0,cMed2=0,2518&gt;nFilas),NA(),IF(AND(ISNUMBER(INDEX(rMed2,2518)),ISNUMBER(INDEX(rMed,2518))),INDEX(rMed,2518),NA()))</f>
        <v>#N/A</v>
      </c>
    </row>
    <row r="2521">
      <c r="BX2521" t="e">
        <f>IF(OR(cMed=0,cMed2=0,2519&gt;nFilas),NA(),IF(AND(ISNUMBER(INDEX(rMed2,2519)),ISNUMBER(INDEX(rMed,2519))),INDEX(rMed2,2519),NA()))</f>
        <v>#N/A</v>
      </c>
      <c r="BY2521" t="e">
        <f>IF(OR(cMed=0,cMed2=0,2519&gt;nFilas),NA(),IF(AND(ISNUMBER(INDEX(rMed2,2519)),ISNUMBER(INDEX(rMed,2519))),INDEX(rMed,2519),NA()))</f>
        <v>#N/A</v>
      </c>
    </row>
    <row r="2522">
      <c r="BX2522" t="e">
        <f>IF(OR(cMed=0,cMed2=0,2520&gt;nFilas),NA(),IF(AND(ISNUMBER(INDEX(rMed2,2520)),ISNUMBER(INDEX(rMed,2520))),INDEX(rMed2,2520),NA()))</f>
        <v>#N/A</v>
      </c>
      <c r="BY2522" t="e">
        <f>IF(OR(cMed=0,cMed2=0,2520&gt;nFilas),NA(),IF(AND(ISNUMBER(INDEX(rMed2,2520)),ISNUMBER(INDEX(rMed,2520))),INDEX(rMed,2520),NA()))</f>
        <v>#N/A</v>
      </c>
    </row>
    <row r="2523">
      <c r="BX2523" t="e">
        <f>IF(OR(cMed=0,cMed2=0,2521&gt;nFilas),NA(),IF(AND(ISNUMBER(INDEX(rMed2,2521)),ISNUMBER(INDEX(rMed,2521))),INDEX(rMed2,2521),NA()))</f>
        <v>#N/A</v>
      </c>
      <c r="BY2523" t="e">
        <f>IF(OR(cMed=0,cMed2=0,2521&gt;nFilas),NA(),IF(AND(ISNUMBER(INDEX(rMed2,2521)),ISNUMBER(INDEX(rMed,2521))),INDEX(rMed,2521),NA()))</f>
        <v>#N/A</v>
      </c>
    </row>
    <row r="2524">
      <c r="BX2524" t="e">
        <f>IF(OR(cMed=0,cMed2=0,2522&gt;nFilas),NA(),IF(AND(ISNUMBER(INDEX(rMed2,2522)),ISNUMBER(INDEX(rMed,2522))),INDEX(rMed2,2522),NA()))</f>
        <v>#N/A</v>
      </c>
      <c r="BY2524" t="e">
        <f>IF(OR(cMed=0,cMed2=0,2522&gt;nFilas),NA(),IF(AND(ISNUMBER(INDEX(rMed2,2522)),ISNUMBER(INDEX(rMed,2522))),INDEX(rMed,2522),NA()))</f>
        <v>#N/A</v>
      </c>
    </row>
    <row r="2525">
      <c r="BX2525" t="e">
        <f>IF(OR(cMed=0,cMed2=0,2523&gt;nFilas),NA(),IF(AND(ISNUMBER(INDEX(rMed2,2523)),ISNUMBER(INDEX(rMed,2523))),INDEX(rMed2,2523),NA()))</f>
        <v>#N/A</v>
      </c>
      <c r="BY2525" t="e">
        <f>IF(OR(cMed=0,cMed2=0,2523&gt;nFilas),NA(),IF(AND(ISNUMBER(INDEX(rMed2,2523)),ISNUMBER(INDEX(rMed,2523))),INDEX(rMed,2523),NA()))</f>
        <v>#N/A</v>
      </c>
    </row>
    <row r="2526">
      <c r="BX2526" t="e">
        <f>IF(OR(cMed=0,cMed2=0,2524&gt;nFilas),NA(),IF(AND(ISNUMBER(INDEX(rMed2,2524)),ISNUMBER(INDEX(rMed,2524))),INDEX(rMed2,2524),NA()))</f>
        <v>#N/A</v>
      </c>
      <c r="BY2526" t="e">
        <f>IF(OR(cMed=0,cMed2=0,2524&gt;nFilas),NA(),IF(AND(ISNUMBER(INDEX(rMed2,2524)),ISNUMBER(INDEX(rMed,2524))),INDEX(rMed,2524),NA()))</f>
        <v>#N/A</v>
      </c>
    </row>
    <row r="2527">
      <c r="BX2527" t="e">
        <f>IF(OR(cMed=0,cMed2=0,2525&gt;nFilas),NA(),IF(AND(ISNUMBER(INDEX(rMed2,2525)),ISNUMBER(INDEX(rMed,2525))),INDEX(rMed2,2525),NA()))</f>
        <v>#N/A</v>
      </c>
      <c r="BY2527" t="e">
        <f>IF(OR(cMed=0,cMed2=0,2525&gt;nFilas),NA(),IF(AND(ISNUMBER(INDEX(rMed2,2525)),ISNUMBER(INDEX(rMed,2525))),INDEX(rMed,2525),NA()))</f>
        <v>#N/A</v>
      </c>
    </row>
    <row r="2528">
      <c r="BX2528" t="e">
        <f>IF(OR(cMed=0,cMed2=0,2526&gt;nFilas),NA(),IF(AND(ISNUMBER(INDEX(rMed2,2526)),ISNUMBER(INDEX(rMed,2526))),INDEX(rMed2,2526),NA()))</f>
        <v>#N/A</v>
      </c>
      <c r="BY2528" t="e">
        <f>IF(OR(cMed=0,cMed2=0,2526&gt;nFilas),NA(),IF(AND(ISNUMBER(INDEX(rMed2,2526)),ISNUMBER(INDEX(rMed,2526))),INDEX(rMed,2526),NA()))</f>
        <v>#N/A</v>
      </c>
    </row>
    <row r="2529">
      <c r="BX2529" t="e">
        <f>IF(OR(cMed=0,cMed2=0,2527&gt;nFilas),NA(),IF(AND(ISNUMBER(INDEX(rMed2,2527)),ISNUMBER(INDEX(rMed,2527))),INDEX(rMed2,2527),NA()))</f>
        <v>#N/A</v>
      </c>
      <c r="BY2529" t="e">
        <f>IF(OR(cMed=0,cMed2=0,2527&gt;nFilas),NA(),IF(AND(ISNUMBER(INDEX(rMed2,2527)),ISNUMBER(INDEX(rMed,2527))),INDEX(rMed,2527),NA()))</f>
        <v>#N/A</v>
      </c>
    </row>
    <row r="2530">
      <c r="BX2530" t="e">
        <f>IF(OR(cMed=0,cMed2=0,2528&gt;nFilas),NA(),IF(AND(ISNUMBER(INDEX(rMed2,2528)),ISNUMBER(INDEX(rMed,2528))),INDEX(rMed2,2528),NA()))</f>
        <v>#N/A</v>
      </c>
      <c r="BY2530" t="e">
        <f>IF(OR(cMed=0,cMed2=0,2528&gt;nFilas),NA(),IF(AND(ISNUMBER(INDEX(rMed2,2528)),ISNUMBER(INDEX(rMed,2528))),INDEX(rMed,2528),NA()))</f>
        <v>#N/A</v>
      </c>
    </row>
    <row r="2531">
      <c r="BX2531" t="e">
        <f>IF(OR(cMed=0,cMed2=0,2529&gt;nFilas),NA(),IF(AND(ISNUMBER(INDEX(rMed2,2529)),ISNUMBER(INDEX(rMed,2529))),INDEX(rMed2,2529),NA()))</f>
        <v>#N/A</v>
      </c>
      <c r="BY2531" t="e">
        <f>IF(OR(cMed=0,cMed2=0,2529&gt;nFilas),NA(),IF(AND(ISNUMBER(INDEX(rMed2,2529)),ISNUMBER(INDEX(rMed,2529))),INDEX(rMed,2529),NA()))</f>
        <v>#N/A</v>
      </c>
    </row>
    <row r="2532">
      <c r="BX2532" t="e">
        <f>IF(OR(cMed=0,cMed2=0,2530&gt;nFilas),NA(),IF(AND(ISNUMBER(INDEX(rMed2,2530)),ISNUMBER(INDEX(rMed,2530))),INDEX(rMed2,2530),NA()))</f>
        <v>#N/A</v>
      </c>
      <c r="BY2532" t="e">
        <f>IF(OR(cMed=0,cMed2=0,2530&gt;nFilas),NA(),IF(AND(ISNUMBER(INDEX(rMed2,2530)),ISNUMBER(INDEX(rMed,2530))),INDEX(rMed,2530),NA()))</f>
        <v>#N/A</v>
      </c>
    </row>
    <row r="2533">
      <c r="BX2533" t="e">
        <f>IF(OR(cMed=0,cMed2=0,2531&gt;nFilas),NA(),IF(AND(ISNUMBER(INDEX(rMed2,2531)),ISNUMBER(INDEX(rMed,2531))),INDEX(rMed2,2531),NA()))</f>
        <v>#N/A</v>
      </c>
      <c r="BY2533" t="e">
        <f>IF(OR(cMed=0,cMed2=0,2531&gt;nFilas),NA(),IF(AND(ISNUMBER(INDEX(rMed2,2531)),ISNUMBER(INDEX(rMed,2531))),INDEX(rMed,2531),NA()))</f>
        <v>#N/A</v>
      </c>
    </row>
    <row r="2534">
      <c r="BX2534" t="e">
        <f>IF(OR(cMed=0,cMed2=0,2532&gt;nFilas),NA(),IF(AND(ISNUMBER(INDEX(rMed2,2532)),ISNUMBER(INDEX(rMed,2532))),INDEX(rMed2,2532),NA()))</f>
        <v>#N/A</v>
      </c>
      <c r="BY2534" t="e">
        <f>IF(OR(cMed=0,cMed2=0,2532&gt;nFilas),NA(),IF(AND(ISNUMBER(INDEX(rMed2,2532)),ISNUMBER(INDEX(rMed,2532))),INDEX(rMed,2532),NA()))</f>
        <v>#N/A</v>
      </c>
    </row>
    <row r="2535">
      <c r="BX2535" t="e">
        <f>IF(OR(cMed=0,cMed2=0,2533&gt;nFilas),NA(),IF(AND(ISNUMBER(INDEX(rMed2,2533)),ISNUMBER(INDEX(rMed,2533))),INDEX(rMed2,2533),NA()))</f>
        <v>#N/A</v>
      </c>
      <c r="BY2535" t="e">
        <f>IF(OR(cMed=0,cMed2=0,2533&gt;nFilas),NA(),IF(AND(ISNUMBER(INDEX(rMed2,2533)),ISNUMBER(INDEX(rMed,2533))),INDEX(rMed,2533),NA()))</f>
        <v>#N/A</v>
      </c>
    </row>
    <row r="2536">
      <c r="BX2536" t="e">
        <f>IF(OR(cMed=0,cMed2=0,2534&gt;nFilas),NA(),IF(AND(ISNUMBER(INDEX(rMed2,2534)),ISNUMBER(INDEX(rMed,2534))),INDEX(rMed2,2534),NA()))</f>
        <v>#N/A</v>
      </c>
      <c r="BY2536" t="e">
        <f>IF(OR(cMed=0,cMed2=0,2534&gt;nFilas),NA(),IF(AND(ISNUMBER(INDEX(rMed2,2534)),ISNUMBER(INDEX(rMed,2534))),INDEX(rMed,2534),NA()))</f>
        <v>#N/A</v>
      </c>
    </row>
    <row r="2537">
      <c r="BX2537" t="e">
        <f>IF(OR(cMed=0,cMed2=0,2535&gt;nFilas),NA(),IF(AND(ISNUMBER(INDEX(rMed2,2535)),ISNUMBER(INDEX(rMed,2535))),INDEX(rMed2,2535),NA()))</f>
        <v>#N/A</v>
      </c>
      <c r="BY2537" t="e">
        <f>IF(OR(cMed=0,cMed2=0,2535&gt;nFilas),NA(),IF(AND(ISNUMBER(INDEX(rMed2,2535)),ISNUMBER(INDEX(rMed,2535))),INDEX(rMed,2535),NA()))</f>
        <v>#N/A</v>
      </c>
    </row>
    <row r="2538">
      <c r="BX2538" t="e">
        <f>IF(OR(cMed=0,cMed2=0,2536&gt;nFilas),NA(),IF(AND(ISNUMBER(INDEX(rMed2,2536)),ISNUMBER(INDEX(rMed,2536))),INDEX(rMed2,2536),NA()))</f>
        <v>#N/A</v>
      </c>
      <c r="BY2538" t="e">
        <f>IF(OR(cMed=0,cMed2=0,2536&gt;nFilas),NA(),IF(AND(ISNUMBER(INDEX(rMed2,2536)),ISNUMBER(INDEX(rMed,2536))),INDEX(rMed,2536),NA()))</f>
        <v>#N/A</v>
      </c>
    </row>
    <row r="2539">
      <c r="BX2539" t="e">
        <f>IF(OR(cMed=0,cMed2=0,2537&gt;nFilas),NA(),IF(AND(ISNUMBER(INDEX(rMed2,2537)),ISNUMBER(INDEX(rMed,2537))),INDEX(rMed2,2537),NA()))</f>
        <v>#N/A</v>
      </c>
      <c r="BY2539" t="e">
        <f>IF(OR(cMed=0,cMed2=0,2537&gt;nFilas),NA(),IF(AND(ISNUMBER(INDEX(rMed2,2537)),ISNUMBER(INDEX(rMed,2537))),INDEX(rMed,2537),NA()))</f>
        <v>#N/A</v>
      </c>
    </row>
    <row r="2540">
      <c r="BX2540" t="e">
        <f>IF(OR(cMed=0,cMed2=0,2538&gt;nFilas),NA(),IF(AND(ISNUMBER(INDEX(rMed2,2538)),ISNUMBER(INDEX(rMed,2538))),INDEX(rMed2,2538),NA()))</f>
        <v>#N/A</v>
      </c>
      <c r="BY2540" t="e">
        <f>IF(OR(cMed=0,cMed2=0,2538&gt;nFilas),NA(),IF(AND(ISNUMBER(INDEX(rMed2,2538)),ISNUMBER(INDEX(rMed,2538))),INDEX(rMed,2538),NA()))</f>
        <v>#N/A</v>
      </c>
    </row>
    <row r="2541">
      <c r="BX2541" t="e">
        <f>IF(OR(cMed=0,cMed2=0,2539&gt;nFilas),NA(),IF(AND(ISNUMBER(INDEX(rMed2,2539)),ISNUMBER(INDEX(rMed,2539))),INDEX(rMed2,2539),NA()))</f>
        <v>#N/A</v>
      </c>
      <c r="BY2541" t="e">
        <f>IF(OR(cMed=0,cMed2=0,2539&gt;nFilas),NA(),IF(AND(ISNUMBER(INDEX(rMed2,2539)),ISNUMBER(INDEX(rMed,2539))),INDEX(rMed,2539),NA()))</f>
        <v>#N/A</v>
      </c>
    </row>
    <row r="2542">
      <c r="BX2542" t="e">
        <f>IF(OR(cMed=0,cMed2=0,2540&gt;nFilas),NA(),IF(AND(ISNUMBER(INDEX(rMed2,2540)),ISNUMBER(INDEX(rMed,2540))),INDEX(rMed2,2540),NA()))</f>
        <v>#N/A</v>
      </c>
      <c r="BY2542" t="e">
        <f>IF(OR(cMed=0,cMed2=0,2540&gt;nFilas),NA(),IF(AND(ISNUMBER(INDEX(rMed2,2540)),ISNUMBER(INDEX(rMed,2540))),INDEX(rMed,2540),NA()))</f>
        <v>#N/A</v>
      </c>
    </row>
    <row r="2543">
      <c r="BX2543" t="e">
        <f>IF(OR(cMed=0,cMed2=0,2541&gt;nFilas),NA(),IF(AND(ISNUMBER(INDEX(rMed2,2541)),ISNUMBER(INDEX(rMed,2541))),INDEX(rMed2,2541),NA()))</f>
        <v>#N/A</v>
      </c>
      <c r="BY2543" t="e">
        <f>IF(OR(cMed=0,cMed2=0,2541&gt;nFilas),NA(),IF(AND(ISNUMBER(INDEX(rMed2,2541)),ISNUMBER(INDEX(rMed,2541))),INDEX(rMed,2541),NA()))</f>
        <v>#N/A</v>
      </c>
    </row>
    <row r="2544">
      <c r="BX2544" t="e">
        <f>IF(OR(cMed=0,cMed2=0,2542&gt;nFilas),NA(),IF(AND(ISNUMBER(INDEX(rMed2,2542)),ISNUMBER(INDEX(rMed,2542))),INDEX(rMed2,2542),NA()))</f>
        <v>#N/A</v>
      </c>
      <c r="BY2544" t="e">
        <f>IF(OR(cMed=0,cMed2=0,2542&gt;nFilas),NA(),IF(AND(ISNUMBER(INDEX(rMed2,2542)),ISNUMBER(INDEX(rMed,2542))),INDEX(rMed,2542),NA()))</f>
        <v>#N/A</v>
      </c>
    </row>
    <row r="2545">
      <c r="BX2545" t="e">
        <f>IF(OR(cMed=0,cMed2=0,2543&gt;nFilas),NA(),IF(AND(ISNUMBER(INDEX(rMed2,2543)),ISNUMBER(INDEX(rMed,2543))),INDEX(rMed2,2543),NA()))</f>
        <v>#N/A</v>
      </c>
      <c r="BY2545" t="e">
        <f>IF(OR(cMed=0,cMed2=0,2543&gt;nFilas),NA(),IF(AND(ISNUMBER(INDEX(rMed2,2543)),ISNUMBER(INDEX(rMed,2543))),INDEX(rMed,2543),NA()))</f>
        <v>#N/A</v>
      </c>
    </row>
    <row r="2546">
      <c r="BX2546" t="e">
        <f>IF(OR(cMed=0,cMed2=0,2544&gt;nFilas),NA(),IF(AND(ISNUMBER(INDEX(rMed2,2544)),ISNUMBER(INDEX(rMed,2544))),INDEX(rMed2,2544),NA()))</f>
        <v>#N/A</v>
      </c>
      <c r="BY2546" t="e">
        <f>IF(OR(cMed=0,cMed2=0,2544&gt;nFilas),NA(),IF(AND(ISNUMBER(INDEX(rMed2,2544)),ISNUMBER(INDEX(rMed,2544))),INDEX(rMed,2544),NA()))</f>
        <v>#N/A</v>
      </c>
    </row>
    <row r="2547">
      <c r="BX2547" t="e">
        <f>IF(OR(cMed=0,cMed2=0,2545&gt;nFilas),NA(),IF(AND(ISNUMBER(INDEX(rMed2,2545)),ISNUMBER(INDEX(rMed,2545))),INDEX(rMed2,2545),NA()))</f>
        <v>#N/A</v>
      </c>
      <c r="BY2547" t="e">
        <f>IF(OR(cMed=0,cMed2=0,2545&gt;nFilas),NA(),IF(AND(ISNUMBER(INDEX(rMed2,2545)),ISNUMBER(INDEX(rMed,2545))),INDEX(rMed,2545),NA()))</f>
        <v>#N/A</v>
      </c>
    </row>
    <row r="2548">
      <c r="BX2548" t="e">
        <f>IF(OR(cMed=0,cMed2=0,2546&gt;nFilas),NA(),IF(AND(ISNUMBER(INDEX(rMed2,2546)),ISNUMBER(INDEX(rMed,2546))),INDEX(rMed2,2546),NA()))</f>
        <v>#N/A</v>
      </c>
      <c r="BY2548" t="e">
        <f>IF(OR(cMed=0,cMed2=0,2546&gt;nFilas),NA(),IF(AND(ISNUMBER(INDEX(rMed2,2546)),ISNUMBER(INDEX(rMed,2546))),INDEX(rMed,2546),NA()))</f>
        <v>#N/A</v>
      </c>
    </row>
    <row r="2549">
      <c r="BX2549" t="e">
        <f>IF(OR(cMed=0,cMed2=0,2547&gt;nFilas),NA(),IF(AND(ISNUMBER(INDEX(rMed2,2547)),ISNUMBER(INDEX(rMed,2547))),INDEX(rMed2,2547),NA()))</f>
        <v>#N/A</v>
      </c>
      <c r="BY2549" t="e">
        <f>IF(OR(cMed=0,cMed2=0,2547&gt;nFilas),NA(),IF(AND(ISNUMBER(INDEX(rMed2,2547)),ISNUMBER(INDEX(rMed,2547))),INDEX(rMed,2547),NA()))</f>
        <v>#N/A</v>
      </c>
    </row>
    <row r="2550">
      <c r="BX2550" t="e">
        <f>IF(OR(cMed=0,cMed2=0,2548&gt;nFilas),NA(),IF(AND(ISNUMBER(INDEX(rMed2,2548)),ISNUMBER(INDEX(rMed,2548))),INDEX(rMed2,2548),NA()))</f>
        <v>#N/A</v>
      </c>
      <c r="BY2550" t="e">
        <f>IF(OR(cMed=0,cMed2=0,2548&gt;nFilas),NA(),IF(AND(ISNUMBER(INDEX(rMed2,2548)),ISNUMBER(INDEX(rMed,2548))),INDEX(rMed,2548),NA()))</f>
        <v>#N/A</v>
      </c>
    </row>
    <row r="2551">
      <c r="BX2551" t="e">
        <f>IF(OR(cMed=0,cMed2=0,2549&gt;nFilas),NA(),IF(AND(ISNUMBER(INDEX(rMed2,2549)),ISNUMBER(INDEX(rMed,2549))),INDEX(rMed2,2549),NA()))</f>
        <v>#N/A</v>
      </c>
      <c r="BY2551" t="e">
        <f>IF(OR(cMed=0,cMed2=0,2549&gt;nFilas),NA(),IF(AND(ISNUMBER(INDEX(rMed2,2549)),ISNUMBER(INDEX(rMed,2549))),INDEX(rMed,2549),NA()))</f>
        <v>#N/A</v>
      </c>
    </row>
    <row r="2552">
      <c r="BX2552" t="e">
        <f>IF(OR(cMed=0,cMed2=0,2550&gt;nFilas),NA(),IF(AND(ISNUMBER(INDEX(rMed2,2550)),ISNUMBER(INDEX(rMed,2550))),INDEX(rMed2,2550),NA()))</f>
        <v>#N/A</v>
      </c>
      <c r="BY2552" t="e">
        <f>IF(OR(cMed=0,cMed2=0,2550&gt;nFilas),NA(),IF(AND(ISNUMBER(INDEX(rMed2,2550)),ISNUMBER(INDEX(rMed,2550))),INDEX(rMed,2550),NA()))</f>
        <v>#N/A</v>
      </c>
    </row>
    <row r="2553">
      <c r="BX2553" t="e">
        <f>IF(OR(cMed=0,cMed2=0,2551&gt;nFilas),NA(),IF(AND(ISNUMBER(INDEX(rMed2,2551)),ISNUMBER(INDEX(rMed,2551))),INDEX(rMed2,2551),NA()))</f>
        <v>#N/A</v>
      </c>
      <c r="BY2553" t="e">
        <f>IF(OR(cMed=0,cMed2=0,2551&gt;nFilas),NA(),IF(AND(ISNUMBER(INDEX(rMed2,2551)),ISNUMBER(INDEX(rMed,2551))),INDEX(rMed,2551),NA()))</f>
        <v>#N/A</v>
      </c>
    </row>
    <row r="2554">
      <c r="BX2554" t="e">
        <f>IF(OR(cMed=0,cMed2=0,2552&gt;nFilas),NA(),IF(AND(ISNUMBER(INDEX(rMed2,2552)),ISNUMBER(INDEX(rMed,2552))),INDEX(rMed2,2552),NA()))</f>
        <v>#N/A</v>
      </c>
      <c r="BY2554" t="e">
        <f>IF(OR(cMed=0,cMed2=0,2552&gt;nFilas),NA(),IF(AND(ISNUMBER(INDEX(rMed2,2552)),ISNUMBER(INDEX(rMed,2552))),INDEX(rMed,2552),NA()))</f>
        <v>#N/A</v>
      </c>
    </row>
    <row r="2555">
      <c r="BX2555" t="e">
        <f>IF(OR(cMed=0,cMed2=0,2553&gt;nFilas),NA(),IF(AND(ISNUMBER(INDEX(rMed2,2553)),ISNUMBER(INDEX(rMed,2553))),INDEX(rMed2,2553),NA()))</f>
        <v>#N/A</v>
      </c>
      <c r="BY2555" t="e">
        <f>IF(OR(cMed=0,cMed2=0,2553&gt;nFilas),NA(),IF(AND(ISNUMBER(INDEX(rMed2,2553)),ISNUMBER(INDEX(rMed,2553))),INDEX(rMed,2553),NA()))</f>
        <v>#N/A</v>
      </c>
    </row>
    <row r="2556">
      <c r="BX2556" t="e">
        <f>IF(OR(cMed=0,cMed2=0,2554&gt;nFilas),NA(),IF(AND(ISNUMBER(INDEX(rMed2,2554)),ISNUMBER(INDEX(rMed,2554))),INDEX(rMed2,2554),NA()))</f>
        <v>#N/A</v>
      </c>
      <c r="BY2556" t="e">
        <f>IF(OR(cMed=0,cMed2=0,2554&gt;nFilas),NA(),IF(AND(ISNUMBER(INDEX(rMed2,2554)),ISNUMBER(INDEX(rMed,2554))),INDEX(rMed,2554),NA()))</f>
        <v>#N/A</v>
      </c>
    </row>
    <row r="2557">
      <c r="BX2557" t="e">
        <f>IF(OR(cMed=0,cMed2=0,2555&gt;nFilas),NA(),IF(AND(ISNUMBER(INDEX(rMed2,2555)),ISNUMBER(INDEX(rMed,2555))),INDEX(rMed2,2555),NA()))</f>
        <v>#N/A</v>
      </c>
      <c r="BY2557" t="e">
        <f>IF(OR(cMed=0,cMed2=0,2555&gt;nFilas),NA(),IF(AND(ISNUMBER(INDEX(rMed2,2555)),ISNUMBER(INDEX(rMed,2555))),INDEX(rMed,2555),NA()))</f>
        <v>#N/A</v>
      </c>
    </row>
    <row r="2558">
      <c r="BX2558" t="e">
        <f>IF(OR(cMed=0,cMed2=0,2556&gt;nFilas),NA(),IF(AND(ISNUMBER(INDEX(rMed2,2556)),ISNUMBER(INDEX(rMed,2556))),INDEX(rMed2,2556),NA()))</f>
        <v>#N/A</v>
      </c>
      <c r="BY2558" t="e">
        <f>IF(OR(cMed=0,cMed2=0,2556&gt;nFilas),NA(),IF(AND(ISNUMBER(INDEX(rMed2,2556)),ISNUMBER(INDEX(rMed,2556))),INDEX(rMed,2556),NA()))</f>
        <v>#N/A</v>
      </c>
    </row>
    <row r="2559">
      <c r="BX2559" t="e">
        <f>IF(OR(cMed=0,cMed2=0,2557&gt;nFilas),NA(),IF(AND(ISNUMBER(INDEX(rMed2,2557)),ISNUMBER(INDEX(rMed,2557))),INDEX(rMed2,2557),NA()))</f>
        <v>#N/A</v>
      </c>
      <c r="BY2559" t="e">
        <f>IF(OR(cMed=0,cMed2=0,2557&gt;nFilas),NA(),IF(AND(ISNUMBER(INDEX(rMed2,2557)),ISNUMBER(INDEX(rMed,2557))),INDEX(rMed,2557),NA()))</f>
        <v>#N/A</v>
      </c>
    </row>
    <row r="2560">
      <c r="BX2560" t="e">
        <f>IF(OR(cMed=0,cMed2=0,2558&gt;nFilas),NA(),IF(AND(ISNUMBER(INDEX(rMed2,2558)),ISNUMBER(INDEX(rMed,2558))),INDEX(rMed2,2558),NA()))</f>
        <v>#N/A</v>
      </c>
      <c r="BY2560" t="e">
        <f>IF(OR(cMed=0,cMed2=0,2558&gt;nFilas),NA(),IF(AND(ISNUMBER(INDEX(rMed2,2558)),ISNUMBER(INDEX(rMed,2558))),INDEX(rMed,2558),NA()))</f>
        <v>#N/A</v>
      </c>
    </row>
    <row r="2561">
      <c r="BX2561" t="e">
        <f>IF(OR(cMed=0,cMed2=0,2559&gt;nFilas),NA(),IF(AND(ISNUMBER(INDEX(rMed2,2559)),ISNUMBER(INDEX(rMed,2559))),INDEX(rMed2,2559),NA()))</f>
        <v>#N/A</v>
      </c>
      <c r="BY2561" t="e">
        <f>IF(OR(cMed=0,cMed2=0,2559&gt;nFilas),NA(),IF(AND(ISNUMBER(INDEX(rMed2,2559)),ISNUMBER(INDEX(rMed,2559))),INDEX(rMed,2559),NA()))</f>
        <v>#N/A</v>
      </c>
    </row>
    <row r="2562">
      <c r="BX2562" t="e">
        <f>IF(OR(cMed=0,cMed2=0,2560&gt;nFilas),NA(),IF(AND(ISNUMBER(INDEX(rMed2,2560)),ISNUMBER(INDEX(rMed,2560))),INDEX(rMed2,2560),NA()))</f>
        <v>#N/A</v>
      </c>
      <c r="BY2562" t="e">
        <f>IF(OR(cMed=0,cMed2=0,2560&gt;nFilas),NA(),IF(AND(ISNUMBER(INDEX(rMed2,2560)),ISNUMBER(INDEX(rMed,2560))),INDEX(rMed,2560),NA()))</f>
        <v>#N/A</v>
      </c>
    </row>
    <row r="2563">
      <c r="BX2563" t="e">
        <f>IF(OR(cMed=0,cMed2=0,2561&gt;nFilas),NA(),IF(AND(ISNUMBER(INDEX(rMed2,2561)),ISNUMBER(INDEX(rMed,2561))),INDEX(rMed2,2561),NA()))</f>
        <v>#N/A</v>
      </c>
      <c r="BY2563" t="e">
        <f>IF(OR(cMed=0,cMed2=0,2561&gt;nFilas),NA(),IF(AND(ISNUMBER(INDEX(rMed2,2561)),ISNUMBER(INDEX(rMed,2561))),INDEX(rMed,2561),NA()))</f>
        <v>#N/A</v>
      </c>
    </row>
    <row r="2564">
      <c r="BX2564" t="e">
        <f>IF(OR(cMed=0,cMed2=0,2562&gt;nFilas),NA(),IF(AND(ISNUMBER(INDEX(rMed2,2562)),ISNUMBER(INDEX(rMed,2562))),INDEX(rMed2,2562),NA()))</f>
        <v>#N/A</v>
      </c>
      <c r="BY2564" t="e">
        <f>IF(OR(cMed=0,cMed2=0,2562&gt;nFilas),NA(),IF(AND(ISNUMBER(INDEX(rMed2,2562)),ISNUMBER(INDEX(rMed,2562))),INDEX(rMed,2562),NA()))</f>
        <v>#N/A</v>
      </c>
    </row>
    <row r="2565">
      <c r="BX2565" t="e">
        <f>IF(OR(cMed=0,cMed2=0,2563&gt;nFilas),NA(),IF(AND(ISNUMBER(INDEX(rMed2,2563)),ISNUMBER(INDEX(rMed,2563))),INDEX(rMed2,2563),NA()))</f>
        <v>#N/A</v>
      </c>
      <c r="BY2565" t="e">
        <f>IF(OR(cMed=0,cMed2=0,2563&gt;nFilas),NA(),IF(AND(ISNUMBER(INDEX(rMed2,2563)),ISNUMBER(INDEX(rMed,2563))),INDEX(rMed,2563),NA()))</f>
        <v>#N/A</v>
      </c>
    </row>
    <row r="2566">
      <c r="BX2566" t="e">
        <f>IF(OR(cMed=0,cMed2=0,2564&gt;nFilas),NA(),IF(AND(ISNUMBER(INDEX(rMed2,2564)),ISNUMBER(INDEX(rMed,2564))),INDEX(rMed2,2564),NA()))</f>
        <v>#N/A</v>
      </c>
      <c r="BY2566" t="e">
        <f>IF(OR(cMed=0,cMed2=0,2564&gt;nFilas),NA(),IF(AND(ISNUMBER(INDEX(rMed2,2564)),ISNUMBER(INDEX(rMed,2564))),INDEX(rMed,2564),NA()))</f>
        <v>#N/A</v>
      </c>
    </row>
    <row r="2567">
      <c r="BX2567" t="e">
        <f>IF(OR(cMed=0,cMed2=0,2565&gt;nFilas),NA(),IF(AND(ISNUMBER(INDEX(rMed2,2565)),ISNUMBER(INDEX(rMed,2565))),INDEX(rMed2,2565),NA()))</f>
        <v>#N/A</v>
      </c>
      <c r="BY2567" t="e">
        <f>IF(OR(cMed=0,cMed2=0,2565&gt;nFilas),NA(),IF(AND(ISNUMBER(INDEX(rMed2,2565)),ISNUMBER(INDEX(rMed,2565))),INDEX(rMed,2565),NA()))</f>
        <v>#N/A</v>
      </c>
    </row>
    <row r="2568">
      <c r="BX2568" t="e">
        <f>IF(OR(cMed=0,cMed2=0,2566&gt;nFilas),NA(),IF(AND(ISNUMBER(INDEX(rMed2,2566)),ISNUMBER(INDEX(rMed,2566))),INDEX(rMed2,2566),NA()))</f>
        <v>#N/A</v>
      </c>
      <c r="BY2568" t="e">
        <f>IF(OR(cMed=0,cMed2=0,2566&gt;nFilas),NA(),IF(AND(ISNUMBER(INDEX(rMed2,2566)),ISNUMBER(INDEX(rMed,2566))),INDEX(rMed,2566),NA()))</f>
        <v>#N/A</v>
      </c>
    </row>
    <row r="2569">
      <c r="BX2569" t="e">
        <f>IF(OR(cMed=0,cMed2=0,2567&gt;nFilas),NA(),IF(AND(ISNUMBER(INDEX(rMed2,2567)),ISNUMBER(INDEX(rMed,2567))),INDEX(rMed2,2567),NA()))</f>
        <v>#N/A</v>
      </c>
      <c r="BY2569" t="e">
        <f>IF(OR(cMed=0,cMed2=0,2567&gt;nFilas),NA(),IF(AND(ISNUMBER(INDEX(rMed2,2567)),ISNUMBER(INDEX(rMed,2567))),INDEX(rMed,2567),NA()))</f>
        <v>#N/A</v>
      </c>
    </row>
    <row r="2570">
      <c r="BX2570" t="e">
        <f>IF(OR(cMed=0,cMed2=0,2568&gt;nFilas),NA(),IF(AND(ISNUMBER(INDEX(rMed2,2568)),ISNUMBER(INDEX(rMed,2568))),INDEX(rMed2,2568),NA()))</f>
        <v>#N/A</v>
      </c>
      <c r="BY2570" t="e">
        <f>IF(OR(cMed=0,cMed2=0,2568&gt;nFilas),NA(),IF(AND(ISNUMBER(INDEX(rMed2,2568)),ISNUMBER(INDEX(rMed,2568))),INDEX(rMed,2568),NA()))</f>
        <v>#N/A</v>
      </c>
    </row>
    <row r="2571">
      <c r="BX2571" t="e">
        <f>IF(OR(cMed=0,cMed2=0,2569&gt;nFilas),NA(),IF(AND(ISNUMBER(INDEX(rMed2,2569)),ISNUMBER(INDEX(rMed,2569))),INDEX(rMed2,2569),NA()))</f>
        <v>#N/A</v>
      </c>
      <c r="BY2571" t="e">
        <f>IF(OR(cMed=0,cMed2=0,2569&gt;nFilas),NA(),IF(AND(ISNUMBER(INDEX(rMed2,2569)),ISNUMBER(INDEX(rMed,2569))),INDEX(rMed,2569),NA()))</f>
        <v>#N/A</v>
      </c>
    </row>
    <row r="2572">
      <c r="BX2572" t="e">
        <f>IF(OR(cMed=0,cMed2=0,2570&gt;nFilas),NA(),IF(AND(ISNUMBER(INDEX(rMed2,2570)),ISNUMBER(INDEX(rMed,2570))),INDEX(rMed2,2570),NA()))</f>
        <v>#N/A</v>
      </c>
      <c r="BY2572" t="e">
        <f>IF(OR(cMed=0,cMed2=0,2570&gt;nFilas),NA(),IF(AND(ISNUMBER(INDEX(rMed2,2570)),ISNUMBER(INDEX(rMed,2570))),INDEX(rMed,2570),NA()))</f>
        <v>#N/A</v>
      </c>
    </row>
    <row r="2573">
      <c r="BX2573" t="e">
        <f>IF(OR(cMed=0,cMed2=0,2571&gt;nFilas),NA(),IF(AND(ISNUMBER(INDEX(rMed2,2571)),ISNUMBER(INDEX(rMed,2571))),INDEX(rMed2,2571),NA()))</f>
        <v>#N/A</v>
      </c>
      <c r="BY2573" t="e">
        <f>IF(OR(cMed=0,cMed2=0,2571&gt;nFilas),NA(),IF(AND(ISNUMBER(INDEX(rMed2,2571)),ISNUMBER(INDEX(rMed,2571))),INDEX(rMed,2571),NA()))</f>
        <v>#N/A</v>
      </c>
    </row>
    <row r="2574">
      <c r="BX2574" t="e">
        <f>IF(OR(cMed=0,cMed2=0,2572&gt;nFilas),NA(),IF(AND(ISNUMBER(INDEX(rMed2,2572)),ISNUMBER(INDEX(rMed,2572))),INDEX(rMed2,2572),NA()))</f>
        <v>#N/A</v>
      </c>
      <c r="BY2574" t="e">
        <f>IF(OR(cMed=0,cMed2=0,2572&gt;nFilas),NA(),IF(AND(ISNUMBER(INDEX(rMed2,2572)),ISNUMBER(INDEX(rMed,2572))),INDEX(rMed,2572),NA()))</f>
        <v>#N/A</v>
      </c>
    </row>
    <row r="2575">
      <c r="BX2575" t="e">
        <f>IF(OR(cMed=0,cMed2=0,2573&gt;nFilas),NA(),IF(AND(ISNUMBER(INDEX(rMed2,2573)),ISNUMBER(INDEX(rMed,2573))),INDEX(rMed2,2573),NA()))</f>
        <v>#N/A</v>
      </c>
      <c r="BY2575" t="e">
        <f>IF(OR(cMed=0,cMed2=0,2573&gt;nFilas),NA(),IF(AND(ISNUMBER(INDEX(rMed2,2573)),ISNUMBER(INDEX(rMed,2573))),INDEX(rMed,2573),NA()))</f>
        <v>#N/A</v>
      </c>
    </row>
    <row r="2576">
      <c r="BX2576" t="e">
        <f>IF(OR(cMed=0,cMed2=0,2574&gt;nFilas),NA(),IF(AND(ISNUMBER(INDEX(rMed2,2574)),ISNUMBER(INDEX(rMed,2574))),INDEX(rMed2,2574),NA()))</f>
        <v>#N/A</v>
      </c>
      <c r="BY2576" t="e">
        <f>IF(OR(cMed=0,cMed2=0,2574&gt;nFilas),NA(),IF(AND(ISNUMBER(INDEX(rMed2,2574)),ISNUMBER(INDEX(rMed,2574))),INDEX(rMed,2574),NA()))</f>
        <v>#N/A</v>
      </c>
    </row>
    <row r="2577">
      <c r="BX2577" t="e">
        <f>IF(OR(cMed=0,cMed2=0,2575&gt;nFilas),NA(),IF(AND(ISNUMBER(INDEX(rMed2,2575)),ISNUMBER(INDEX(rMed,2575))),INDEX(rMed2,2575),NA()))</f>
        <v>#N/A</v>
      </c>
      <c r="BY2577" t="e">
        <f>IF(OR(cMed=0,cMed2=0,2575&gt;nFilas),NA(),IF(AND(ISNUMBER(INDEX(rMed2,2575)),ISNUMBER(INDEX(rMed,2575))),INDEX(rMed,2575),NA()))</f>
        <v>#N/A</v>
      </c>
    </row>
    <row r="2578">
      <c r="BX2578" t="e">
        <f>IF(OR(cMed=0,cMed2=0,2576&gt;nFilas),NA(),IF(AND(ISNUMBER(INDEX(rMed2,2576)),ISNUMBER(INDEX(rMed,2576))),INDEX(rMed2,2576),NA()))</f>
        <v>#N/A</v>
      </c>
      <c r="BY2578" t="e">
        <f>IF(OR(cMed=0,cMed2=0,2576&gt;nFilas),NA(),IF(AND(ISNUMBER(INDEX(rMed2,2576)),ISNUMBER(INDEX(rMed,2576))),INDEX(rMed,2576),NA()))</f>
        <v>#N/A</v>
      </c>
    </row>
    <row r="2579">
      <c r="BX2579" t="e">
        <f>IF(OR(cMed=0,cMed2=0,2577&gt;nFilas),NA(),IF(AND(ISNUMBER(INDEX(rMed2,2577)),ISNUMBER(INDEX(rMed,2577))),INDEX(rMed2,2577),NA()))</f>
        <v>#N/A</v>
      </c>
      <c r="BY2579" t="e">
        <f>IF(OR(cMed=0,cMed2=0,2577&gt;nFilas),NA(),IF(AND(ISNUMBER(INDEX(rMed2,2577)),ISNUMBER(INDEX(rMed,2577))),INDEX(rMed,2577),NA()))</f>
        <v>#N/A</v>
      </c>
    </row>
    <row r="2580">
      <c r="BX2580" t="e">
        <f>IF(OR(cMed=0,cMed2=0,2578&gt;nFilas),NA(),IF(AND(ISNUMBER(INDEX(rMed2,2578)),ISNUMBER(INDEX(rMed,2578))),INDEX(rMed2,2578),NA()))</f>
        <v>#N/A</v>
      </c>
      <c r="BY2580" t="e">
        <f>IF(OR(cMed=0,cMed2=0,2578&gt;nFilas),NA(),IF(AND(ISNUMBER(INDEX(rMed2,2578)),ISNUMBER(INDEX(rMed,2578))),INDEX(rMed,2578),NA()))</f>
        <v>#N/A</v>
      </c>
    </row>
    <row r="2581">
      <c r="BX2581" t="e">
        <f>IF(OR(cMed=0,cMed2=0,2579&gt;nFilas),NA(),IF(AND(ISNUMBER(INDEX(rMed2,2579)),ISNUMBER(INDEX(rMed,2579))),INDEX(rMed2,2579),NA()))</f>
        <v>#N/A</v>
      </c>
      <c r="BY2581" t="e">
        <f>IF(OR(cMed=0,cMed2=0,2579&gt;nFilas),NA(),IF(AND(ISNUMBER(INDEX(rMed2,2579)),ISNUMBER(INDEX(rMed,2579))),INDEX(rMed,2579),NA()))</f>
        <v>#N/A</v>
      </c>
    </row>
    <row r="2582">
      <c r="BX2582" t="e">
        <f>IF(OR(cMed=0,cMed2=0,2580&gt;nFilas),NA(),IF(AND(ISNUMBER(INDEX(rMed2,2580)),ISNUMBER(INDEX(rMed,2580))),INDEX(rMed2,2580),NA()))</f>
        <v>#N/A</v>
      </c>
      <c r="BY2582" t="e">
        <f>IF(OR(cMed=0,cMed2=0,2580&gt;nFilas),NA(),IF(AND(ISNUMBER(INDEX(rMed2,2580)),ISNUMBER(INDEX(rMed,2580))),INDEX(rMed,2580),NA()))</f>
        <v>#N/A</v>
      </c>
    </row>
    <row r="2583">
      <c r="BX2583" t="e">
        <f>IF(OR(cMed=0,cMed2=0,2581&gt;nFilas),NA(),IF(AND(ISNUMBER(INDEX(rMed2,2581)),ISNUMBER(INDEX(rMed,2581))),INDEX(rMed2,2581),NA()))</f>
        <v>#N/A</v>
      </c>
      <c r="BY2583" t="e">
        <f>IF(OR(cMed=0,cMed2=0,2581&gt;nFilas),NA(),IF(AND(ISNUMBER(INDEX(rMed2,2581)),ISNUMBER(INDEX(rMed,2581))),INDEX(rMed,2581),NA()))</f>
        <v>#N/A</v>
      </c>
    </row>
    <row r="2584">
      <c r="BX2584" t="e">
        <f>IF(OR(cMed=0,cMed2=0,2582&gt;nFilas),NA(),IF(AND(ISNUMBER(INDEX(rMed2,2582)),ISNUMBER(INDEX(rMed,2582))),INDEX(rMed2,2582),NA()))</f>
        <v>#N/A</v>
      </c>
      <c r="BY2584" t="e">
        <f>IF(OR(cMed=0,cMed2=0,2582&gt;nFilas),NA(),IF(AND(ISNUMBER(INDEX(rMed2,2582)),ISNUMBER(INDEX(rMed,2582))),INDEX(rMed,2582),NA()))</f>
        <v>#N/A</v>
      </c>
    </row>
    <row r="2585">
      <c r="BX2585" t="e">
        <f>IF(OR(cMed=0,cMed2=0,2583&gt;nFilas),NA(),IF(AND(ISNUMBER(INDEX(rMed2,2583)),ISNUMBER(INDEX(rMed,2583))),INDEX(rMed2,2583),NA()))</f>
        <v>#N/A</v>
      </c>
      <c r="BY2585" t="e">
        <f>IF(OR(cMed=0,cMed2=0,2583&gt;nFilas),NA(),IF(AND(ISNUMBER(INDEX(rMed2,2583)),ISNUMBER(INDEX(rMed,2583))),INDEX(rMed,2583),NA()))</f>
        <v>#N/A</v>
      </c>
    </row>
    <row r="2586">
      <c r="BX2586" t="e">
        <f>IF(OR(cMed=0,cMed2=0,2584&gt;nFilas),NA(),IF(AND(ISNUMBER(INDEX(rMed2,2584)),ISNUMBER(INDEX(rMed,2584))),INDEX(rMed2,2584),NA()))</f>
        <v>#N/A</v>
      </c>
      <c r="BY2586" t="e">
        <f>IF(OR(cMed=0,cMed2=0,2584&gt;nFilas),NA(),IF(AND(ISNUMBER(INDEX(rMed2,2584)),ISNUMBER(INDEX(rMed,2584))),INDEX(rMed,2584),NA()))</f>
        <v>#N/A</v>
      </c>
    </row>
    <row r="2587">
      <c r="BX2587" t="e">
        <f>IF(OR(cMed=0,cMed2=0,2585&gt;nFilas),NA(),IF(AND(ISNUMBER(INDEX(rMed2,2585)),ISNUMBER(INDEX(rMed,2585))),INDEX(rMed2,2585),NA()))</f>
        <v>#N/A</v>
      </c>
      <c r="BY2587" t="e">
        <f>IF(OR(cMed=0,cMed2=0,2585&gt;nFilas),NA(),IF(AND(ISNUMBER(INDEX(rMed2,2585)),ISNUMBER(INDEX(rMed,2585))),INDEX(rMed,2585),NA()))</f>
        <v>#N/A</v>
      </c>
    </row>
    <row r="2588">
      <c r="BX2588" t="e">
        <f>IF(OR(cMed=0,cMed2=0,2586&gt;nFilas),NA(),IF(AND(ISNUMBER(INDEX(rMed2,2586)),ISNUMBER(INDEX(rMed,2586))),INDEX(rMed2,2586),NA()))</f>
        <v>#N/A</v>
      </c>
      <c r="BY2588" t="e">
        <f>IF(OR(cMed=0,cMed2=0,2586&gt;nFilas),NA(),IF(AND(ISNUMBER(INDEX(rMed2,2586)),ISNUMBER(INDEX(rMed,2586))),INDEX(rMed,2586),NA()))</f>
        <v>#N/A</v>
      </c>
    </row>
    <row r="2589">
      <c r="BX2589" t="e">
        <f>IF(OR(cMed=0,cMed2=0,2587&gt;nFilas),NA(),IF(AND(ISNUMBER(INDEX(rMed2,2587)),ISNUMBER(INDEX(rMed,2587))),INDEX(rMed2,2587),NA()))</f>
        <v>#N/A</v>
      </c>
      <c r="BY2589" t="e">
        <f>IF(OR(cMed=0,cMed2=0,2587&gt;nFilas),NA(),IF(AND(ISNUMBER(INDEX(rMed2,2587)),ISNUMBER(INDEX(rMed,2587))),INDEX(rMed,2587),NA()))</f>
        <v>#N/A</v>
      </c>
    </row>
    <row r="2590">
      <c r="BX2590" t="e">
        <f>IF(OR(cMed=0,cMed2=0,2588&gt;nFilas),NA(),IF(AND(ISNUMBER(INDEX(rMed2,2588)),ISNUMBER(INDEX(rMed,2588))),INDEX(rMed2,2588),NA()))</f>
        <v>#N/A</v>
      </c>
      <c r="BY2590" t="e">
        <f>IF(OR(cMed=0,cMed2=0,2588&gt;nFilas),NA(),IF(AND(ISNUMBER(INDEX(rMed2,2588)),ISNUMBER(INDEX(rMed,2588))),INDEX(rMed,2588),NA()))</f>
        <v>#N/A</v>
      </c>
    </row>
    <row r="2591">
      <c r="BX2591" t="e">
        <f>IF(OR(cMed=0,cMed2=0,2589&gt;nFilas),NA(),IF(AND(ISNUMBER(INDEX(rMed2,2589)),ISNUMBER(INDEX(rMed,2589))),INDEX(rMed2,2589),NA()))</f>
        <v>#N/A</v>
      </c>
      <c r="BY2591" t="e">
        <f>IF(OR(cMed=0,cMed2=0,2589&gt;nFilas),NA(),IF(AND(ISNUMBER(INDEX(rMed2,2589)),ISNUMBER(INDEX(rMed,2589))),INDEX(rMed,2589),NA()))</f>
        <v>#N/A</v>
      </c>
    </row>
    <row r="2592">
      <c r="BX2592" t="e">
        <f>IF(OR(cMed=0,cMed2=0,2590&gt;nFilas),NA(),IF(AND(ISNUMBER(INDEX(rMed2,2590)),ISNUMBER(INDEX(rMed,2590))),INDEX(rMed2,2590),NA()))</f>
        <v>#N/A</v>
      </c>
      <c r="BY2592" t="e">
        <f>IF(OR(cMed=0,cMed2=0,2590&gt;nFilas),NA(),IF(AND(ISNUMBER(INDEX(rMed2,2590)),ISNUMBER(INDEX(rMed,2590))),INDEX(rMed,2590),NA()))</f>
        <v>#N/A</v>
      </c>
    </row>
    <row r="2593">
      <c r="BX2593" t="e">
        <f>IF(OR(cMed=0,cMed2=0,2591&gt;nFilas),NA(),IF(AND(ISNUMBER(INDEX(rMed2,2591)),ISNUMBER(INDEX(rMed,2591))),INDEX(rMed2,2591),NA()))</f>
        <v>#N/A</v>
      </c>
      <c r="BY2593" t="e">
        <f>IF(OR(cMed=0,cMed2=0,2591&gt;nFilas),NA(),IF(AND(ISNUMBER(INDEX(rMed2,2591)),ISNUMBER(INDEX(rMed,2591))),INDEX(rMed,2591),NA()))</f>
        <v>#N/A</v>
      </c>
    </row>
    <row r="2594">
      <c r="BX2594" t="e">
        <f>IF(OR(cMed=0,cMed2=0,2592&gt;nFilas),NA(),IF(AND(ISNUMBER(INDEX(rMed2,2592)),ISNUMBER(INDEX(rMed,2592))),INDEX(rMed2,2592),NA()))</f>
        <v>#N/A</v>
      </c>
      <c r="BY2594" t="e">
        <f>IF(OR(cMed=0,cMed2=0,2592&gt;nFilas),NA(),IF(AND(ISNUMBER(INDEX(rMed2,2592)),ISNUMBER(INDEX(rMed,2592))),INDEX(rMed,2592),NA()))</f>
        <v>#N/A</v>
      </c>
    </row>
    <row r="2595">
      <c r="BX2595" t="e">
        <f>IF(OR(cMed=0,cMed2=0,2593&gt;nFilas),NA(),IF(AND(ISNUMBER(INDEX(rMed2,2593)),ISNUMBER(INDEX(rMed,2593))),INDEX(rMed2,2593),NA()))</f>
        <v>#N/A</v>
      </c>
      <c r="BY2595" t="e">
        <f>IF(OR(cMed=0,cMed2=0,2593&gt;nFilas),NA(),IF(AND(ISNUMBER(INDEX(rMed2,2593)),ISNUMBER(INDEX(rMed,2593))),INDEX(rMed,2593),NA()))</f>
        <v>#N/A</v>
      </c>
    </row>
    <row r="2596">
      <c r="BX2596" t="e">
        <f>IF(OR(cMed=0,cMed2=0,2594&gt;nFilas),NA(),IF(AND(ISNUMBER(INDEX(rMed2,2594)),ISNUMBER(INDEX(rMed,2594))),INDEX(rMed2,2594),NA()))</f>
        <v>#N/A</v>
      </c>
      <c r="BY2596" t="e">
        <f>IF(OR(cMed=0,cMed2=0,2594&gt;nFilas),NA(),IF(AND(ISNUMBER(INDEX(rMed2,2594)),ISNUMBER(INDEX(rMed,2594))),INDEX(rMed,2594),NA()))</f>
        <v>#N/A</v>
      </c>
    </row>
    <row r="2597">
      <c r="BX2597" t="e">
        <f>IF(OR(cMed=0,cMed2=0,2595&gt;nFilas),NA(),IF(AND(ISNUMBER(INDEX(rMed2,2595)),ISNUMBER(INDEX(rMed,2595))),INDEX(rMed2,2595),NA()))</f>
        <v>#N/A</v>
      </c>
      <c r="BY2597" t="e">
        <f>IF(OR(cMed=0,cMed2=0,2595&gt;nFilas),NA(),IF(AND(ISNUMBER(INDEX(rMed2,2595)),ISNUMBER(INDEX(rMed,2595))),INDEX(rMed,2595),NA()))</f>
        <v>#N/A</v>
      </c>
    </row>
    <row r="2598">
      <c r="BX2598" t="e">
        <f>IF(OR(cMed=0,cMed2=0,2596&gt;nFilas),NA(),IF(AND(ISNUMBER(INDEX(rMed2,2596)),ISNUMBER(INDEX(rMed,2596))),INDEX(rMed2,2596),NA()))</f>
        <v>#N/A</v>
      </c>
      <c r="BY2598" t="e">
        <f>IF(OR(cMed=0,cMed2=0,2596&gt;nFilas),NA(),IF(AND(ISNUMBER(INDEX(rMed2,2596)),ISNUMBER(INDEX(rMed,2596))),INDEX(rMed,2596),NA()))</f>
        <v>#N/A</v>
      </c>
    </row>
    <row r="2599">
      <c r="BX2599" t="e">
        <f>IF(OR(cMed=0,cMed2=0,2597&gt;nFilas),NA(),IF(AND(ISNUMBER(INDEX(rMed2,2597)),ISNUMBER(INDEX(rMed,2597))),INDEX(rMed2,2597),NA()))</f>
        <v>#N/A</v>
      </c>
      <c r="BY2599" t="e">
        <f>IF(OR(cMed=0,cMed2=0,2597&gt;nFilas),NA(),IF(AND(ISNUMBER(INDEX(rMed2,2597)),ISNUMBER(INDEX(rMed,2597))),INDEX(rMed,2597),NA()))</f>
        <v>#N/A</v>
      </c>
    </row>
    <row r="2600">
      <c r="BX2600" t="e">
        <f>IF(OR(cMed=0,cMed2=0,2598&gt;nFilas),NA(),IF(AND(ISNUMBER(INDEX(rMed2,2598)),ISNUMBER(INDEX(rMed,2598))),INDEX(rMed2,2598),NA()))</f>
        <v>#N/A</v>
      </c>
      <c r="BY2600" t="e">
        <f>IF(OR(cMed=0,cMed2=0,2598&gt;nFilas),NA(),IF(AND(ISNUMBER(INDEX(rMed2,2598)),ISNUMBER(INDEX(rMed,2598))),INDEX(rMed,2598),NA()))</f>
        <v>#N/A</v>
      </c>
    </row>
    <row r="2601">
      <c r="BX2601" t="e">
        <f>IF(OR(cMed=0,cMed2=0,2599&gt;nFilas),NA(),IF(AND(ISNUMBER(INDEX(rMed2,2599)),ISNUMBER(INDEX(rMed,2599))),INDEX(rMed2,2599),NA()))</f>
        <v>#N/A</v>
      </c>
      <c r="BY2601" t="e">
        <f>IF(OR(cMed=0,cMed2=0,2599&gt;nFilas),NA(),IF(AND(ISNUMBER(INDEX(rMed2,2599)),ISNUMBER(INDEX(rMed,2599))),INDEX(rMed,2599),NA()))</f>
        <v>#N/A</v>
      </c>
    </row>
    <row r="2602">
      <c r="BX2602" t="e">
        <f>IF(OR(cMed=0,cMed2=0,2600&gt;nFilas),NA(),IF(AND(ISNUMBER(INDEX(rMed2,2600)),ISNUMBER(INDEX(rMed,2600))),INDEX(rMed2,2600),NA()))</f>
        <v>#N/A</v>
      </c>
      <c r="BY2602" t="e">
        <f>IF(OR(cMed=0,cMed2=0,2600&gt;nFilas),NA(),IF(AND(ISNUMBER(INDEX(rMed2,2600)),ISNUMBER(INDEX(rMed,2600))),INDEX(rMed,2600),NA()))</f>
        <v>#N/A</v>
      </c>
    </row>
    <row r="2603">
      <c r="BX2603" t="e">
        <f>IF(OR(cMed=0,cMed2=0,2601&gt;nFilas),NA(),IF(AND(ISNUMBER(INDEX(rMed2,2601)),ISNUMBER(INDEX(rMed,2601))),INDEX(rMed2,2601),NA()))</f>
        <v>#N/A</v>
      </c>
      <c r="BY2603" t="e">
        <f>IF(OR(cMed=0,cMed2=0,2601&gt;nFilas),NA(),IF(AND(ISNUMBER(INDEX(rMed2,2601)),ISNUMBER(INDEX(rMed,2601))),INDEX(rMed,2601),NA()))</f>
        <v>#N/A</v>
      </c>
    </row>
    <row r="2604">
      <c r="BX2604" t="e">
        <f>IF(OR(cMed=0,cMed2=0,2602&gt;nFilas),NA(),IF(AND(ISNUMBER(INDEX(rMed2,2602)),ISNUMBER(INDEX(rMed,2602))),INDEX(rMed2,2602),NA()))</f>
        <v>#N/A</v>
      </c>
      <c r="BY2604" t="e">
        <f>IF(OR(cMed=0,cMed2=0,2602&gt;nFilas),NA(),IF(AND(ISNUMBER(INDEX(rMed2,2602)),ISNUMBER(INDEX(rMed,2602))),INDEX(rMed,2602),NA()))</f>
        <v>#N/A</v>
      </c>
    </row>
    <row r="2605">
      <c r="BX2605" t="e">
        <f>IF(OR(cMed=0,cMed2=0,2603&gt;nFilas),NA(),IF(AND(ISNUMBER(INDEX(rMed2,2603)),ISNUMBER(INDEX(rMed,2603))),INDEX(rMed2,2603),NA()))</f>
        <v>#N/A</v>
      </c>
      <c r="BY2605" t="e">
        <f>IF(OR(cMed=0,cMed2=0,2603&gt;nFilas),NA(),IF(AND(ISNUMBER(INDEX(rMed2,2603)),ISNUMBER(INDEX(rMed,2603))),INDEX(rMed,2603),NA()))</f>
        <v>#N/A</v>
      </c>
    </row>
    <row r="2606">
      <c r="BX2606" t="e">
        <f>IF(OR(cMed=0,cMed2=0,2604&gt;nFilas),NA(),IF(AND(ISNUMBER(INDEX(rMed2,2604)),ISNUMBER(INDEX(rMed,2604))),INDEX(rMed2,2604),NA()))</f>
        <v>#N/A</v>
      </c>
      <c r="BY2606" t="e">
        <f>IF(OR(cMed=0,cMed2=0,2604&gt;nFilas),NA(),IF(AND(ISNUMBER(INDEX(rMed2,2604)),ISNUMBER(INDEX(rMed,2604))),INDEX(rMed,2604),NA()))</f>
        <v>#N/A</v>
      </c>
    </row>
    <row r="2607">
      <c r="BX2607" t="e">
        <f>IF(OR(cMed=0,cMed2=0,2605&gt;nFilas),NA(),IF(AND(ISNUMBER(INDEX(rMed2,2605)),ISNUMBER(INDEX(rMed,2605))),INDEX(rMed2,2605),NA()))</f>
        <v>#N/A</v>
      </c>
      <c r="BY2607" t="e">
        <f>IF(OR(cMed=0,cMed2=0,2605&gt;nFilas),NA(),IF(AND(ISNUMBER(INDEX(rMed2,2605)),ISNUMBER(INDEX(rMed,2605))),INDEX(rMed,2605),NA()))</f>
        <v>#N/A</v>
      </c>
    </row>
    <row r="2608">
      <c r="BX2608" t="e">
        <f>IF(OR(cMed=0,cMed2=0,2606&gt;nFilas),NA(),IF(AND(ISNUMBER(INDEX(rMed2,2606)),ISNUMBER(INDEX(rMed,2606))),INDEX(rMed2,2606),NA()))</f>
        <v>#N/A</v>
      </c>
      <c r="BY2608" t="e">
        <f>IF(OR(cMed=0,cMed2=0,2606&gt;nFilas),NA(),IF(AND(ISNUMBER(INDEX(rMed2,2606)),ISNUMBER(INDEX(rMed,2606))),INDEX(rMed,2606),NA()))</f>
        <v>#N/A</v>
      </c>
    </row>
    <row r="2609">
      <c r="BX2609" t="e">
        <f>IF(OR(cMed=0,cMed2=0,2607&gt;nFilas),NA(),IF(AND(ISNUMBER(INDEX(rMed2,2607)),ISNUMBER(INDEX(rMed,2607))),INDEX(rMed2,2607),NA()))</f>
        <v>#N/A</v>
      </c>
      <c r="BY2609" t="e">
        <f>IF(OR(cMed=0,cMed2=0,2607&gt;nFilas),NA(),IF(AND(ISNUMBER(INDEX(rMed2,2607)),ISNUMBER(INDEX(rMed,2607))),INDEX(rMed,2607),NA()))</f>
        <v>#N/A</v>
      </c>
    </row>
    <row r="2610">
      <c r="BX2610" t="e">
        <f>IF(OR(cMed=0,cMed2=0,2608&gt;nFilas),NA(),IF(AND(ISNUMBER(INDEX(rMed2,2608)),ISNUMBER(INDEX(rMed,2608))),INDEX(rMed2,2608),NA()))</f>
        <v>#N/A</v>
      </c>
      <c r="BY2610" t="e">
        <f>IF(OR(cMed=0,cMed2=0,2608&gt;nFilas),NA(),IF(AND(ISNUMBER(INDEX(rMed2,2608)),ISNUMBER(INDEX(rMed,2608))),INDEX(rMed,2608),NA()))</f>
        <v>#N/A</v>
      </c>
    </row>
    <row r="2611">
      <c r="BX2611" t="e">
        <f>IF(OR(cMed=0,cMed2=0,2609&gt;nFilas),NA(),IF(AND(ISNUMBER(INDEX(rMed2,2609)),ISNUMBER(INDEX(rMed,2609))),INDEX(rMed2,2609),NA()))</f>
        <v>#N/A</v>
      </c>
      <c r="BY2611" t="e">
        <f>IF(OR(cMed=0,cMed2=0,2609&gt;nFilas),NA(),IF(AND(ISNUMBER(INDEX(rMed2,2609)),ISNUMBER(INDEX(rMed,2609))),INDEX(rMed,2609),NA()))</f>
        <v>#N/A</v>
      </c>
    </row>
    <row r="2612">
      <c r="BX2612" t="e">
        <f>IF(OR(cMed=0,cMed2=0,2610&gt;nFilas),NA(),IF(AND(ISNUMBER(INDEX(rMed2,2610)),ISNUMBER(INDEX(rMed,2610))),INDEX(rMed2,2610),NA()))</f>
        <v>#N/A</v>
      </c>
      <c r="BY2612" t="e">
        <f>IF(OR(cMed=0,cMed2=0,2610&gt;nFilas),NA(),IF(AND(ISNUMBER(INDEX(rMed2,2610)),ISNUMBER(INDEX(rMed,2610))),INDEX(rMed,2610),NA()))</f>
        <v>#N/A</v>
      </c>
    </row>
    <row r="2613">
      <c r="BX2613" t="e">
        <f>IF(OR(cMed=0,cMed2=0,2611&gt;nFilas),NA(),IF(AND(ISNUMBER(INDEX(rMed2,2611)),ISNUMBER(INDEX(rMed,2611))),INDEX(rMed2,2611),NA()))</f>
        <v>#N/A</v>
      </c>
      <c r="BY2613" t="e">
        <f>IF(OR(cMed=0,cMed2=0,2611&gt;nFilas),NA(),IF(AND(ISNUMBER(INDEX(rMed2,2611)),ISNUMBER(INDEX(rMed,2611))),INDEX(rMed,2611),NA()))</f>
        <v>#N/A</v>
      </c>
    </row>
    <row r="2614">
      <c r="BX2614" t="e">
        <f>IF(OR(cMed=0,cMed2=0,2612&gt;nFilas),NA(),IF(AND(ISNUMBER(INDEX(rMed2,2612)),ISNUMBER(INDEX(rMed,2612))),INDEX(rMed2,2612),NA()))</f>
        <v>#N/A</v>
      </c>
      <c r="BY2614" t="e">
        <f>IF(OR(cMed=0,cMed2=0,2612&gt;nFilas),NA(),IF(AND(ISNUMBER(INDEX(rMed2,2612)),ISNUMBER(INDEX(rMed,2612))),INDEX(rMed,2612),NA()))</f>
        <v>#N/A</v>
      </c>
    </row>
    <row r="2615">
      <c r="BX2615" t="e">
        <f>IF(OR(cMed=0,cMed2=0,2613&gt;nFilas),NA(),IF(AND(ISNUMBER(INDEX(rMed2,2613)),ISNUMBER(INDEX(rMed,2613))),INDEX(rMed2,2613),NA()))</f>
        <v>#N/A</v>
      </c>
      <c r="BY2615" t="e">
        <f>IF(OR(cMed=0,cMed2=0,2613&gt;nFilas),NA(),IF(AND(ISNUMBER(INDEX(rMed2,2613)),ISNUMBER(INDEX(rMed,2613))),INDEX(rMed,2613),NA()))</f>
        <v>#N/A</v>
      </c>
    </row>
    <row r="2616">
      <c r="BX2616" t="e">
        <f>IF(OR(cMed=0,cMed2=0,2614&gt;nFilas),NA(),IF(AND(ISNUMBER(INDEX(rMed2,2614)),ISNUMBER(INDEX(rMed,2614))),INDEX(rMed2,2614),NA()))</f>
        <v>#N/A</v>
      </c>
      <c r="BY2616" t="e">
        <f>IF(OR(cMed=0,cMed2=0,2614&gt;nFilas),NA(),IF(AND(ISNUMBER(INDEX(rMed2,2614)),ISNUMBER(INDEX(rMed,2614))),INDEX(rMed,2614),NA()))</f>
        <v>#N/A</v>
      </c>
    </row>
    <row r="2617">
      <c r="BX2617" t="e">
        <f>IF(OR(cMed=0,cMed2=0,2615&gt;nFilas),NA(),IF(AND(ISNUMBER(INDEX(rMed2,2615)),ISNUMBER(INDEX(rMed,2615))),INDEX(rMed2,2615),NA()))</f>
        <v>#N/A</v>
      </c>
      <c r="BY2617" t="e">
        <f>IF(OR(cMed=0,cMed2=0,2615&gt;nFilas),NA(),IF(AND(ISNUMBER(INDEX(rMed2,2615)),ISNUMBER(INDEX(rMed,2615))),INDEX(rMed,2615),NA()))</f>
        <v>#N/A</v>
      </c>
    </row>
    <row r="2618">
      <c r="BX2618" t="e">
        <f>IF(OR(cMed=0,cMed2=0,2616&gt;nFilas),NA(),IF(AND(ISNUMBER(INDEX(rMed2,2616)),ISNUMBER(INDEX(rMed,2616))),INDEX(rMed2,2616),NA()))</f>
        <v>#N/A</v>
      </c>
      <c r="BY2618" t="e">
        <f>IF(OR(cMed=0,cMed2=0,2616&gt;nFilas),NA(),IF(AND(ISNUMBER(INDEX(rMed2,2616)),ISNUMBER(INDEX(rMed,2616))),INDEX(rMed,2616),NA()))</f>
        <v>#N/A</v>
      </c>
    </row>
    <row r="2619">
      <c r="BX2619" t="e">
        <f>IF(OR(cMed=0,cMed2=0,2617&gt;nFilas),NA(),IF(AND(ISNUMBER(INDEX(rMed2,2617)),ISNUMBER(INDEX(rMed,2617))),INDEX(rMed2,2617),NA()))</f>
        <v>#N/A</v>
      </c>
      <c r="BY2619" t="e">
        <f>IF(OR(cMed=0,cMed2=0,2617&gt;nFilas),NA(),IF(AND(ISNUMBER(INDEX(rMed2,2617)),ISNUMBER(INDEX(rMed,2617))),INDEX(rMed,2617),NA()))</f>
        <v>#N/A</v>
      </c>
    </row>
    <row r="2620">
      <c r="BX2620" t="e">
        <f>IF(OR(cMed=0,cMed2=0,2618&gt;nFilas),NA(),IF(AND(ISNUMBER(INDEX(rMed2,2618)),ISNUMBER(INDEX(rMed,2618))),INDEX(rMed2,2618),NA()))</f>
        <v>#N/A</v>
      </c>
      <c r="BY2620" t="e">
        <f>IF(OR(cMed=0,cMed2=0,2618&gt;nFilas),NA(),IF(AND(ISNUMBER(INDEX(rMed2,2618)),ISNUMBER(INDEX(rMed,2618))),INDEX(rMed,2618),NA()))</f>
        <v>#N/A</v>
      </c>
    </row>
    <row r="2621">
      <c r="BX2621" t="e">
        <f>IF(OR(cMed=0,cMed2=0,2619&gt;nFilas),NA(),IF(AND(ISNUMBER(INDEX(rMed2,2619)),ISNUMBER(INDEX(rMed,2619))),INDEX(rMed2,2619),NA()))</f>
        <v>#N/A</v>
      </c>
      <c r="BY2621" t="e">
        <f>IF(OR(cMed=0,cMed2=0,2619&gt;nFilas),NA(),IF(AND(ISNUMBER(INDEX(rMed2,2619)),ISNUMBER(INDEX(rMed,2619))),INDEX(rMed,2619),NA()))</f>
        <v>#N/A</v>
      </c>
    </row>
    <row r="2622">
      <c r="BX2622" t="e">
        <f>IF(OR(cMed=0,cMed2=0,2620&gt;nFilas),NA(),IF(AND(ISNUMBER(INDEX(rMed2,2620)),ISNUMBER(INDEX(rMed,2620))),INDEX(rMed2,2620),NA()))</f>
        <v>#N/A</v>
      </c>
      <c r="BY2622" t="e">
        <f>IF(OR(cMed=0,cMed2=0,2620&gt;nFilas),NA(),IF(AND(ISNUMBER(INDEX(rMed2,2620)),ISNUMBER(INDEX(rMed,2620))),INDEX(rMed,2620),NA()))</f>
        <v>#N/A</v>
      </c>
    </row>
    <row r="2623">
      <c r="BX2623" t="e">
        <f>IF(OR(cMed=0,cMed2=0,2621&gt;nFilas),NA(),IF(AND(ISNUMBER(INDEX(rMed2,2621)),ISNUMBER(INDEX(rMed,2621))),INDEX(rMed2,2621),NA()))</f>
        <v>#N/A</v>
      </c>
      <c r="BY2623" t="e">
        <f>IF(OR(cMed=0,cMed2=0,2621&gt;nFilas),NA(),IF(AND(ISNUMBER(INDEX(rMed2,2621)),ISNUMBER(INDEX(rMed,2621))),INDEX(rMed,2621),NA()))</f>
        <v>#N/A</v>
      </c>
    </row>
    <row r="2624">
      <c r="BX2624" t="e">
        <f>IF(OR(cMed=0,cMed2=0,2622&gt;nFilas),NA(),IF(AND(ISNUMBER(INDEX(rMed2,2622)),ISNUMBER(INDEX(rMed,2622))),INDEX(rMed2,2622),NA()))</f>
        <v>#N/A</v>
      </c>
      <c r="BY2624" t="e">
        <f>IF(OR(cMed=0,cMed2=0,2622&gt;nFilas),NA(),IF(AND(ISNUMBER(INDEX(rMed2,2622)),ISNUMBER(INDEX(rMed,2622))),INDEX(rMed,2622),NA()))</f>
        <v>#N/A</v>
      </c>
    </row>
    <row r="2625">
      <c r="BX2625" t="e">
        <f>IF(OR(cMed=0,cMed2=0,2623&gt;nFilas),NA(),IF(AND(ISNUMBER(INDEX(rMed2,2623)),ISNUMBER(INDEX(rMed,2623))),INDEX(rMed2,2623),NA()))</f>
        <v>#N/A</v>
      </c>
      <c r="BY2625" t="e">
        <f>IF(OR(cMed=0,cMed2=0,2623&gt;nFilas),NA(),IF(AND(ISNUMBER(INDEX(rMed2,2623)),ISNUMBER(INDEX(rMed,2623))),INDEX(rMed,2623),NA()))</f>
        <v>#N/A</v>
      </c>
    </row>
    <row r="2626">
      <c r="BX2626" t="e">
        <f>IF(OR(cMed=0,cMed2=0,2624&gt;nFilas),NA(),IF(AND(ISNUMBER(INDEX(rMed2,2624)),ISNUMBER(INDEX(rMed,2624))),INDEX(rMed2,2624),NA()))</f>
        <v>#N/A</v>
      </c>
      <c r="BY2626" t="e">
        <f>IF(OR(cMed=0,cMed2=0,2624&gt;nFilas),NA(),IF(AND(ISNUMBER(INDEX(rMed2,2624)),ISNUMBER(INDEX(rMed,2624))),INDEX(rMed,2624),NA()))</f>
        <v>#N/A</v>
      </c>
    </row>
    <row r="2627">
      <c r="BX2627" t="e">
        <f>IF(OR(cMed=0,cMed2=0,2625&gt;nFilas),NA(),IF(AND(ISNUMBER(INDEX(rMed2,2625)),ISNUMBER(INDEX(rMed,2625))),INDEX(rMed2,2625),NA()))</f>
        <v>#N/A</v>
      </c>
      <c r="BY2627" t="e">
        <f>IF(OR(cMed=0,cMed2=0,2625&gt;nFilas),NA(),IF(AND(ISNUMBER(INDEX(rMed2,2625)),ISNUMBER(INDEX(rMed,2625))),INDEX(rMed,2625),NA()))</f>
        <v>#N/A</v>
      </c>
    </row>
    <row r="2628">
      <c r="BX2628" t="e">
        <f>IF(OR(cMed=0,cMed2=0,2626&gt;nFilas),NA(),IF(AND(ISNUMBER(INDEX(rMed2,2626)),ISNUMBER(INDEX(rMed,2626))),INDEX(rMed2,2626),NA()))</f>
        <v>#N/A</v>
      </c>
      <c r="BY2628" t="e">
        <f>IF(OR(cMed=0,cMed2=0,2626&gt;nFilas),NA(),IF(AND(ISNUMBER(INDEX(rMed2,2626)),ISNUMBER(INDEX(rMed,2626))),INDEX(rMed,2626),NA()))</f>
        <v>#N/A</v>
      </c>
    </row>
    <row r="2629">
      <c r="BX2629" t="e">
        <f>IF(OR(cMed=0,cMed2=0,2627&gt;nFilas),NA(),IF(AND(ISNUMBER(INDEX(rMed2,2627)),ISNUMBER(INDEX(rMed,2627))),INDEX(rMed2,2627),NA()))</f>
        <v>#N/A</v>
      </c>
      <c r="BY2629" t="e">
        <f>IF(OR(cMed=0,cMed2=0,2627&gt;nFilas),NA(),IF(AND(ISNUMBER(INDEX(rMed2,2627)),ISNUMBER(INDEX(rMed,2627))),INDEX(rMed,2627),NA()))</f>
        <v>#N/A</v>
      </c>
    </row>
    <row r="2630">
      <c r="BX2630" t="e">
        <f>IF(OR(cMed=0,cMed2=0,2628&gt;nFilas),NA(),IF(AND(ISNUMBER(INDEX(rMed2,2628)),ISNUMBER(INDEX(rMed,2628))),INDEX(rMed2,2628),NA()))</f>
        <v>#N/A</v>
      </c>
      <c r="BY2630" t="e">
        <f>IF(OR(cMed=0,cMed2=0,2628&gt;nFilas),NA(),IF(AND(ISNUMBER(INDEX(rMed2,2628)),ISNUMBER(INDEX(rMed,2628))),INDEX(rMed,2628),NA()))</f>
        <v>#N/A</v>
      </c>
    </row>
    <row r="2631">
      <c r="BX2631" t="e">
        <f>IF(OR(cMed=0,cMed2=0,2629&gt;nFilas),NA(),IF(AND(ISNUMBER(INDEX(rMed2,2629)),ISNUMBER(INDEX(rMed,2629))),INDEX(rMed2,2629),NA()))</f>
        <v>#N/A</v>
      </c>
      <c r="BY2631" t="e">
        <f>IF(OR(cMed=0,cMed2=0,2629&gt;nFilas),NA(),IF(AND(ISNUMBER(INDEX(rMed2,2629)),ISNUMBER(INDEX(rMed,2629))),INDEX(rMed,2629),NA()))</f>
        <v>#N/A</v>
      </c>
    </row>
    <row r="2632">
      <c r="BX2632" t="e">
        <f>IF(OR(cMed=0,cMed2=0,2630&gt;nFilas),NA(),IF(AND(ISNUMBER(INDEX(rMed2,2630)),ISNUMBER(INDEX(rMed,2630))),INDEX(rMed2,2630),NA()))</f>
        <v>#N/A</v>
      </c>
      <c r="BY2632" t="e">
        <f>IF(OR(cMed=0,cMed2=0,2630&gt;nFilas),NA(),IF(AND(ISNUMBER(INDEX(rMed2,2630)),ISNUMBER(INDEX(rMed,2630))),INDEX(rMed,2630),NA()))</f>
        <v>#N/A</v>
      </c>
    </row>
    <row r="2633">
      <c r="BX2633" t="e">
        <f>IF(OR(cMed=0,cMed2=0,2631&gt;nFilas),NA(),IF(AND(ISNUMBER(INDEX(rMed2,2631)),ISNUMBER(INDEX(rMed,2631))),INDEX(rMed2,2631),NA()))</f>
        <v>#N/A</v>
      </c>
      <c r="BY2633" t="e">
        <f>IF(OR(cMed=0,cMed2=0,2631&gt;nFilas),NA(),IF(AND(ISNUMBER(INDEX(rMed2,2631)),ISNUMBER(INDEX(rMed,2631))),INDEX(rMed,2631),NA()))</f>
        <v>#N/A</v>
      </c>
    </row>
    <row r="2634">
      <c r="BX2634" t="e">
        <f>IF(OR(cMed=0,cMed2=0,2632&gt;nFilas),NA(),IF(AND(ISNUMBER(INDEX(rMed2,2632)),ISNUMBER(INDEX(rMed,2632))),INDEX(rMed2,2632),NA()))</f>
        <v>#N/A</v>
      </c>
      <c r="BY2634" t="e">
        <f>IF(OR(cMed=0,cMed2=0,2632&gt;nFilas),NA(),IF(AND(ISNUMBER(INDEX(rMed2,2632)),ISNUMBER(INDEX(rMed,2632))),INDEX(rMed,2632),NA()))</f>
        <v>#N/A</v>
      </c>
    </row>
    <row r="2635">
      <c r="BX2635" t="e">
        <f>IF(OR(cMed=0,cMed2=0,2633&gt;nFilas),NA(),IF(AND(ISNUMBER(INDEX(rMed2,2633)),ISNUMBER(INDEX(rMed,2633))),INDEX(rMed2,2633),NA()))</f>
        <v>#N/A</v>
      </c>
      <c r="BY2635" t="e">
        <f>IF(OR(cMed=0,cMed2=0,2633&gt;nFilas),NA(),IF(AND(ISNUMBER(INDEX(rMed2,2633)),ISNUMBER(INDEX(rMed,2633))),INDEX(rMed,2633),NA()))</f>
        <v>#N/A</v>
      </c>
    </row>
    <row r="2636">
      <c r="BX2636" t="e">
        <f>IF(OR(cMed=0,cMed2=0,2634&gt;nFilas),NA(),IF(AND(ISNUMBER(INDEX(rMed2,2634)),ISNUMBER(INDEX(rMed,2634))),INDEX(rMed2,2634),NA()))</f>
        <v>#N/A</v>
      </c>
      <c r="BY2636" t="e">
        <f>IF(OR(cMed=0,cMed2=0,2634&gt;nFilas),NA(),IF(AND(ISNUMBER(INDEX(rMed2,2634)),ISNUMBER(INDEX(rMed,2634))),INDEX(rMed,2634),NA()))</f>
        <v>#N/A</v>
      </c>
    </row>
    <row r="2637">
      <c r="BX2637" t="e">
        <f>IF(OR(cMed=0,cMed2=0,2635&gt;nFilas),NA(),IF(AND(ISNUMBER(INDEX(rMed2,2635)),ISNUMBER(INDEX(rMed,2635))),INDEX(rMed2,2635),NA()))</f>
        <v>#N/A</v>
      </c>
      <c r="BY2637" t="e">
        <f>IF(OR(cMed=0,cMed2=0,2635&gt;nFilas),NA(),IF(AND(ISNUMBER(INDEX(rMed2,2635)),ISNUMBER(INDEX(rMed,2635))),INDEX(rMed,2635),NA()))</f>
        <v>#N/A</v>
      </c>
    </row>
    <row r="2638">
      <c r="BX2638" t="e">
        <f>IF(OR(cMed=0,cMed2=0,2636&gt;nFilas),NA(),IF(AND(ISNUMBER(INDEX(rMed2,2636)),ISNUMBER(INDEX(rMed,2636))),INDEX(rMed2,2636),NA()))</f>
        <v>#N/A</v>
      </c>
      <c r="BY2638" t="e">
        <f>IF(OR(cMed=0,cMed2=0,2636&gt;nFilas),NA(),IF(AND(ISNUMBER(INDEX(rMed2,2636)),ISNUMBER(INDEX(rMed,2636))),INDEX(rMed,2636),NA()))</f>
        <v>#N/A</v>
      </c>
    </row>
    <row r="2639">
      <c r="BX2639" t="e">
        <f>IF(OR(cMed=0,cMed2=0,2637&gt;nFilas),NA(),IF(AND(ISNUMBER(INDEX(rMed2,2637)),ISNUMBER(INDEX(rMed,2637))),INDEX(rMed2,2637),NA()))</f>
        <v>#N/A</v>
      </c>
      <c r="BY2639" t="e">
        <f>IF(OR(cMed=0,cMed2=0,2637&gt;nFilas),NA(),IF(AND(ISNUMBER(INDEX(rMed2,2637)),ISNUMBER(INDEX(rMed,2637))),INDEX(rMed,2637),NA()))</f>
        <v>#N/A</v>
      </c>
    </row>
    <row r="2640">
      <c r="BX2640" t="e">
        <f>IF(OR(cMed=0,cMed2=0,2638&gt;nFilas),NA(),IF(AND(ISNUMBER(INDEX(rMed2,2638)),ISNUMBER(INDEX(rMed,2638))),INDEX(rMed2,2638),NA()))</f>
        <v>#N/A</v>
      </c>
      <c r="BY2640" t="e">
        <f>IF(OR(cMed=0,cMed2=0,2638&gt;nFilas),NA(),IF(AND(ISNUMBER(INDEX(rMed2,2638)),ISNUMBER(INDEX(rMed,2638))),INDEX(rMed,2638),NA()))</f>
        <v>#N/A</v>
      </c>
    </row>
    <row r="2641">
      <c r="BX2641" t="e">
        <f>IF(OR(cMed=0,cMed2=0,2639&gt;nFilas),NA(),IF(AND(ISNUMBER(INDEX(rMed2,2639)),ISNUMBER(INDEX(rMed,2639))),INDEX(rMed2,2639),NA()))</f>
        <v>#N/A</v>
      </c>
      <c r="BY2641" t="e">
        <f>IF(OR(cMed=0,cMed2=0,2639&gt;nFilas),NA(),IF(AND(ISNUMBER(INDEX(rMed2,2639)),ISNUMBER(INDEX(rMed,2639))),INDEX(rMed,2639),NA()))</f>
        <v>#N/A</v>
      </c>
    </row>
    <row r="2642">
      <c r="BX2642" t="e">
        <f>IF(OR(cMed=0,cMed2=0,2640&gt;nFilas),NA(),IF(AND(ISNUMBER(INDEX(rMed2,2640)),ISNUMBER(INDEX(rMed,2640))),INDEX(rMed2,2640),NA()))</f>
        <v>#N/A</v>
      </c>
      <c r="BY2642" t="e">
        <f>IF(OR(cMed=0,cMed2=0,2640&gt;nFilas),NA(),IF(AND(ISNUMBER(INDEX(rMed2,2640)),ISNUMBER(INDEX(rMed,2640))),INDEX(rMed,2640),NA()))</f>
        <v>#N/A</v>
      </c>
    </row>
    <row r="2643">
      <c r="BX2643" t="e">
        <f>IF(OR(cMed=0,cMed2=0,2641&gt;nFilas),NA(),IF(AND(ISNUMBER(INDEX(rMed2,2641)),ISNUMBER(INDEX(rMed,2641))),INDEX(rMed2,2641),NA()))</f>
        <v>#N/A</v>
      </c>
      <c r="BY2643" t="e">
        <f>IF(OR(cMed=0,cMed2=0,2641&gt;nFilas),NA(),IF(AND(ISNUMBER(INDEX(rMed2,2641)),ISNUMBER(INDEX(rMed,2641))),INDEX(rMed,2641),NA()))</f>
        <v>#N/A</v>
      </c>
    </row>
    <row r="2644">
      <c r="BX2644" t="e">
        <f>IF(OR(cMed=0,cMed2=0,2642&gt;nFilas),NA(),IF(AND(ISNUMBER(INDEX(rMed2,2642)),ISNUMBER(INDEX(rMed,2642))),INDEX(rMed2,2642),NA()))</f>
        <v>#N/A</v>
      </c>
      <c r="BY2644" t="e">
        <f>IF(OR(cMed=0,cMed2=0,2642&gt;nFilas),NA(),IF(AND(ISNUMBER(INDEX(rMed2,2642)),ISNUMBER(INDEX(rMed,2642))),INDEX(rMed,2642),NA()))</f>
        <v>#N/A</v>
      </c>
    </row>
    <row r="2645">
      <c r="BX2645" t="e">
        <f>IF(OR(cMed=0,cMed2=0,2643&gt;nFilas),NA(),IF(AND(ISNUMBER(INDEX(rMed2,2643)),ISNUMBER(INDEX(rMed,2643))),INDEX(rMed2,2643),NA()))</f>
        <v>#N/A</v>
      </c>
      <c r="BY2645" t="e">
        <f>IF(OR(cMed=0,cMed2=0,2643&gt;nFilas),NA(),IF(AND(ISNUMBER(INDEX(rMed2,2643)),ISNUMBER(INDEX(rMed,2643))),INDEX(rMed,2643),NA()))</f>
        <v>#N/A</v>
      </c>
    </row>
    <row r="2646">
      <c r="BX2646" t="e">
        <f>IF(OR(cMed=0,cMed2=0,2644&gt;nFilas),NA(),IF(AND(ISNUMBER(INDEX(rMed2,2644)),ISNUMBER(INDEX(rMed,2644))),INDEX(rMed2,2644),NA()))</f>
        <v>#N/A</v>
      </c>
      <c r="BY2646" t="e">
        <f>IF(OR(cMed=0,cMed2=0,2644&gt;nFilas),NA(),IF(AND(ISNUMBER(INDEX(rMed2,2644)),ISNUMBER(INDEX(rMed,2644))),INDEX(rMed,2644),NA()))</f>
        <v>#N/A</v>
      </c>
    </row>
    <row r="2647">
      <c r="BX2647" t="e">
        <f>IF(OR(cMed=0,cMed2=0,2645&gt;nFilas),NA(),IF(AND(ISNUMBER(INDEX(rMed2,2645)),ISNUMBER(INDEX(rMed,2645))),INDEX(rMed2,2645),NA()))</f>
        <v>#N/A</v>
      </c>
      <c r="BY2647" t="e">
        <f>IF(OR(cMed=0,cMed2=0,2645&gt;nFilas),NA(),IF(AND(ISNUMBER(INDEX(rMed2,2645)),ISNUMBER(INDEX(rMed,2645))),INDEX(rMed,2645),NA()))</f>
        <v>#N/A</v>
      </c>
    </row>
    <row r="2648">
      <c r="BX2648" t="e">
        <f>IF(OR(cMed=0,cMed2=0,2646&gt;nFilas),NA(),IF(AND(ISNUMBER(INDEX(rMed2,2646)),ISNUMBER(INDEX(rMed,2646))),INDEX(rMed2,2646),NA()))</f>
        <v>#N/A</v>
      </c>
      <c r="BY2648" t="e">
        <f>IF(OR(cMed=0,cMed2=0,2646&gt;nFilas),NA(),IF(AND(ISNUMBER(INDEX(rMed2,2646)),ISNUMBER(INDEX(rMed,2646))),INDEX(rMed,2646),NA()))</f>
        <v>#N/A</v>
      </c>
    </row>
    <row r="2649">
      <c r="BX2649" t="e">
        <f>IF(OR(cMed=0,cMed2=0,2647&gt;nFilas),NA(),IF(AND(ISNUMBER(INDEX(rMed2,2647)),ISNUMBER(INDEX(rMed,2647))),INDEX(rMed2,2647),NA()))</f>
        <v>#N/A</v>
      </c>
      <c r="BY2649" t="e">
        <f>IF(OR(cMed=0,cMed2=0,2647&gt;nFilas),NA(),IF(AND(ISNUMBER(INDEX(rMed2,2647)),ISNUMBER(INDEX(rMed,2647))),INDEX(rMed,2647),NA()))</f>
        <v>#N/A</v>
      </c>
    </row>
    <row r="2650">
      <c r="BX2650" t="e">
        <f>IF(OR(cMed=0,cMed2=0,2648&gt;nFilas),NA(),IF(AND(ISNUMBER(INDEX(rMed2,2648)),ISNUMBER(INDEX(rMed,2648))),INDEX(rMed2,2648),NA()))</f>
        <v>#N/A</v>
      </c>
      <c r="BY2650" t="e">
        <f>IF(OR(cMed=0,cMed2=0,2648&gt;nFilas),NA(),IF(AND(ISNUMBER(INDEX(rMed2,2648)),ISNUMBER(INDEX(rMed,2648))),INDEX(rMed,2648),NA()))</f>
        <v>#N/A</v>
      </c>
    </row>
    <row r="2651">
      <c r="BX2651" t="e">
        <f>IF(OR(cMed=0,cMed2=0,2649&gt;nFilas),NA(),IF(AND(ISNUMBER(INDEX(rMed2,2649)),ISNUMBER(INDEX(rMed,2649))),INDEX(rMed2,2649),NA()))</f>
        <v>#N/A</v>
      </c>
      <c r="BY2651" t="e">
        <f>IF(OR(cMed=0,cMed2=0,2649&gt;nFilas),NA(),IF(AND(ISNUMBER(INDEX(rMed2,2649)),ISNUMBER(INDEX(rMed,2649))),INDEX(rMed,2649),NA()))</f>
        <v>#N/A</v>
      </c>
    </row>
    <row r="2652">
      <c r="BX2652" t="e">
        <f>IF(OR(cMed=0,cMed2=0,2650&gt;nFilas),NA(),IF(AND(ISNUMBER(INDEX(rMed2,2650)),ISNUMBER(INDEX(rMed,2650))),INDEX(rMed2,2650),NA()))</f>
        <v>#N/A</v>
      </c>
      <c r="BY2652" t="e">
        <f>IF(OR(cMed=0,cMed2=0,2650&gt;nFilas),NA(),IF(AND(ISNUMBER(INDEX(rMed2,2650)),ISNUMBER(INDEX(rMed,2650))),INDEX(rMed,2650),NA()))</f>
        <v>#N/A</v>
      </c>
    </row>
    <row r="2653">
      <c r="BX2653" t="e">
        <f>IF(OR(cMed=0,cMed2=0,2651&gt;nFilas),NA(),IF(AND(ISNUMBER(INDEX(rMed2,2651)),ISNUMBER(INDEX(rMed,2651))),INDEX(rMed2,2651),NA()))</f>
        <v>#N/A</v>
      </c>
      <c r="BY2653" t="e">
        <f>IF(OR(cMed=0,cMed2=0,2651&gt;nFilas),NA(),IF(AND(ISNUMBER(INDEX(rMed2,2651)),ISNUMBER(INDEX(rMed,2651))),INDEX(rMed,2651),NA()))</f>
        <v>#N/A</v>
      </c>
    </row>
    <row r="2654">
      <c r="BX2654" t="e">
        <f>IF(OR(cMed=0,cMed2=0,2652&gt;nFilas),NA(),IF(AND(ISNUMBER(INDEX(rMed2,2652)),ISNUMBER(INDEX(rMed,2652))),INDEX(rMed2,2652),NA()))</f>
        <v>#N/A</v>
      </c>
      <c r="BY2654" t="e">
        <f>IF(OR(cMed=0,cMed2=0,2652&gt;nFilas),NA(),IF(AND(ISNUMBER(INDEX(rMed2,2652)),ISNUMBER(INDEX(rMed,2652))),INDEX(rMed,2652),NA()))</f>
        <v>#N/A</v>
      </c>
    </row>
    <row r="2655">
      <c r="BX2655" t="e">
        <f>IF(OR(cMed=0,cMed2=0,2653&gt;nFilas),NA(),IF(AND(ISNUMBER(INDEX(rMed2,2653)),ISNUMBER(INDEX(rMed,2653))),INDEX(rMed2,2653),NA()))</f>
        <v>#N/A</v>
      </c>
      <c r="BY2655" t="e">
        <f>IF(OR(cMed=0,cMed2=0,2653&gt;nFilas),NA(),IF(AND(ISNUMBER(INDEX(rMed2,2653)),ISNUMBER(INDEX(rMed,2653))),INDEX(rMed,2653),NA()))</f>
        <v>#N/A</v>
      </c>
    </row>
    <row r="2656">
      <c r="BX2656" t="e">
        <f>IF(OR(cMed=0,cMed2=0,2654&gt;nFilas),NA(),IF(AND(ISNUMBER(INDEX(rMed2,2654)),ISNUMBER(INDEX(rMed,2654))),INDEX(rMed2,2654),NA()))</f>
        <v>#N/A</v>
      </c>
      <c r="BY2656" t="e">
        <f>IF(OR(cMed=0,cMed2=0,2654&gt;nFilas),NA(),IF(AND(ISNUMBER(INDEX(rMed2,2654)),ISNUMBER(INDEX(rMed,2654))),INDEX(rMed,2654),NA()))</f>
        <v>#N/A</v>
      </c>
    </row>
    <row r="2657">
      <c r="BX2657" t="e">
        <f>IF(OR(cMed=0,cMed2=0,2655&gt;nFilas),NA(),IF(AND(ISNUMBER(INDEX(rMed2,2655)),ISNUMBER(INDEX(rMed,2655))),INDEX(rMed2,2655),NA()))</f>
        <v>#N/A</v>
      </c>
      <c r="BY2657" t="e">
        <f>IF(OR(cMed=0,cMed2=0,2655&gt;nFilas),NA(),IF(AND(ISNUMBER(INDEX(rMed2,2655)),ISNUMBER(INDEX(rMed,2655))),INDEX(rMed,2655),NA()))</f>
        <v>#N/A</v>
      </c>
    </row>
    <row r="2658">
      <c r="BX2658" t="e">
        <f>IF(OR(cMed=0,cMed2=0,2656&gt;nFilas),NA(),IF(AND(ISNUMBER(INDEX(rMed2,2656)),ISNUMBER(INDEX(rMed,2656))),INDEX(rMed2,2656),NA()))</f>
        <v>#N/A</v>
      </c>
      <c r="BY2658" t="e">
        <f>IF(OR(cMed=0,cMed2=0,2656&gt;nFilas),NA(),IF(AND(ISNUMBER(INDEX(rMed2,2656)),ISNUMBER(INDEX(rMed,2656))),INDEX(rMed,2656),NA()))</f>
        <v>#N/A</v>
      </c>
    </row>
    <row r="2659">
      <c r="BX2659" t="e">
        <f>IF(OR(cMed=0,cMed2=0,2657&gt;nFilas),NA(),IF(AND(ISNUMBER(INDEX(rMed2,2657)),ISNUMBER(INDEX(rMed,2657))),INDEX(rMed2,2657),NA()))</f>
        <v>#N/A</v>
      </c>
      <c r="BY2659" t="e">
        <f>IF(OR(cMed=0,cMed2=0,2657&gt;nFilas),NA(),IF(AND(ISNUMBER(INDEX(rMed2,2657)),ISNUMBER(INDEX(rMed,2657))),INDEX(rMed,2657),NA()))</f>
        <v>#N/A</v>
      </c>
    </row>
    <row r="2660">
      <c r="BX2660" t="e">
        <f>IF(OR(cMed=0,cMed2=0,2658&gt;nFilas),NA(),IF(AND(ISNUMBER(INDEX(rMed2,2658)),ISNUMBER(INDEX(rMed,2658))),INDEX(rMed2,2658),NA()))</f>
        <v>#N/A</v>
      </c>
      <c r="BY2660" t="e">
        <f>IF(OR(cMed=0,cMed2=0,2658&gt;nFilas),NA(),IF(AND(ISNUMBER(INDEX(rMed2,2658)),ISNUMBER(INDEX(rMed,2658))),INDEX(rMed,2658),NA()))</f>
        <v>#N/A</v>
      </c>
    </row>
    <row r="2661">
      <c r="BX2661" t="e">
        <f>IF(OR(cMed=0,cMed2=0,2659&gt;nFilas),NA(),IF(AND(ISNUMBER(INDEX(rMed2,2659)),ISNUMBER(INDEX(rMed,2659))),INDEX(rMed2,2659),NA()))</f>
        <v>#N/A</v>
      </c>
      <c r="BY2661" t="e">
        <f>IF(OR(cMed=0,cMed2=0,2659&gt;nFilas),NA(),IF(AND(ISNUMBER(INDEX(rMed2,2659)),ISNUMBER(INDEX(rMed,2659))),INDEX(rMed,2659),NA()))</f>
        <v>#N/A</v>
      </c>
    </row>
    <row r="2662">
      <c r="BX2662" t="e">
        <f>IF(OR(cMed=0,cMed2=0,2660&gt;nFilas),NA(),IF(AND(ISNUMBER(INDEX(rMed2,2660)),ISNUMBER(INDEX(rMed,2660))),INDEX(rMed2,2660),NA()))</f>
        <v>#N/A</v>
      </c>
      <c r="BY2662" t="e">
        <f>IF(OR(cMed=0,cMed2=0,2660&gt;nFilas),NA(),IF(AND(ISNUMBER(INDEX(rMed2,2660)),ISNUMBER(INDEX(rMed,2660))),INDEX(rMed,2660),NA()))</f>
        <v>#N/A</v>
      </c>
    </row>
    <row r="2663">
      <c r="BX2663" t="e">
        <f>IF(OR(cMed=0,cMed2=0,2661&gt;nFilas),NA(),IF(AND(ISNUMBER(INDEX(rMed2,2661)),ISNUMBER(INDEX(rMed,2661))),INDEX(rMed2,2661),NA()))</f>
        <v>#N/A</v>
      </c>
      <c r="BY2663" t="e">
        <f>IF(OR(cMed=0,cMed2=0,2661&gt;nFilas),NA(),IF(AND(ISNUMBER(INDEX(rMed2,2661)),ISNUMBER(INDEX(rMed,2661))),INDEX(rMed,2661),NA()))</f>
        <v>#N/A</v>
      </c>
    </row>
    <row r="2664">
      <c r="BX2664" t="e">
        <f>IF(OR(cMed=0,cMed2=0,2662&gt;nFilas),NA(),IF(AND(ISNUMBER(INDEX(rMed2,2662)),ISNUMBER(INDEX(rMed,2662))),INDEX(rMed2,2662),NA()))</f>
        <v>#N/A</v>
      </c>
      <c r="BY2664" t="e">
        <f>IF(OR(cMed=0,cMed2=0,2662&gt;nFilas),NA(),IF(AND(ISNUMBER(INDEX(rMed2,2662)),ISNUMBER(INDEX(rMed,2662))),INDEX(rMed,2662),NA()))</f>
        <v>#N/A</v>
      </c>
    </row>
    <row r="2665">
      <c r="BX2665" t="e">
        <f>IF(OR(cMed=0,cMed2=0,2663&gt;nFilas),NA(),IF(AND(ISNUMBER(INDEX(rMed2,2663)),ISNUMBER(INDEX(rMed,2663))),INDEX(rMed2,2663),NA()))</f>
        <v>#N/A</v>
      </c>
      <c r="BY2665" t="e">
        <f>IF(OR(cMed=0,cMed2=0,2663&gt;nFilas),NA(),IF(AND(ISNUMBER(INDEX(rMed2,2663)),ISNUMBER(INDEX(rMed,2663))),INDEX(rMed,2663),NA()))</f>
        <v>#N/A</v>
      </c>
    </row>
    <row r="2666">
      <c r="BX2666" t="e">
        <f>IF(OR(cMed=0,cMed2=0,2664&gt;nFilas),NA(),IF(AND(ISNUMBER(INDEX(rMed2,2664)),ISNUMBER(INDEX(rMed,2664))),INDEX(rMed2,2664),NA()))</f>
        <v>#N/A</v>
      </c>
      <c r="BY2666" t="e">
        <f>IF(OR(cMed=0,cMed2=0,2664&gt;nFilas),NA(),IF(AND(ISNUMBER(INDEX(rMed2,2664)),ISNUMBER(INDEX(rMed,2664))),INDEX(rMed,2664),NA()))</f>
        <v>#N/A</v>
      </c>
    </row>
    <row r="2667">
      <c r="BX2667" t="e">
        <f>IF(OR(cMed=0,cMed2=0,2665&gt;nFilas),NA(),IF(AND(ISNUMBER(INDEX(rMed2,2665)),ISNUMBER(INDEX(rMed,2665))),INDEX(rMed2,2665),NA()))</f>
        <v>#N/A</v>
      </c>
      <c r="BY2667" t="e">
        <f>IF(OR(cMed=0,cMed2=0,2665&gt;nFilas),NA(),IF(AND(ISNUMBER(INDEX(rMed2,2665)),ISNUMBER(INDEX(rMed,2665))),INDEX(rMed,2665),NA()))</f>
        <v>#N/A</v>
      </c>
    </row>
    <row r="2668">
      <c r="BX2668" t="e">
        <f>IF(OR(cMed=0,cMed2=0,2666&gt;nFilas),NA(),IF(AND(ISNUMBER(INDEX(rMed2,2666)),ISNUMBER(INDEX(rMed,2666))),INDEX(rMed2,2666),NA()))</f>
        <v>#N/A</v>
      </c>
      <c r="BY2668" t="e">
        <f>IF(OR(cMed=0,cMed2=0,2666&gt;nFilas),NA(),IF(AND(ISNUMBER(INDEX(rMed2,2666)),ISNUMBER(INDEX(rMed,2666))),INDEX(rMed,2666),NA()))</f>
        <v>#N/A</v>
      </c>
    </row>
    <row r="2669">
      <c r="BX2669" t="e">
        <f>IF(OR(cMed=0,cMed2=0,2667&gt;nFilas),NA(),IF(AND(ISNUMBER(INDEX(rMed2,2667)),ISNUMBER(INDEX(rMed,2667))),INDEX(rMed2,2667),NA()))</f>
        <v>#N/A</v>
      </c>
      <c r="BY2669" t="e">
        <f>IF(OR(cMed=0,cMed2=0,2667&gt;nFilas),NA(),IF(AND(ISNUMBER(INDEX(rMed2,2667)),ISNUMBER(INDEX(rMed,2667))),INDEX(rMed,2667),NA()))</f>
        <v>#N/A</v>
      </c>
    </row>
    <row r="2670">
      <c r="BX2670" t="e">
        <f>IF(OR(cMed=0,cMed2=0,2668&gt;nFilas),NA(),IF(AND(ISNUMBER(INDEX(rMed2,2668)),ISNUMBER(INDEX(rMed,2668))),INDEX(rMed2,2668),NA()))</f>
        <v>#N/A</v>
      </c>
      <c r="BY2670" t="e">
        <f>IF(OR(cMed=0,cMed2=0,2668&gt;nFilas),NA(),IF(AND(ISNUMBER(INDEX(rMed2,2668)),ISNUMBER(INDEX(rMed,2668))),INDEX(rMed,2668),NA()))</f>
        <v>#N/A</v>
      </c>
    </row>
    <row r="2671">
      <c r="BX2671" t="e">
        <f>IF(OR(cMed=0,cMed2=0,2669&gt;nFilas),NA(),IF(AND(ISNUMBER(INDEX(rMed2,2669)),ISNUMBER(INDEX(rMed,2669))),INDEX(rMed2,2669),NA()))</f>
        <v>#N/A</v>
      </c>
      <c r="BY2671" t="e">
        <f>IF(OR(cMed=0,cMed2=0,2669&gt;nFilas),NA(),IF(AND(ISNUMBER(INDEX(rMed2,2669)),ISNUMBER(INDEX(rMed,2669))),INDEX(rMed,2669),NA()))</f>
        <v>#N/A</v>
      </c>
    </row>
    <row r="2672">
      <c r="BX2672" t="e">
        <f>IF(OR(cMed=0,cMed2=0,2670&gt;nFilas),NA(),IF(AND(ISNUMBER(INDEX(rMed2,2670)),ISNUMBER(INDEX(rMed,2670))),INDEX(rMed2,2670),NA()))</f>
        <v>#N/A</v>
      </c>
      <c r="BY2672" t="e">
        <f>IF(OR(cMed=0,cMed2=0,2670&gt;nFilas),NA(),IF(AND(ISNUMBER(INDEX(rMed2,2670)),ISNUMBER(INDEX(rMed,2670))),INDEX(rMed,2670),NA()))</f>
        <v>#N/A</v>
      </c>
    </row>
    <row r="2673">
      <c r="BX2673" t="e">
        <f>IF(OR(cMed=0,cMed2=0,2671&gt;nFilas),NA(),IF(AND(ISNUMBER(INDEX(rMed2,2671)),ISNUMBER(INDEX(rMed,2671))),INDEX(rMed2,2671),NA()))</f>
        <v>#N/A</v>
      </c>
      <c r="BY2673" t="e">
        <f>IF(OR(cMed=0,cMed2=0,2671&gt;nFilas),NA(),IF(AND(ISNUMBER(INDEX(rMed2,2671)),ISNUMBER(INDEX(rMed,2671))),INDEX(rMed,2671),NA()))</f>
        <v>#N/A</v>
      </c>
    </row>
    <row r="2674">
      <c r="BX2674" t="e">
        <f>IF(OR(cMed=0,cMed2=0,2672&gt;nFilas),NA(),IF(AND(ISNUMBER(INDEX(rMed2,2672)),ISNUMBER(INDEX(rMed,2672))),INDEX(rMed2,2672),NA()))</f>
        <v>#N/A</v>
      </c>
      <c r="BY2674" t="e">
        <f>IF(OR(cMed=0,cMed2=0,2672&gt;nFilas),NA(),IF(AND(ISNUMBER(INDEX(rMed2,2672)),ISNUMBER(INDEX(rMed,2672))),INDEX(rMed,2672),NA()))</f>
        <v>#N/A</v>
      </c>
    </row>
    <row r="2675">
      <c r="BX2675" t="e">
        <f>IF(OR(cMed=0,cMed2=0,2673&gt;nFilas),NA(),IF(AND(ISNUMBER(INDEX(rMed2,2673)),ISNUMBER(INDEX(rMed,2673))),INDEX(rMed2,2673),NA()))</f>
        <v>#N/A</v>
      </c>
      <c r="BY2675" t="e">
        <f>IF(OR(cMed=0,cMed2=0,2673&gt;nFilas),NA(),IF(AND(ISNUMBER(INDEX(rMed2,2673)),ISNUMBER(INDEX(rMed,2673))),INDEX(rMed,2673),NA()))</f>
        <v>#N/A</v>
      </c>
    </row>
    <row r="2676">
      <c r="BX2676" t="e">
        <f>IF(OR(cMed=0,cMed2=0,2674&gt;nFilas),NA(),IF(AND(ISNUMBER(INDEX(rMed2,2674)),ISNUMBER(INDEX(rMed,2674))),INDEX(rMed2,2674),NA()))</f>
        <v>#N/A</v>
      </c>
      <c r="BY2676" t="e">
        <f>IF(OR(cMed=0,cMed2=0,2674&gt;nFilas),NA(),IF(AND(ISNUMBER(INDEX(rMed2,2674)),ISNUMBER(INDEX(rMed,2674))),INDEX(rMed,2674),NA()))</f>
        <v>#N/A</v>
      </c>
    </row>
    <row r="2677">
      <c r="BX2677" t="e">
        <f>IF(OR(cMed=0,cMed2=0,2675&gt;nFilas),NA(),IF(AND(ISNUMBER(INDEX(rMed2,2675)),ISNUMBER(INDEX(rMed,2675))),INDEX(rMed2,2675),NA()))</f>
        <v>#N/A</v>
      </c>
      <c r="BY2677" t="e">
        <f>IF(OR(cMed=0,cMed2=0,2675&gt;nFilas),NA(),IF(AND(ISNUMBER(INDEX(rMed2,2675)),ISNUMBER(INDEX(rMed,2675))),INDEX(rMed,2675),NA()))</f>
        <v>#N/A</v>
      </c>
    </row>
    <row r="2678">
      <c r="BX2678" t="e">
        <f>IF(OR(cMed=0,cMed2=0,2676&gt;nFilas),NA(),IF(AND(ISNUMBER(INDEX(rMed2,2676)),ISNUMBER(INDEX(rMed,2676))),INDEX(rMed2,2676),NA()))</f>
        <v>#N/A</v>
      </c>
      <c r="BY2678" t="e">
        <f>IF(OR(cMed=0,cMed2=0,2676&gt;nFilas),NA(),IF(AND(ISNUMBER(INDEX(rMed2,2676)),ISNUMBER(INDEX(rMed,2676))),INDEX(rMed,2676),NA()))</f>
        <v>#N/A</v>
      </c>
    </row>
    <row r="2679">
      <c r="BX2679" t="e">
        <f>IF(OR(cMed=0,cMed2=0,2677&gt;nFilas),NA(),IF(AND(ISNUMBER(INDEX(rMed2,2677)),ISNUMBER(INDEX(rMed,2677))),INDEX(rMed2,2677),NA()))</f>
        <v>#N/A</v>
      </c>
      <c r="BY2679" t="e">
        <f>IF(OR(cMed=0,cMed2=0,2677&gt;nFilas),NA(),IF(AND(ISNUMBER(INDEX(rMed2,2677)),ISNUMBER(INDEX(rMed,2677))),INDEX(rMed,2677),NA()))</f>
        <v>#N/A</v>
      </c>
    </row>
    <row r="2680">
      <c r="BX2680" t="e">
        <f>IF(OR(cMed=0,cMed2=0,2678&gt;nFilas),NA(),IF(AND(ISNUMBER(INDEX(rMed2,2678)),ISNUMBER(INDEX(rMed,2678))),INDEX(rMed2,2678),NA()))</f>
        <v>#N/A</v>
      </c>
      <c r="BY2680" t="e">
        <f>IF(OR(cMed=0,cMed2=0,2678&gt;nFilas),NA(),IF(AND(ISNUMBER(INDEX(rMed2,2678)),ISNUMBER(INDEX(rMed,2678))),INDEX(rMed,2678),NA()))</f>
        <v>#N/A</v>
      </c>
    </row>
    <row r="2681">
      <c r="BX2681" t="e">
        <f>IF(OR(cMed=0,cMed2=0,2679&gt;nFilas),NA(),IF(AND(ISNUMBER(INDEX(rMed2,2679)),ISNUMBER(INDEX(rMed,2679))),INDEX(rMed2,2679),NA()))</f>
        <v>#N/A</v>
      </c>
      <c r="BY2681" t="e">
        <f>IF(OR(cMed=0,cMed2=0,2679&gt;nFilas),NA(),IF(AND(ISNUMBER(INDEX(rMed2,2679)),ISNUMBER(INDEX(rMed,2679))),INDEX(rMed,2679),NA()))</f>
        <v>#N/A</v>
      </c>
    </row>
    <row r="2682">
      <c r="BX2682" t="e">
        <f>IF(OR(cMed=0,cMed2=0,2680&gt;nFilas),NA(),IF(AND(ISNUMBER(INDEX(rMed2,2680)),ISNUMBER(INDEX(rMed,2680))),INDEX(rMed2,2680),NA()))</f>
        <v>#N/A</v>
      </c>
      <c r="BY2682" t="e">
        <f>IF(OR(cMed=0,cMed2=0,2680&gt;nFilas),NA(),IF(AND(ISNUMBER(INDEX(rMed2,2680)),ISNUMBER(INDEX(rMed,2680))),INDEX(rMed,2680),NA()))</f>
        <v>#N/A</v>
      </c>
    </row>
    <row r="2683">
      <c r="BX2683" t="e">
        <f>IF(OR(cMed=0,cMed2=0,2681&gt;nFilas),NA(),IF(AND(ISNUMBER(INDEX(rMed2,2681)),ISNUMBER(INDEX(rMed,2681))),INDEX(rMed2,2681),NA()))</f>
        <v>#N/A</v>
      </c>
      <c r="BY2683" t="e">
        <f>IF(OR(cMed=0,cMed2=0,2681&gt;nFilas),NA(),IF(AND(ISNUMBER(INDEX(rMed2,2681)),ISNUMBER(INDEX(rMed,2681))),INDEX(rMed,2681),NA()))</f>
        <v>#N/A</v>
      </c>
    </row>
    <row r="2684">
      <c r="BX2684" t="e">
        <f>IF(OR(cMed=0,cMed2=0,2682&gt;nFilas),NA(),IF(AND(ISNUMBER(INDEX(rMed2,2682)),ISNUMBER(INDEX(rMed,2682))),INDEX(rMed2,2682),NA()))</f>
        <v>#N/A</v>
      </c>
      <c r="BY2684" t="e">
        <f>IF(OR(cMed=0,cMed2=0,2682&gt;nFilas),NA(),IF(AND(ISNUMBER(INDEX(rMed2,2682)),ISNUMBER(INDEX(rMed,2682))),INDEX(rMed,2682),NA()))</f>
        <v>#N/A</v>
      </c>
    </row>
    <row r="2685">
      <c r="BX2685" t="e">
        <f>IF(OR(cMed=0,cMed2=0,2683&gt;nFilas),NA(),IF(AND(ISNUMBER(INDEX(rMed2,2683)),ISNUMBER(INDEX(rMed,2683))),INDEX(rMed2,2683),NA()))</f>
        <v>#N/A</v>
      </c>
      <c r="BY2685" t="e">
        <f>IF(OR(cMed=0,cMed2=0,2683&gt;nFilas),NA(),IF(AND(ISNUMBER(INDEX(rMed2,2683)),ISNUMBER(INDEX(rMed,2683))),INDEX(rMed,2683),NA()))</f>
        <v>#N/A</v>
      </c>
    </row>
    <row r="2686">
      <c r="BX2686" t="e">
        <f>IF(OR(cMed=0,cMed2=0,2684&gt;nFilas),NA(),IF(AND(ISNUMBER(INDEX(rMed2,2684)),ISNUMBER(INDEX(rMed,2684))),INDEX(rMed2,2684),NA()))</f>
        <v>#N/A</v>
      </c>
      <c r="BY2686" t="e">
        <f>IF(OR(cMed=0,cMed2=0,2684&gt;nFilas),NA(),IF(AND(ISNUMBER(INDEX(rMed2,2684)),ISNUMBER(INDEX(rMed,2684))),INDEX(rMed,2684),NA()))</f>
        <v>#N/A</v>
      </c>
    </row>
    <row r="2687">
      <c r="BX2687" t="e">
        <f>IF(OR(cMed=0,cMed2=0,2685&gt;nFilas),NA(),IF(AND(ISNUMBER(INDEX(rMed2,2685)),ISNUMBER(INDEX(rMed,2685))),INDEX(rMed2,2685),NA()))</f>
        <v>#N/A</v>
      </c>
      <c r="BY2687" t="e">
        <f>IF(OR(cMed=0,cMed2=0,2685&gt;nFilas),NA(),IF(AND(ISNUMBER(INDEX(rMed2,2685)),ISNUMBER(INDEX(rMed,2685))),INDEX(rMed,2685),NA()))</f>
        <v>#N/A</v>
      </c>
    </row>
    <row r="2688">
      <c r="BX2688" t="e">
        <f>IF(OR(cMed=0,cMed2=0,2686&gt;nFilas),NA(),IF(AND(ISNUMBER(INDEX(rMed2,2686)),ISNUMBER(INDEX(rMed,2686))),INDEX(rMed2,2686),NA()))</f>
        <v>#N/A</v>
      </c>
      <c r="BY2688" t="e">
        <f>IF(OR(cMed=0,cMed2=0,2686&gt;nFilas),NA(),IF(AND(ISNUMBER(INDEX(rMed2,2686)),ISNUMBER(INDEX(rMed,2686))),INDEX(rMed,2686),NA()))</f>
        <v>#N/A</v>
      </c>
    </row>
    <row r="2689">
      <c r="BX2689" t="e">
        <f>IF(OR(cMed=0,cMed2=0,2687&gt;nFilas),NA(),IF(AND(ISNUMBER(INDEX(rMed2,2687)),ISNUMBER(INDEX(rMed,2687))),INDEX(rMed2,2687),NA()))</f>
        <v>#N/A</v>
      </c>
      <c r="BY2689" t="e">
        <f>IF(OR(cMed=0,cMed2=0,2687&gt;nFilas),NA(),IF(AND(ISNUMBER(INDEX(rMed2,2687)),ISNUMBER(INDEX(rMed,2687))),INDEX(rMed,2687),NA()))</f>
        <v>#N/A</v>
      </c>
    </row>
    <row r="2690">
      <c r="BX2690" t="e">
        <f>IF(OR(cMed=0,cMed2=0,2688&gt;nFilas),NA(),IF(AND(ISNUMBER(INDEX(rMed2,2688)),ISNUMBER(INDEX(rMed,2688))),INDEX(rMed2,2688),NA()))</f>
        <v>#N/A</v>
      </c>
      <c r="BY2690" t="e">
        <f>IF(OR(cMed=0,cMed2=0,2688&gt;nFilas),NA(),IF(AND(ISNUMBER(INDEX(rMed2,2688)),ISNUMBER(INDEX(rMed,2688))),INDEX(rMed,2688),NA()))</f>
        <v>#N/A</v>
      </c>
    </row>
    <row r="2691">
      <c r="BX2691" t="e">
        <f>IF(OR(cMed=0,cMed2=0,2689&gt;nFilas),NA(),IF(AND(ISNUMBER(INDEX(rMed2,2689)),ISNUMBER(INDEX(rMed,2689))),INDEX(rMed2,2689),NA()))</f>
        <v>#N/A</v>
      </c>
      <c r="BY2691" t="e">
        <f>IF(OR(cMed=0,cMed2=0,2689&gt;nFilas),NA(),IF(AND(ISNUMBER(INDEX(rMed2,2689)),ISNUMBER(INDEX(rMed,2689))),INDEX(rMed,2689),NA()))</f>
        <v>#N/A</v>
      </c>
    </row>
    <row r="2692">
      <c r="BX2692" t="e">
        <f>IF(OR(cMed=0,cMed2=0,2690&gt;nFilas),NA(),IF(AND(ISNUMBER(INDEX(rMed2,2690)),ISNUMBER(INDEX(rMed,2690))),INDEX(rMed2,2690),NA()))</f>
        <v>#N/A</v>
      </c>
      <c r="BY2692" t="e">
        <f>IF(OR(cMed=0,cMed2=0,2690&gt;nFilas),NA(),IF(AND(ISNUMBER(INDEX(rMed2,2690)),ISNUMBER(INDEX(rMed,2690))),INDEX(rMed,2690),NA()))</f>
        <v>#N/A</v>
      </c>
    </row>
    <row r="2693">
      <c r="BX2693" t="e">
        <f>IF(OR(cMed=0,cMed2=0,2691&gt;nFilas),NA(),IF(AND(ISNUMBER(INDEX(rMed2,2691)),ISNUMBER(INDEX(rMed,2691))),INDEX(rMed2,2691),NA()))</f>
        <v>#N/A</v>
      </c>
      <c r="BY2693" t="e">
        <f>IF(OR(cMed=0,cMed2=0,2691&gt;nFilas),NA(),IF(AND(ISNUMBER(INDEX(rMed2,2691)),ISNUMBER(INDEX(rMed,2691))),INDEX(rMed,2691),NA()))</f>
        <v>#N/A</v>
      </c>
    </row>
    <row r="2694">
      <c r="BX2694" t="e">
        <f>IF(OR(cMed=0,cMed2=0,2692&gt;nFilas),NA(),IF(AND(ISNUMBER(INDEX(rMed2,2692)),ISNUMBER(INDEX(rMed,2692))),INDEX(rMed2,2692),NA()))</f>
        <v>#N/A</v>
      </c>
      <c r="BY2694" t="e">
        <f>IF(OR(cMed=0,cMed2=0,2692&gt;nFilas),NA(),IF(AND(ISNUMBER(INDEX(rMed2,2692)),ISNUMBER(INDEX(rMed,2692))),INDEX(rMed,2692),NA()))</f>
        <v>#N/A</v>
      </c>
    </row>
    <row r="2695">
      <c r="BX2695" t="e">
        <f>IF(OR(cMed=0,cMed2=0,2693&gt;nFilas),NA(),IF(AND(ISNUMBER(INDEX(rMed2,2693)),ISNUMBER(INDEX(rMed,2693))),INDEX(rMed2,2693),NA()))</f>
        <v>#N/A</v>
      </c>
      <c r="BY2695" t="e">
        <f>IF(OR(cMed=0,cMed2=0,2693&gt;nFilas),NA(),IF(AND(ISNUMBER(INDEX(rMed2,2693)),ISNUMBER(INDEX(rMed,2693))),INDEX(rMed,2693),NA()))</f>
        <v>#N/A</v>
      </c>
    </row>
    <row r="2696">
      <c r="BX2696" t="e">
        <f>IF(OR(cMed=0,cMed2=0,2694&gt;nFilas),NA(),IF(AND(ISNUMBER(INDEX(rMed2,2694)),ISNUMBER(INDEX(rMed,2694))),INDEX(rMed2,2694),NA()))</f>
        <v>#N/A</v>
      </c>
      <c r="BY2696" t="e">
        <f>IF(OR(cMed=0,cMed2=0,2694&gt;nFilas),NA(),IF(AND(ISNUMBER(INDEX(rMed2,2694)),ISNUMBER(INDEX(rMed,2694))),INDEX(rMed,2694),NA()))</f>
        <v>#N/A</v>
      </c>
    </row>
    <row r="2697">
      <c r="BX2697" t="e">
        <f>IF(OR(cMed=0,cMed2=0,2695&gt;nFilas),NA(),IF(AND(ISNUMBER(INDEX(rMed2,2695)),ISNUMBER(INDEX(rMed,2695))),INDEX(rMed2,2695),NA()))</f>
        <v>#N/A</v>
      </c>
      <c r="BY2697" t="e">
        <f>IF(OR(cMed=0,cMed2=0,2695&gt;nFilas),NA(),IF(AND(ISNUMBER(INDEX(rMed2,2695)),ISNUMBER(INDEX(rMed,2695))),INDEX(rMed,2695),NA()))</f>
        <v>#N/A</v>
      </c>
    </row>
    <row r="2698">
      <c r="BX2698" t="e">
        <f>IF(OR(cMed=0,cMed2=0,2696&gt;nFilas),NA(),IF(AND(ISNUMBER(INDEX(rMed2,2696)),ISNUMBER(INDEX(rMed,2696))),INDEX(rMed2,2696),NA()))</f>
        <v>#N/A</v>
      </c>
      <c r="BY2698" t="e">
        <f>IF(OR(cMed=0,cMed2=0,2696&gt;nFilas),NA(),IF(AND(ISNUMBER(INDEX(rMed2,2696)),ISNUMBER(INDEX(rMed,2696))),INDEX(rMed,2696),NA()))</f>
        <v>#N/A</v>
      </c>
    </row>
    <row r="2699">
      <c r="BX2699" t="e">
        <f>IF(OR(cMed=0,cMed2=0,2697&gt;nFilas),NA(),IF(AND(ISNUMBER(INDEX(rMed2,2697)),ISNUMBER(INDEX(rMed,2697))),INDEX(rMed2,2697),NA()))</f>
        <v>#N/A</v>
      </c>
      <c r="BY2699" t="e">
        <f>IF(OR(cMed=0,cMed2=0,2697&gt;nFilas),NA(),IF(AND(ISNUMBER(INDEX(rMed2,2697)),ISNUMBER(INDEX(rMed,2697))),INDEX(rMed,2697),NA()))</f>
        <v>#N/A</v>
      </c>
    </row>
    <row r="2700">
      <c r="BX2700" t="e">
        <f>IF(OR(cMed=0,cMed2=0,2698&gt;nFilas),NA(),IF(AND(ISNUMBER(INDEX(rMed2,2698)),ISNUMBER(INDEX(rMed,2698))),INDEX(rMed2,2698),NA()))</f>
        <v>#N/A</v>
      </c>
      <c r="BY2700" t="e">
        <f>IF(OR(cMed=0,cMed2=0,2698&gt;nFilas),NA(),IF(AND(ISNUMBER(INDEX(rMed2,2698)),ISNUMBER(INDEX(rMed,2698))),INDEX(rMed,2698),NA()))</f>
        <v>#N/A</v>
      </c>
    </row>
    <row r="2701">
      <c r="BX2701" t="e">
        <f>IF(OR(cMed=0,cMed2=0,2699&gt;nFilas),NA(),IF(AND(ISNUMBER(INDEX(rMed2,2699)),ISNUMBER(INDEX(rMed,2699))),INDEX(rMed2,2699),NA()))</f>
        <v>#N/A</v>
      </c>
      <c r="BY2701" t="e">
        <f>IF(OR(cMed=0,cMed2=0,2699&gt;nFilas),NA(),IF(AND(ISNUMBER(INDEX(rMed2,2699)),ISNUMBER(INDEX(rMed,2699))),INDEX(rMed,2699),NA()))</f>
        <v>#N/A</v>
      </c>
    </row>
    <row r="2702">
      <c r="BX2702" t="e">
        <f>IF(OR(cMed=0,cMed2=0,2700&gt;nFilas),NA(),IF(AND(ISNUMBER(INDEX(rMed2,2700)),ISNUMBER(INDEX(rMed,2700))),INDEX(rMed2,2700),NA()))</f>
        <v>#N/A</v>
      </c>
      <c r="BY2702" t="e">
        <f>IF(OR(cMed=0,cMed2=0,2700&gt;nFilas),NA(),IF(AND(ISNUMBER(INDEX(rMed2,2700)),ISNUMBER(INDEX(rMed,2700))),INDEX(rMed,2700),NA()))</f>
        <v>#N/A</v>
      </c>
    </row>
    <row r="2703">
      <c r="BX2703" t="e">
        <f>IF(OR(cMed=0,cMed2=0,2701&gt;nFilas),NA(),IF(AND(ISNUMBER(INDEX(rMed2,2701)),ISNUMBER(INDEX(rMed,2701))),INDEX(rMed2,2701),NA()))</f>
        <v>#N/A</v>
      </c>
      <c r="BY2703" t="e">
        <f>IF(OR(cMed=0,cMed2=0,2701&gt;nFilas),NA(),IF(AND(ISNUMBER(INDEX(rMed2,2701)),ISNUMBER(INDEX(rMed,2701))),INDEX(rMed,2701),NA()))</f>
        <v>#N/A</v>
      </c>
    </row>
    <row r="2704">
      <c r="BX2704" t="e">
        <f>IF(OR(cMed=0,cMed2=0,2702&gt;nFilas),NA(),IF(AND(ISNUMBER(INDEX(rMed2,2702)),ISNUMBER(INDEX(rMed,2702))),INDEX(rMed2,2702),NA()))</f>
        <v>#N/A</v>
      </c>
      <c r="BY2704" t="e">
        <f>IF(OR(cMed=0,cMed2=0,2702&gt;nFilas),NA(),IF(AND(ISNUMBER(INDEX(rMed2,2702)),ISNUMBER(INDEX(rMed,2702))),INDEX(rMed,2702),NA()))</f>
        <v>#N/A</v>
      </c>
    </row>
    <row r="2705">
      <c r="BX2705" t="e">
        <f>IF(OR(cMed=0,cMed2=0,2703&gt;nFilas),NA(),IF(AND(ISNUMBER(INDEX(rMed2,2703)),ISNUMBER(INDEX(rMed,2703))),INDEX(rMed2,2703),NA()))</f>
        <v>#N/A</v>
      </c>
      <c r="BY2705" t="e">
        <f>IF(OR(cMed=0,cMed2=0,2703&gt;nFilas),NA(),IF(AND(ISNUMBER(INDEX(rMed2,2703)),ISNUMBER(INDEX(rMed,2703))),INDEX(rMed,2703),NA()))</f>
        <v>#N/A</v>
      </c>
    </row>
    <row r="2706">
      <c r="BX2706" t="e">
        <f>IF(OR(cMed=0,cMed2=0,2704&gt;nFilas),NA(),IF(AND(ISNUMBER(INDEX(rMed2,2704)),ISNUMBER(INDEX(rMed,2704))),INDEX(rMed2,2704),NA()))</f>
        <v>#N/A</v>
      </c>
      <c r="BY2706" t="e">
        <f>IF(OR(cMed=0,cMed2=0,2704&gt;nFilas),NA(),IF(AND(ISNUMBER(INDEX(rMed2,2704)),ISNUMBER(INDEX(rMed,2704))),INDEX(rMed,2704),NA()))</f>
        <v>#N/A</v>
      </c>
    </row>
    <row r="2707">
      <c r="BX2707" t="e">
        <f>IF(OR(cMed=0,cMed2=0,2705&gt;nFilas),NA(),IF(AND(ISNUMBER(INDEX(rMed2,2705)),ISNUMBER(INDEX(rMed,2705))),INDEX(rMed2,2705),NA()))</f>
        <v>#N/A</v>
      </c>
      <c r="BY2707" t="e">
        <f>IF(OR(cMed=0,cMed2=0,2705&gt;nFilas),NA(),IF(AND(ISNUMBER(INDEX(rMed2,2705)),ISNUMBER(INDEX(rMed,2705))),INDEX(rMed,2705),NA()))</f>
        <v>#N/A</v>
      </c>
    </row>
    <row r="2708">
      <c r="BX2708" t="e">
        <f>IF(OR(cMed=0,cMed2=0,2706&gt;nFilas),NA(),IF(AND(ISNUMBER(INDEX(rMed2,2706)),ISNUMBER(INDEX(rMed,2706))),INDEX(rMed2,2706),NA()))</f>
        <v>#N/A</v>
      </c>
      <c r="BY2708" t="e">
        <f>IF(OR(cMed=0,cMed2=0,2706&gt;nFilas),NA(),IF(AND(ISNUMBER(INDEX(rMed2,2706)),ISNUMBER(INDEX(rMed,2706))),INDEX(rMed,2706),NA()))</f>
        <v>#N/A</v>
      </c>
    </row>
    <row r="2709">
      <c r="BX2709" t="e">
        <f>IF(OR(cMed=0,cMed2=0,2707&gt;nFilas),NA(),IF(AND(ISNUMBER(INDEX(rMed2,2707)),ISNUMBER(INDEX(rMed,2707))),INDEX(rMed2,2707),NA()))</f>
        <v>#N/A</v>
      </c>
      <c r="BY2709" t="e">
        <f>IF(OR(cMed=0,cMed2=0,2707&gt;nFilas),NA(),IF(AND(ISNUMBER(INDEX(rMed2,2707)),ISNUMBER(INDEX(rMed,2707))),INDEX(rMed,2707),NA()))</f>
        <v>#N/A</v>
      </c>
    </row>
    <row r="2710">
      <c r="BX2710" t="e">
        <f>IF(OR(cMed=0,cMed2=0,2708&gt;nFilas),NA(),IF(AND(ISNUMBER(INDEX(rMed2,2708)),ISNUMBER(INDEX(rMed,2708))),INDEX(rMed2,2708),NA()))</f>
        <v>#N/A</v>
      </c>
      <c r="BY2710" t="e">
        <f>IF(OR(cMed=0,cMed2=0,2708&gt;nFilas),NA(),IF(AND(ISNUMBER(INDEX(rMed2,2708)),ISNUMBER(INDEX(rMed,2708))),INDEX(rMed,2708),NA()))</f>
        <v>#N/A</v>
      </c>
    </row>
    <row r="2711">
      <c r="BX2711" t="e">
        <f>IF(OR(cMed=0,cMed2=0,2709&gt;nFilas),NA(),IF(AND(ISNUMBER(INDEX(rMed2,2709)),ISNUMBER(INDEX(rMed,2709))),INDEX(rMed2,2709),NA()))</f>
        <v>#N/A</v>
      </c>
      <c r="BY2711" t="e">
        <f>IF(OR(cMed=0,cMed2=0,2709&gt;nFilas),NA(),IF(AND(ISNUMBER(INDEX(rMed2,2709)),ISNUMBER(INDEX(rMed,2709))),INDEX(rMed,2709),NA()))</f>
        <v>#N/A</v>
      </c>
    </row>
    <row r="2712">
      <c r="BX2712" t="e">
        <f>IF(OR(cMed=0,cMed2=0,2710&gt;nFilas),NA(),IF(AND(ISNUMBER(INDEX(rMed2,2710)),ISNUMBER(INDEX(rMed,2710))),INDEX(rMed2,2710),NA()))</f>
        <v>#N/A</v>
      </c>
      <c r="BY2712" t="e">
        <f>IF(OR(cMed=0,cMed2=0,2710&gt;nFilas),NA(),IF(AND(ISNUMBER(INDEX(rMed2,2710)),ISNUMBER(INDEX(rMed,2710))),INDEX(rMed,2710),NA()))</f>
        <v>#N/A</v>
      </c>
    </row>
    <row r="2713">
      <c r="BX2713" t="e">
        <f>IF(OR(cMed=0,cMed2=0,2711&gt;nFilas),NA(),IF(AND(ISNUMBER(INDEX(rMed2,2711)),ISNUMBER(INDEX(rMed,2711))),INDEX(rMed2,2711),NA()))</f>
        <v>#N/A</v>
      </c>
      <c r="BY2713" t="e">
        <f>IF(OR(cMed=0,cMed2=0,2711&gt;nFilas),NA(),IF(AND(ISNUMBER(INDEX(rMed2,2711)),ISNUMBER(INDEX(rMed,2711))),INDEX(rMed,2711),NA()))</f>
        <v>#N/A</v>
      </c>
    </row>
    <row r="2714">
      <c r="BX2714" t="e">
        <f>IF(OR(cMed=0,cMed2=0,2712&gt;nFilas),NA(),IF(AND(ISNUMBER(INDEX(rMed2,2712)),ISNUMBER(INDEX(rMed,2712))),INDEX(rMed2,2712),NA()))</f>
        <v>#N/A</v>
      </c>
      <c r="BY2714" t="e">
        <f>IF(OR(cMed=0,cMed2=0,2712&gt;nFilas),NA(),IF(AND(ISNUMBER(INDEX(rMed2,2712)),ISNUMBER(INDEX(rMed,2712))),INDEX(rMed,2712),NA()))</f>
        <v>#N/A</v>
      </c>
    </row>
    <row r="2715">
      <c r="BX2715" t="e">
        <f>IF(OR(cMed=0,cMed2=0,2713&gt;nFilas),NA(),IF(AND(ISNUMBER(INDEX(rMed2,2713)),ISNUMBER(INDEX(rMed,2713))),INDEX(rMed2,2713),NA()))</f>
        <v>#N/A</v>
      </c>
      <c r="BY2715" t="e">
        <f>IF(OR(cMed=0,cMed2=0,2713&gt;nFilas),NA(),IF(AND(ISNUMBER(INDEX(rMed2,2713)),ISNUMBER(INDEX(rMed,2713))),INDEX(rMed,2713),NA()))</f>
        <v>#N/A</v>
      </c>
    </row>
    <row r="2716">
      <c r="BX2716" t="e">
        <f>IF(OR(cMed=0,cMed2=0,2714&gt;nFilas),NA(),IF(AND(ISNUMBER(INDEX(rMed2,2714)),ISNUMBER(INDEX(rMed,2714))),INDEX(rMed2,2714),NA()))</f>
        <v>#N/A</v>
      </c>
      <c r="BY2716" t="e">
        <f>IF(OR(cMed=0,cMed2=0,2714&gt;nFilas),NA(),IF(AND(ISNUMBER(INDEX(rMed2,2714)),ISNUMBER(INDEX(rMed,2714))),INDEX(rMed,2714),NA()))</f>
        <v>#N/A</v>
      </c>
    </row>
    <row r="2717">
      <c r="BX2717" t="e">
        <f>IF(OR(cMed=0,cMed2=0,2715&gt;nFilas),NA(),IF(AND(ISNUMBER(INDEX(rMed2,2715)),ISNUMBER(INDEX(rMed,2715))),INDEX(rMed2,2715),NA()))</f>
        <v>#N/A</v>
      </c>
      <c r="BY2717" t="e">
        <f>IF(OR(cMed=0,cMed2=0,2715&gt;nFilas),NA(),IF(AND(ISNUMBER(INDEX(rMed2,2715)),ISNUMBER(INDEX(rMed,2715))),INDEX(rMed,2715),NA()))</f>
        <v>#N/A</v>
      </c>
    </row>
    <row r="2718">
      <c r="BX2718" t="e">
        <f>IF(OR(cMed=0,cMed2=0,2716&gt;nFilas),NA(),IF(AND(ISNUMBER(INDEX(rMed2,2716)),ISNUMBER(INDEX(rMed,2716))),INDEX(rMed2,2716),NA()))</f>
        <v>#N/A</v>
      </c>
      <c r="BY2718" t="e">
        <f>IF(OR(cMed=0,cMed2=0,2716&gt;nFilas),NA(),IF(AND(ISNUMBER(INDEX(rMed2,2716)),ISNUMBER(INDEX(rMed,2716))),INDEX(rMed,2716),NA()))</f>
        <v>#N/A</v>
      </c>
    </row>
    <row r="2719">
      <c r="BX2719" t="e">
        <f>IF(OR(cMed=0,cMed2=0,2717&gt;nFilas),NA(),IF(AND(ISNUMBER(INDEX(rMed2,2717)),ISNUMBER(INDEX(rMed,2717))),INDEX(rMed2,2717),NA()))</f>
        <v>#N/A</v>
      </c>
      <c r="BY2719" t="e">
        <f>IF(OR(cMed=0,cMed2=0,2717&gt;nFilas),NA(),IF(AND(ISNUMBER(INDEX(rMed2,2717)),ISNUMBER(INDEX(rMed,2717))),INDEX(rMed,2717),NA()))</f>
        <v>#N/A</v>
      </c>
    </row>
    <row r="2720">
      <c r="BX2720" t="e">
        <f>IF(OR(cMed=0,cMed2=0,2718&gt;nFilas),NA(),IF(AND(ISNUMBER(INDEX(rMed2,2718)),ISNUMBER(INDEX(rMed,2718))),INDEX(rMed2,2718),NA()))</f>
        <v>#N/A</v>
      </c>
      <c r="BY2720" t="e">
        <f>IF(OR(cMed=0,cMed2=0,2718&gt;nFilas),NA(),IF(AND(ISNUMBER(INDEX(rMed2,2718)),ISNUMBER(INDEX(rMed,2718))),INDEX(rMed,2718),NA()))</f>
        <v>#N/A</v>
      </c>
    </row>
    <row r="2721">
      <c r="BX2721" t="e">
        <f>IF(OR(cMed=0,cMed2=0,2719&gt;nFilas),NA(),IF(AND(ISNUMBER(INDEX(rMed2,2719)),ISNUMBER(INDEX(rMed,2719))),INDEX(rMed2,2719),NA()))</f>
        <v>#N/A</v>
      </c>
      <c r="BY2721" t="e">
        <f>IF(OR(cMed=0,cMed2=0,2719&gt;nFilas),NA(),IF(AND(ISNUMBER(INDEX(rMed2,2719)),ISNUMBER(INDEX(rMed,2719))),INDEX(rMed,2719),NA()))</f>
        <v>#N/A</v>
      </c>
    </row>
    <row r="2722">
      <c r="BX2722" t="e">
        <f>IF(OR(cMed=0,cMed2=0,2720&gt;nFilas),NA(),IF(AND(ISNUMBER(INDEX(rMed2,2720)),ISNUMBER(INDEX(rMed,2720))),INDEX(rMed2,2720),NA()))</f>
        <v>#N/A</v>
      </c>
      <c r="BY2722" t="e">
        <f>IF(OR(cMed=0,cMed2=0,2720&gt;nFilas),NA(),IF(AND(ISNUMBER(INDEX(rMed2,2720)),ISNUMBER(INDEX(rMed,2720))),INDEX(rMed,2720),NA()))</f>
        <v>#N/A</v>
      </c>
    </row>
    <row r="2723">
      <c r="BX2723" t="e">
        <f>IF(OR(cMed=0,cMed2=0,2721&gt;nFilas),NA(),IF(AND(ISNUMBER(INDEX(rMed2,2721)),ISNUMBER(INDEX(rMed,2721))),INDEX(rMed2,2721),NA()))</f>
        <v>#N/A</v>
      </c>
      <c r="BY2723" t="e">
        <f>IF(OR(cMed=0,cMed2=0,2721&gt;nFilas),NA(),IF(AND(ISNUMBER(INDEX(rMed2,2721)),ISNUMBER(INDEX(rMed,2721))),INDEX(rMed,2721),NA()))</f>
        <v>#N/A</v>
      </c>
    </row>
    <row r="2724">
      <c r="BX2724" t="e">
        <f>IF(OR(cMed=0,cMed2=0,2722&gt;nFilas),NA(),IF(AND(ISNUMBER(INDEX(rMed2,2722)),ISNUMBER(INDEX(rMed,2722))),INDEX(rMed2,2722),NA()))</f>
        <v>#N/A</v>
      </c>
      <c r="BY2724" t="e">
        <f>IF(OR(cMed=0,cMed2=0,2722&gt;nFilas),NA(),IF(AND(ISNUMBER(INDEX(rMed2,2722)),ISNUMBER(INDEX(rMed,2722))),INDEX(rMed,2722),NA()))</f>
        <v>#N/A</v>
      </c>
    </row>
    <row r="2725">
      <c r="BX2725" t="e">
        <f>IF(OR(cMed=0,cMed2=0,2723&gt;nFilas),NA(),IF(AND(ISNUMBER(INDEX(rMed2,2723)),ISNUMBER(INDEX(rMed,2723))),INDEX(rMed2,2723),NA()))</f>
        <v>#N/A</v>
      </c>
      <c r="BY2725" t="e">
        <f>IF(OR(cMed=0,cMed2=0,2723&gt;nFilas),NA(),IF(AND(ISNUMBER(INDEX(rMed2,2723)),ISNUMBER(INDEX(rMed,2723))),INDEX(rMed,2723),NA()))</f>
        <v>#N/A</v>
      </c>
    </row>
    <row r="2726">
      <c r="BX2726" t="e">
        <f>IF(OR(cMed=0,cMed2=0,2724&gt;nFilas),NA(),IF(AND(ISNUMBER(INDEX(rMed2,2724)),ISNUMBER(INDEX(rMed,2724))),INDEX(rMed2,2724),NA()))</f>
        <v>#N/A</v>
      </c>
      <c r="BY2726" t="e">
        <f>IF(OR(cMed=0,cMed2=0,2724&gt;nFilas),NA(),IF(AND(ISNUMBER(INDEX(rMed2,2724)),ISNUMBER(INDEX(rMed,2724))),INDEX(rMed,2724),NA()))</f>
        <v>#N/A</v>
      </c>
    </row>
    <row r="2727">
      <c r="BX2727" t="e">
        <f>IF(OR(cMed=0,cMed2=0,2725&gt;nFilas),NA(),IF(AND(ISNUMBER(INDEX(rMed2,2725)),ISNUMBER(INDEX(rMed,2725))),INDEX(rMed2,2725),NA()))</f>
        <v>#N/A</v>
      </c>
      <c r="BY2727" t="e">
        <f>IF(OR(cMed=0,cMed2=0,2725&gt;nFilas),NA(),IF(AND(ISNUMBER(INDEX(rMed2,2725)),ISNUMBER(INDEX(rMed,2725))),INDEX(rMed,2725),NA()))</f>
        <v>#N/A</v>
      </c>
    </row>
    <row r="2728">
      <c r="BX2728" t="e">
        <f>IF(OR(cMed=0,cMed2=0,2726&gt;nFilas),NA(),IF(AND(ISNUMBER(INDEX(rMed2,2726)),ISNUMBER(INDEX(rMed,2726))),INDEX(rMed2,2726),NA()))</f>
        <v>#N/A</v>
      </c>
      <c r="BY2728" t="e">
        <f>IF(OR(cMed=0,cMed2=0,2726&gt;nFilas),NA(),IF(AND(ISNUMBER(INDEX(rMed2,2726)),ISNUMBER(INDEX(rMed,2726))),INDEX(rMed,2726),NA()))</f>
        <v>#N/A</v>
      </c>
    </row>
    <row r="2729">
      <c r="BX2729" t="e">
        <f>IF(OR(cMed=0,cMed2=0,2727&gt;nFilas),NA(),IF(AND(ISNUMBER(INDEX(rMed2,2727)),ISNUMBER(INDEX(rMed,2727))),INDEX(rMed2,2727),NA()))</f>
        <v>#N/A</v>
      </c>
      <c r="BY2729" t="e">
        <f>IF(OR(cMed=0,cMed2=0,2727&gt;nFilas),NA(),IF(AND(ISNUMBER(INDEX(rMed2,2727)),ISNUMBER(INDEX(rMed,2727))),INDEX(rMed,2727),NA()))</f>
        <v>#N/A</v>
      </c>
    </row>
    <row r="2730">
      <c r="BX2730" t="e">
        <f>IF(OR(cMed=0,cMed2=0,2728&gt;nFilas),NA(),IF(AND(ISNUMBER(INDEX(rMed2,2728)),ISNUMBER(INDEX(rMed,2728))),INDEX(rMed2,2728),NA()))</f>
        <v>#N/A</v>
      </c>
      <c r="BY2730" t="e">
        <f>IF(OR(cMed=0,cMed2=0,2728&gt;nFilas),NA(),IF(AND(ISNUMBER(INDEX(rMed2,2728)),ISNUMBER(INDEX(rMed,2728))),INDEX(rMed,2728),NA()))</f>
        <v>#N/A</v>
      </c>
    </row>
    <row r="2731">
      <c r="BX2731" t="e">
        <f>IF(OR(cMed=0,cMed2=0,2729&gt;nFilas),NA(),IF(AND(ISNUMBER(INDEX(rMed2,2729)),ISNUMBER(INDEX(rMed,2729))),INDEX(rMed2,2729),NA()))</f>
        <v>#N/A</v>
      </c>
      <c r="BY2731" t="e">
        <f>IF(OR(cMed=0,cMed2=0,2729&gt;nFilas),NA(),IF(AND(ISNUMBER(INDEX(rMed2,2729)),ISNUMBER(INDEX(rMed,2729))),INDEX(rMed,2729),NA()))</f>
        <v>#N/A</v>
      </c>
    </row>
    <row r="2732">
      <c r="BX2732" t="e">
        <f>IF(OR(cMed=0,cMed2=0,2730&gt;nFilas),NA(),IF(AND(ISNUMBER(INDEX(rMed2,2730)),ISNUMBER(INDEX(rMed,2730))),INDEX(rMed2,2730),NA()))</f>
        <v>#N/A</v>
      </c>
      <c r="BY2732" t="e">
        <f>IF(OR(cMed=0,cMed2=0,2730&gt;nFilas),NA(),IF(AND(ISNUMBER(INDEX(rMed2,2730)),ISNUMBER(INDEX(rMed,2730))),INDEX(rMed,2730),NA()))</f>
        <v>#N/A</v>
      </c>
    </row>
    <row r="2733">
      <c r="BX2733" t="e">
        <f>IF(OR(cMed=0,cMed2=0,2731&gt;nFilas),NA(),IF(AND(ISNUMBER(INDEX(rMed2,2731)),ISNUMBER(INDEX(rMed,2731))),INDEX(rMed2,2731),NA()))</f>
        <v>#N/A</v>
      </c>
      <c r="BY2733" t="e">
        <f>IF(OR(cMed=0,cMed2=0,2731&gt;nFilas),NA(),IF(AND(ISNUMBER(INDEX(rMed2,2731)),ISNUMBER(INDEX(rMed,2731))),INDEX(rMed,2731),NA()))</f>
        <v>#N/A</v>
      </c>
    </row>
    <row r="2734">
      <c r="BX2734" t="e">
        <f>IF(OR(cMed=0,cMed2=0,2732&gt;nFilas),NA(),IF(AND(ISNUMBER(INDEX(rMed2,2732)),ISNUMBER(INDEX(rMed,2732))),INDEX(rMed2,2732),NA()))</f>
        <v>#N/A</v>
      </c>
      <c r="BY2734" t="e">
        <f>IF(OR(cMed=0,cMed2=0,2732&gt;nFilas),NA(),IF(AND(ISNUMBER(INDEX(rMed2,2732)),ISNUMBER(INDEX(rMed,2732))),INDEX(rMed,2732),NA()))</f>
        <v>#N/A</v>
      </c>
    </row>
    <row r="2735">
      <c r="BX2735" t="e">
        <f>IF(OR(cMed=0,cMed2=0,2733&gt;nFilas),NA(),IF(AND(ISNUMBER(INDEX(rMed2,2733)),ISNUMBER(INDEX(rMed,2733))),INDEX(rMed2,2733),NA()))</f>
        <v>#N/A</v>
      </c>
      <c r="BY2735" t="e">
        <f>IF(OR(cMed=0,cMed2=0,2733&gt;nFilas),NA(),IF(AND(ISNUMBER(INDEX(rMed2,2733)),ISNUMBER(INDEX(rMed,2733))),INDEX(rMed,2733),NA()))</f>
        <v>#N/A</v>
      </c>
    </row>
    <row r="2736">
      <c r="BX2736" t="e">
        <f>IF(OR(cMed=0,cMed2=0,2734&gt;nFilas),NA(),IF(AND(ISNUMBER(INDEX(rMed2,2734)),ISNUMBER(INDEX(rMed,2734))),INDEX(rMed2,2734),NA()))</f>
        <v>#N/A</v>
      </c>
      <c r="BY2736" t="e">
        <f>IF(OR(cMed=0,cMed2=0,2734&gt;nFilas),NA(),IF(AND(ISNUMBER(INDEX(rMed2,2734)),ISNUMBER(INDEX(rMed,2734))),INDEX(rMed,2734),NA()))</f>
        <v>#N/A</v>
      </c>
    </row>
    <row r="2737">
      <c r="BX2737" t="e">
        <f>IF(OR(cMed=0,cMed2=0,2735&gt;nFilas),NA(),IF(AND(ISNUMBER(INDEX(rMed2,2735)),ISNUMBER(INDEX(rMed,2735))),INDEX(rMed2,2735),NA()))</f>
        <v>#N/A</v>
      </c>
      <c r="BY2737" t="e">
        <f>IF(OR(cMed=0,cMed2=0,2735&gt;nFilas),NA(),IF(AND(ISNUMBER(INDEX(rMed2,2735)),ISNUMBER(INDEX(rMed,2735))),INDEX(rMed,2735),NA()))</f>
        <v>#N/A</v>
      </c>
    </row>
    <row r="2738">
      <c r="BX2738" t="e">
        <f>IF(OR(cMed=0,cMed2=0,2736&gt;nFilas),NA(),IF(AND(ISNUMBER(INDEX(rMed2,2736)),ISNUMBER(INDEX(rMed,2736))),INDEX(rMed2,2736),NA()))</f>
        <v>#N/A</v>
      </c>
      <c r="BY2738" t="e">
        <f>IF(OR(cMed=0,cMed2=0,2736&gt;nFilas),NA(),IF(AND(ISNUMBER(INDEX(rMed2,2736)),ISNUMBER(INDEX(rMed,2736))),INDEX(rMed,2736),NA()))</f>
        <v>#N/A</v>
      </c>
    </row>
    <row r="2739">
      <c r="BX2739" t="e">
        <f>IF(OR(cMed=0,cMed2=0,2737&gt;nFilas),NA(),IF(AND(ISNUMBER(INDEX(rMed2,2737)),ISNUMBER(INDEX(rMed,2737))),INDEX(rMed2,2737),NA()))</f>
        <v>#N/A</v>
      </c>
      <c r="BY2739" t="e">
        <f>IF(OR(cMed=0,cMed2=0,2737&gt;nFilas),NA(),IF(AND(ISNUMBER(INDEX(rMed2,2737)),ISNUMBER(INDEX(rMed,2737))),INDEX(rMed,2737),NA()))</f>
        <v>#N/A</v>
      </c>
    </row>
    <row r="2740">
      <c r="BX2740" t="e">
        <f>IF(OR(cMed=0,cMed2=0,2738&gt;nFilas),NA(),IF(AND(ISNUMBER(INDEX(rMed2,2738)),ISNUMBER(INDEX(rMed,2738))),INDEX(rMed2,2738),NA()))</f>
        <v>#N/A</v>
      </c>
      <c r="BY2740" t="e">
        <f>IF(OR(cMed=0,cMed2=0,2738&gt;nFilas),NA(),IF(AND(ISNUMBER(INDEX(rMed2,2738)),ISNUMBER(INDEX(rMed,2738))),INDEX(rMed,2738),NA()))</f>
        <v>#N/A</v>
      </c>
    </row>
    <row r="2741">
      <c r="BX2741" t="e">
        <f>IF(OR(cMed=0,cMed2=0,2739&gt;nFilas),NA(),IF(AND(ISNUMBER(INDEX(rMed2,2739)),ISNUMBER(INDEX(rMed,2739))),INDEX(rMed2,2739),NA()))</f>
        <v>#N/A</v>
      </c>
      <c r="BY2741" t="e">
        <f>IF(OR(cMed=0,cMed2=0,2739&gt;nFilas),NA(),IF(AND(ISNUMBER(INDEX(rMed2,2739)),ISNUMBER(INDEX(rMed,2739))),INDEX(rMed,2739),NA()))</f>
        <v>#N/A</v>
      </c>
    </row>
    <row r="2742">
      <c r="BX2742" t="e">
        <f>IF(OR(cMed=0,cMed2=0,2740&gt;nFilas),NA(),IF(AND(ISNUMBER(INDEX(rMed2,2740)),ISNUMBER(INDEX(rMed,2740))),INDEX(rMed2,2740),NA()))</f>
        <v>#N/A</v>
      </c>
      <c r="BY2742" t="e">
        <f>IF(OR(cMed=0,cMed2=0,2740&gt;nFilas),NA(),IF(AND(ISNUMBER(INDEX(rMed2,2740)),ISNUMBER(INDEX(rMed,2740))),INDEX(rMed,2740),NA()))</f>
        <v>#N/A</v>
      </c>
    </row>
    <row r="2743">
      <c r="BX2743" t="e">
        <f>IF(OR(cMed=0,cMed2=0,2741&gt;nFilas),NA(),IF(AND(ISNUMBER(INDEX(rMed2,2741)),ISNUMBER(INDEX(rMed,2741))),INDEX(rMed2,2741),NA()))</f>
        <v>#N/A</v>
      </c>
      <c r="BY2743" t="e">
        <f>IF(OR(cMed=0,cMed2=0,2741&gt;nFilas),NA(),IF(AND(ISNUMBER(INDEX(rMed2,2741)),ISNUMBER(INDEX(rMed,2741))),INDEX(rMed,2741),NA()))</f>
        <v>#N/A</v>
      </c>
    </row>
    <row r="2744">
      <c r="BX2744" t="e">
        <f>IF(OR(cMed=0,cMed2=0,2742&gt;nFilas),NA(),IF(AND(ISNUMBER(INDEX(rMed2,2742)),ISNUMBER(INDEX(rMed,2742))),INDEX(rMed2,2742),NA()))</f>
        <v>#N/A</v>
      </c>
      <c r="BY2744" t="e">
        <f>IF(OR(cMed=0,cMed2=0,2742&gt;nFilas),NA(),IF(AND(ISNUMBER(INDEX(rMed2,2742)),ISNUMBER(INDEX(rMed,2742))),INDEX(rMed,2742),NA()))</f>
        <v>#N/A</v>
      </c>
    </row>
    <row r="2745">
      <c r="BX2745" t="e">
        <f>IF(OR(cMed=0,cMed2=0,2743&gt;nFilas),NA(),IF(AND(ISNUMBER(INDEX(rMed2,2743)),ISNUMBER(INDEX(rMed,2743))),INDEX(rMed2,2743),NA()))</f>
        <v>#N/A</v>
      </c>
      <c r="BY2745" t="e">
        <f>IF(OR(cMed=0,cMed2=0,2743&gt;nFilas),NA(),IF(AND(ISNUMBER(INDEX(rMed2,2743)),ISNUMBER(INDEX(rMed,2743))),INDEX(rMed,2743),NA()))</f>
        <v>#N/A</v>
      </c>
    </row>
    <row r="2746">
      <c r="BX2746" t="e">
        <f>IF(OR(cMed=0,cMed2=0,2744&gt;nFilas),NA(),IF(AND(ISNUMBER(INDEX(rMed2,2744)),ISNUMBER(INDEX(rMed,2744))),INDEX(rMed2,2744),NA()))</f>
        <v>#N/A</v>
      </c>
      <c r="BY2746" t="e">
        <f>IF(OR(cMed=0,cMed2=0,2744&gt;nFilas),NA(),IF(AND(ISNUMBER(INDEX(rMed2,2744)),ISNUMBER(INDEX(rMed,2744))),INDEX(rMed,2744),NA()))</f>
        <v>#N/A</v>
      </c>
    </row>
    <row r="2747">
      <c r="BX2747" t="e">
        <f>IF(OR(cMed=0,cMed2=0,2745&gt;nFilas),NA(),IF(AND(ISNUMBER(INDEX(rMed2,2745)),ISNUMBER(INDEX(rMed,2745))),INDEX(rMed2,2745),NA()))</f>
        <v>#N/A</v>
      </c>
      <c r="BY2747" t="e">
        <f>IF(OR(cMed=0,cMed2=0,2745&gt;nFilas),NA(),IF(AND(ISNUMBER(INDEX(rMed2,2745)),ISNUMBER(INDEX(rMed,2745))),INDEX(rMed,2745),NA()))</f>
        <v>#N/A</v>
      </c>
    </row>
    <row r="2748">
      <c r="BX2748" t="e">
        <f>IF(OR(cMed=0,cMed2=0,2746&gt;nFilas),NA(),IF(AND(ISNUMBER(INDEX(rMed2,2746)),ISNUMBER(INDEX(rMed,2746))),INDEX(rMed2,2746),NA()))</f>
        <v>#N/A</v>
      </c>
      <c r="BY2748" t="e">
        <f>IF(OR(cMed=0,cMed2=0,2746&gt;nFilas),NA(),IF(AND(ISNUMBER(INDEX(rMed2,2746)),ISNUMBER(INDEX(rMed,2746))),INDEX(rMed,2746),NA()))</f>
        <v>#N/A</v>
      </c>
    </row>
    <row r="2749">
      <c r="BX2749" t="e">
        <f>IF(OR(cMed=0,cMed2=0,2747&gt;nFilas),NA(),IF(AND(ISNUMBER(INDEX(rMed2,2747)),ISNUMBER(INDEX(rMed,2747))),INDEX(rMed2,2747),NA()))</f>
        <v>#N/A</v>
      </c>
      <c r="BY2749" t="e">
        <f>IF(OR(cMed=0,cMed2=0,2747&gt;nFilas),NA(),IF(AND(ISNUMBER(INDEX(rMed2,2747)),ISNUMBER(INDEX(rMed,2747))),INDEX(rMed,2747),NA()))</f>
        <v>#N/A</v>
      </c>
    </row>
    <row r="2750">
      <c r="BX2750" t="e">
        <f>IF(OR(cMed=0,cMed2=0,2748&gt;nFilas),NA(),IF(AND(ISNUMBER(INDEX(rMed2,2748)),ISNUMBER(INDEX(rMed,2748))),INDEX(rMed2,2748),NA()))</f>
        <v>#N/A</v>
      </c>
      <c r="BY2750" t="e">
        <f>IF(OR(cMed=0,cMed2=0,2748&gt;nFilas),NA(),IF(AND(ISNUMBER(INDEX(rMed2,2748)),ISNUMBER(INDEX(rMed,2748))),INDEX(rMed,2748),NA()))</f>
        <v>#N/A</v>
      </c>
    </row>
    <row r="2751">
      <c r="BX2751" t="e">
        <f>IF(OR(cMed=0,cMed2=0,2749&gt;nFilas),NA(),IF(AND(ISNUMBER(INDEX(rMed2,2749)),ISNUMBER(INDEX(rMed,2749))),INDEX(rMed2,2749),NA()))</f>
        <v>#N/A</v>
      </c>
      <c r="BY2751" t="e">
        <f>IF(OR(cMed=0,cMed2=0,2749&gt;nFilas),NA(),IF(AND(ISNUMBER(INDEX(rMed2,2749)),ISNUMBER(INDEX(rMed,2749))),INDEX(rMed,2749),NA()))</f>
        <v>#N/A</v>
      </c>
    </row>
    <row r="2752">
      <c r="BX2752" t="e">
        <f>IF(OR(cMed=0,cMed2=0,2750&gt;nFilas),NA(),IF(AND(ISNUMBER(INDEX(rMed2,2750)),ISNUMBER(INDEX(rMed,2750))),INDEX(rMed2,2750),NA()))</f>
        <v>#N/A</v>
      </c>
      <c r="BY2752" t="e">
        <f>IF(OR(cMed=0,cMed2=0,2750&gt;nFilas),NA(),IF(AND(ISNUMBER(INDEX(rMed2,2750)),ISNUMBER(INDEX(rMed,2750))),INDEX(rMed,2750),NA()))</f>
        <v>#N/A</v>
      </c>
    </row>
    <row r="2753">
      <c r="BX2753" t="e">
        <f>IF(OR(cMed=0,cMed2=0,2751&gt;nFilas),NA(),IF(AND(ISNUMBER(INDEX(rMed2,2751)),ISNUMBER(INDEX(rMed,2751))),INDEX(rMed2,2751),NA()))</f>
        <v>#N/A</v>
      </c>
      <c r="BY2753" t="e">
        <f>IF(OR(cMed=0,cMed2=0,2751&gt;nFilas),NA(),IF(AND(ISNUMBER(INDEX(rMed2,2751)),ISNUMBER(INDEX(rMed,2751))),INDEX(rMed,2751),NA()))</f>
        <v>#N/A</v>
      </c>
    </row>
    <row r="2754">
      <c r="BX2754" t="e">
        <f>IF(OR(cMed=0,cMed2=0,2752&gt;nFilas),NA(),IF(AND(ISNUMBER(INDEX(rMed2,2752)),ISNUMBER(INDEX(rMed,2752))),INDEX(rMed2,2752),NA()))</f>
        <v>#N/A</v>
      </c>
      <c r="BY2754" t="e">
        <f>IF(OR(cMed=0,cMed2=0,2752&gt;nFilas),NA(),IF(AND(ISNUMBER(INDEX(rMed2,2752)),ISNUMBER(INDEX(rMed,2752))),INDEX(rMed,2752),NA()))</f>
        <v>#N/A</v>
      </c>
    </row>
    <row r="2755">
      <c r="BX2755" t="e">
        <f>IF(OR(cMed=0,cMed2=0,2753&gt;nFilas),NA(),IF(AND(ISNUMBER(INDEX(rMed2,2753)),ISNUMBER(INDEX(rMed,2753))),INDEX(rMed2,2753),NA()))</f>
        <v>#N/A</v>
      </c>
      <c r="BY2755" t="e">
        <f>IF(OR(cMed=0,cMed2=0,2753&gt;nFilas),NA(),IF(AND(ISNUMBER(INDEX(rMed2,2753)),ISNUMBER(INDEX(rMed,2753))),INDEX(rMed,2753),NA()))</f>
        <v>#N/A</v>
      </c>
    </row>
    <row r="2756">
      <c r="BX2756" t="e">
        <f>IF(OR(cMed=0,cMed2=0,2754&gt;nFilas),NA(),IF(AND(ISNUMBER(INDEX(rMed2,2754)),ISNUMBER(INDEX(rMed,2754))),INDEX(rMed2,2754),NA()))</f>
        <v>#N/A</v>
      </c>
      <c r="BY2756" t="e">
        <f>IF(OR(cMed=0,cMed2=0,2754&gt;nFilas),NA(),IF(AND(ISNUMBER(INDEX(rMed2,2754)),ISNUMBER(INDEX(rMed,2754))),INDEX(rMed,2754),NA()))</f>
        <v>#N/A</v>
      </c>
    </row>
    <row r="2757">
      <c r="BX2757" t="e">
        <f>IF(OR(cMed=0,cMed2=0,2755&gt;nFilas),NA(),IF(AND(ISNUMBER(INDEX(rMed2,2755)),ISNUMBER(INDEX(rMed,2755))),INDEX(rMed2,2755),NA()))</f>
        <v>#N/A</v>
      </c>
      <c r="BY2757" t="e">
        <f>IF(OR(cMed=0,cMed2=0,2755&gt;nFilas),NA(),IF(AND(ISNUMBER(INDEX(rMed2,2755)),ISNUMBER(INDEX(rMed,2755))),INDEX(rMed,2755),NA()))</f>
        <v>#N/A</v>
      </c>
    </row>
    <row r="2758">
      <c r="BX2758" t="e">
        <f>IF(OR(cMed=0,cMed2=0,2756&gt;nFilas),NA(),IF(AND(ISNUMBER(INDEX(rMed2,2756)),ISNUMBER(INDEX(rMed,2756))),INDEX(rMed2,2756),NA()))</f>
        <v>#N/A</v>
      </c>
      <c r="BY2758" t="e">
        <f>IF(OR(cMed=0,cMed2=0,2756&gt;nFilas),NA(),IF(AND(ISNUMBER(INDEX(rMed2,2756)),ISNUMBER(INDEX(rMed,2756))),INDEX(rMed,2756),NA()))</f>
        <v>#N/A</v>
      </c>
    </row>
    <row r="2759">
      <c r="BX2759" t="e">
        <f>IF(OR(cMed=0,cMed2=0,2757&gt;nFilas),NA(),IF(AND(ISNUMBER(INDEX(rMed2,2757)),ISNUMBER(INDEX(rMed,2757))),INDEX(rMed2,2757),NA()))</f>
        <v>#N/A</v>
      </c>
      <c r="BY2759" t="e">
        <f>IF(OR(cMed=0,cMed2=0,2757&gt;nFilas),NA(),IF(AND(ISNUMBER(INDEX(rMed2,2757)),ISNUMBER(INDEX(rMed,2757))),INDEX(rMed,2757),NA()))</f>
        <v>#N/A</v>
      </c>
    </row>
    <row r="2760">
      <c r="BX2760" t="e">
        <f>IF(OR(cMed=0,cMed2=0,2758&gt;nFilas),NA(),IF(AND(ISNUMBER(INDEX(rMed2,2758)),ISNUMBER(INDEX(rMed,2758))),INDEX(rMed2,2758),NA()))</f>
        <v>#N/A</v>
      </c>
      <c r="BY2760" t="e">
        <f>IF(OR(cMed=0,cMed2=0,2758&gt;nFilas),NA(),IF(AND(ISNUMBER(INDEX(rMed2,2758)),ISNUMBER(INDEX(rMed,2758))),INDEX(rMed,2758),NA()))</f>
        <v>#N/A</v>
      </c>
    </row>
    <row r="2761">
      <c r="BX2761" t="e">
        <f>IF(OR(cMed=0,cMed2=0,2759&gt;nFilas),NA(),IF(AND(ISNUMBER(INDEX(rMed2,2759)),ISNUMBER(INDEX(rMed,2759))),INDEX(rMed2,2759),NA()))</f>
        <v>#N/A</v>
      </c>
      <c r="BY2761" t="e">
        <f>IF(OR(cMed=0,cMed2=0,2759&gt;nFilas),NA(),IF(AND(ISNUMBER(INDEX(rMed2,2759)),ISNUMBER(INDEX(rMed,2759))),INDEX(rMed,2759),NA()))</f>
        <v>#N/A</v>
      </c>
    </row>
    <row r="2762">
      <c r="BX2762" t="e">
        <f>IF(OR(cMed=0,cMed2=0,2760&gt;nFilas),NA(),IF(AND(ISNUMBER(INDEX(rMed2,2760)),ISNUMBER(INDEX(rMed,2760))),INDEX(rMed2,2760),NA()))</f>
        <v>#N/A</v>
      </c>
      <c r="BY2762" t="e">
        <f>IF(OR(cMed=0,cMed2=0,2760&gt;nFilas),NA(),IF(AND(ISNUMBER(INDEX(rMed2,2760)),ISNUMBER(INDEX(rMed,2760))),INDEX(rMed,2760),NA()))</f>
        <v>#N/A</v>
      </c>
    </row>
    <row r="2763">
      <c r="BX2763" t="e">
        <f>IF(OR(cMed=0,cMed2=0,2761&gt;nFilas),NA(),IF(AND(ISNUMBER(INDEX(rMed2,2761)),ISNUMBER(INDEX(rMed,2761))),INDEX(rMed2,2761),NA()))</f>
        <v>#N/A</v>
      </c>
      <c r="BY2763" t="e">
        <f>IF(OR(cMed=0,cMed2=0,2761&gt;nFilas),NA(),IF(AND(ISNUMBER(INDEX(rMed2,2761)),ISNUMBER(INDEX(rMed,2761))),INDEX(rMed,2761),NA()))</f>
        <v>#N/A</v>
      </c>
    </row>
    <row r="2764">
      <c r="BX2764" t="e">
        <f>IF(OR(cMed=0,cMed2=0,2762&gt;nFilas),NA(),IF(AND(ISNUMBER(INDEX(rMed2,2762)),ISNUMBER(INDEX(rMed,2762))),INDEX(rMed2,2762),NA()))</f>
        <v>#N/A</v>
      </c>
      <c r="BY2764" t="e">
        <f>IF(OR(cMed=0,cMed2=0,2762&gt;nFilas),NA(),IF(AND(ISNUMBER(INDEX(rMed2,2762)),ISNUMBER(INDEX(rMed,2762))),INDEX(rMed,2762),NA()))</f>
        <v>#N/A</v>
      </c>
    </row>
    <row r="2765">
      <c r="BX2765" t="e">
        <f>IF(OR(cMed=0,cMed2=0,2763&gt;nFilas),NA(),IF(AND(ISNUMBER(INDEX(rMed2,2763)),ISNUMBER(INDEX(rMed,2763))),INDEX(rMed2,2763),NA()))</f>
        <v>#N/A</v>
      </c>
      <c r="BY2765" t="e">
        <f>IF(OR(cMed=0,cMed2=0,2763&gt;nFilas),NA(),IF(AND(ISNUMBER(INDEX(rMed2,2763)),ISNUMBER(INDEX(rMed,2763))),INDEX(rMed,2763),NA()))</f>
        <v>#N/A</v>
      </c>
    </row>
    <row r="2766">
      <c r="BX2766" t="e">
        <f>IF(OR(cMed=0,cMed2=0,2764&gt;nFilas),NA(),IF(AND(ISNUMBER(INDEX(rMed2,2764)),ISNUMBER(INDEX(rMed,2764))),INDEX(rMed2,2764),NA()))</f>
        <v>#N/A</v>
      </c>
      <c r="BY2766" t="e">
        <f>IF(OR(cMed=0,cMed2=0,2764&gt;nFilas),NA(),IF(AND(ISNUMBER(INDEX(rMed2,2764)),ISNUMBER(INDEX(rMed,2764))),INDEX(rMed,2764),NA()))</f>
        <v>#N/A</v>
      </c>
    </row>
    <row r="2767">
      <c r="BX2767" t="e">
        <f>IF(OR(cMed=0,cMed2=0,2765&gt;nFilas),NA(),IF(AND(ISNUMBER(INDEX(rMed2,2765)),ISNUMBER(INDEX(rMed,2765))),INDEX(rMed2,2765),NA()))</f>
        <v>#N/A</v>
      </c>
      <c r="BY2767" t="e">
        <f>IF(OR(cMed=0,cMed2=0,2765&gt;nFilas),NA(),IF(AND(ISNUMBER(INDEX(rMed2,2765)),ISNUMBER(INDEX(rMed,2765))),INDEX(rMed,2765),NA()))</f>
        <v>#N/A</v>
      </c>
    </row>
    <row r="2768">
      <c r="BX2768" t="e">
        <f>IF(OR(cMed=0,cMed2=0,2766&gt;nFilas),NA(),IF(AND(ISNUMBER(INDEX(rMed2,2766)),ISNUMBER(INDEX(rMed,2766))),INDEX(rMed2,2766),NA()))</f>
        <v>#N/A</v>
      </c>
      <c r="BY2768" t="e">
        <f>IF(OR(cMed=0,cMed2=0,2766&gt;nFilas),NA(),IF(AND(ISNUMBER(INDEX(rMed2,2766)),ISNUMBER(INDEX(rMed,2766))),INDEX(rMed,2766),NA()))</f>
        <v>#N/A</v>
      </c>
    </row>
    <row r="2769">
      <c r="BX2769" t="e">
        <f>IF(OR(cMed=0,cMed2=0,2767&gt;nFilas),NA(),IF(AND(ISNUMBER(INDEX(rMed2,2767)),ISNUMBER(INDEX(rMed,2767))),INDEX(rMed2,2767),NA()))</f>
        <v>#N/A</v>
      </c>
      <c r="BY2769" t="e">
        <f>IF(OR(cMed=0,cMed2=0,2767&gt;nFilas),NA(),IF(AND(ISNUMBER(INDEX(rMed2,2767)),ISNUMBER(INDEX(rMed,2767))),INDEX(rMed,2767),NA()))</f>
        <v>#N/A</v>
      </c>
    </row>
    <row r="2770">
      <c r="BX2770" t="e">
        <f>IF(OR(cMed=0,cMed2=0,2768&gt;nFilas),NA(),IF(AND(ISNUMBER(INDEX(rMed2,2768)),ISNUMBER(INDEX(rMed,2768))),INDEX(rMed2,2768),NA()))</f>
        <v>#N/A</v>
      </c>
      <c r="BY2770" t="e">
        <f>IF(OR(cMed=0,cMed2=0,2768&gt;nFilas),NA(),IF(AND(ISNUMBER(INDEX(rMed2,2768)),ISNUMBER(INDEX(rMed,2768))),INDEX(rMed,2768),NA()))</f>
        <v>#N/A</v>
      </c>
    </row>
    <row r="2771">
      <c r="BX2771" t="e">
        <f>IF(OR(cMed=0,cMed2=0,2769&gt;nFilas),NA(),IF(AND(ISNUMBER(INDEX(rMed2,2769)),ISNUMBER(INDEX(rMed,2769))),INDEX(rMed2,2769),NA()))</f>
        <v>#N/A</v>
      </c>
      <c r="BY2771" t="e">
        <f>IF(OR(cMed=0,cMed2=0,2769&gt;nFilas),NA(),IF(AND(ISNUMBER(INDEX(rMed2,2769)),ISNUMBER(INDEX(rMed,2769))),INDEX(rMed,2769),NA()))</f>
        <v>#N/A</v>
      </c>
    </row>
    <row r="2772">
      <c r="BX2772" t="e">
        <f>IF(OR(cMed=0,cMed2=0,2770&gt;nFilas),NA(),IF(AND(ISNUMBER(INDEX(rMed2,2770)),ISNUMBER(INDEX(rMed,2770))),INDEX(rMed2,2770),NA()))</f>
        <v>#N/A</v>
      </c>
      <c r="BY2772" t="e">
        <f>IF(OR(cMed=0,cMed2=0,2770&gt;nFilas),NA(),IF(AND(ISNUMBER(INDEX(rMed2,2770)),ISNUMBER(INDEX(rMed,2770))),INDEX(rMed,2770),NA()))</f>
        <v>#N/A</v>
      </c>
    </row>
    <row r="2773">
      <c r="BX2773" t="e">
        <f>IF(OR(cMed=0,cMed2=0,2771&gt;nFilas),NA(),IF(AND(ISNUMBER(INDEX(rMed2,2771)),ISNUMBER(INDEX(rMed,2771))),INDEX(rMed2,2771),NA()))</f>
        <v>#N/A</v>
      </c>
      <c r="BY2773" t="e">
        <f>IF(OR(cMed=0,cMed2=0,2771&gt;nFilas),NA(),IF(AND(ISNUMBER(INDEX(rMed2,2771)),ISNUMBER(INDEX(rMed,2771))),INDEX(rMed,2771),NA()))</f>
        <v>#N/A</v>
      </c>
    </row>
    <row r="2774">
      <c r="BX2774" t="e">
        <f>IF(OR(cMed=0,cMed2=0,2772&gt;nFilas),NA(),IF(AND(ISNUMBER(INDEX(rMed2,2772)),ISNUMBER(INDEX(rMed,2772))),INDEX(rMed2,2772),NA()))</f>
        <v>#N/A</v>
      </c>
      <c r="BY2774" t="e">
        <f>IF(OR(cMed=0,cMed2=0,2772&gt;nFilas),NA(),IF(AND(ISNUMBER(INDEX(rMed2,2772)),ISNUMBER(INDEX(rMed,2772))),INDEX(rMed,2772),NA()))</f>
        <v>#N/A</v>
      </c>
    </row>
    <row r="2775">
      <c r="BX2775" t="e">
        <f>IF(OR(cMed=0,cMed2=0,2773&gt;nFilas),NA(),IF(AND(ISNUMBER(INDEX(rMed2,2773)),ISNUMBER(INDEX(rMed,2773))),INDEX(rMed2,2773),NA()))</f>
        <v>#N/A</v>
      </c>
      <c r="BY2775" t="e">
        <f>IF(OR(cMed=0,cMed2=0,2773&gt;nFilas),NA(),IF(AND(ISNUMBER(INDEX(rMed2,2773)),ISNUMBER(INDEX(rMed,2773))),INDEX(rMed,2773),NA()))</f>
        <v>#N/A</v>
      </c>
    </row>
    <row r="2776">
      <c r="BX2776" t="e">
        <f>IF(OR(cMed=0,cMed2=0,2774&gt;nFilas),NA(),IF(AND(ISNUMBER(INDEX(rMed2,2774)),ISNUMBER(INDEX(rMed,2774))),INDEX(rMed2,2774),NA()))</f>
        <v>#N/A</v>
      </c>
      <c r="BY2776" t="e">
        <f>IF(OR(cMed=0,cMed2=0,2774&gt;nFilas),NA(),IF(AND(ISNUMBER(INDEX(rMed2,2774)),ISNUMBER(INDEX(rMed,2774))),INDEX(rMed,2774),NA()))</f>
        <v>#N/A</v>
      </c>
    </row>
    <row r="2777">
      <c r="BX2777" t="e">
        <f>IF(OR(cMed=0,cMed2=0,2775&gt;nFilas),NA(),IF(AND(ISNUMBER(INDEX(rMed2,2775)),ISNUMBER(INDEX(rMed,2775))),INDEX(rMed2,2775),NA()))</f>
        <v>#N/A</v>
      </c>
      <c r="BY2777" t="e">
        <f>IF(OR(cMed=0,cMed2=0,2775&gt;nFilas),NA(),IF(AND(ISNUMBER(INDEX(rMed2,2775)),ISNUMBER(INDEX(rMed,2775))),INDEX(rMed,2775),NA()))</f>
        <v>#N/A</v>
      </c>
    </row>
    <row r="2778">
      <c r="BX2778" t="e">
        <f>IF(OR(cMed=0,cMed2=0,2776&gt;nFilas),NA(),IF(AND(ISNUMBER(INDEX(rMed2,2776)),ISNUMBER(INDEX(rMed,2776))),INDEX(rMed2,2776),NA()))</f>
        <v>#N/A</v>
      </c>
      <c r="BY2778" t="e">
        <f>IF(OR(cMed=0,cMed2=0,2776&gt;nFilas),NA(),IF(AND(ISNUMBER(INDEX(rMed2,2776)),ISNUMBER(INDEX(rMed,2776))),INDEX(rMed,2776),NA()))</f>
        <v>#N/A</v>
      </c>
    </row>
    <row r="2779">
      <c r="BX2779" t="e">
        <f>IF(OR(cMed=0,cMed2=0,2777&gt;nFilas),NA(),IF(AND(ISNUMBER(INDEX(rMed2,2777)),ISNUMBER(INDEX(rMed,2777))),INDEX(rMed2,2777),NA()))</f>
        <v>#N/A</v>
      </c>
      <c r="BY2779" t="e">
        <f>IF(OR(cMed=0,cMed2=0,2777&gt;nFilas),NA(),IF(AND(ISNUMBER(INDEX(rMed2,2777)),ISNUMBER(INDEX(rMed,2777))),INDEX(rMed,2777),NA()))</f>
        <v>#N/A</v>
      </c>
    </row>
    <row r="2780">
      <c r="BX2780" t="e">
        <f>IF(OR(cMed=0,cMed2=0,2778&gt;nFilas),NA(),IF(AND(ISNUMBER(INDEX(rMed2,2778)),ISNUMBER(INDEX(rMed,2778))),INDEX(rMed2,2778),NA()))</f>
        <v>#N/A</v>
      </c>
      <c r="BY2780" t="e">
        <f>IF(OR(cMed=0,cMed2=0,2778&gt;nFilas),NA(),IF(AND(ISNUMBER(INDEX(rMed2,2778)),ISNUMBER(INDEX(rMed,2778))),INDEX(rMed,2778),NA()))</f>
        <v>#N/A</v>
      </c>
    </row>
    <row r="2781">
      <c r="BX2781" t="e">
        <f>IF(OR(cMed=0,cMed2=0,2779&gt;nFilas),NA(),IF(AND(ISNUMBER(INDEX(rMed2,2779)),ISNUMBER(INDEX(rMed,2779))),INDEX(rMed2,2779),NA()))</f>
        <v>#N/A</v>
      </c>
      <c r="BY2781" t="e">
        <f>IF(OR(cMed=0,cMed2=0,2779&gt;nFilas),NA(),IF(AND(ISNUMBER(INDEX(rMed2,2779)),ISNUMBER(INDEX(rMed,2779))),INDEX(rMed,2779),NA()))</f>
        <v>#N/A</v>
      </c>
    </row>
    <row r="2782">
      <c r="BX2782" t="e">
        <f>IF(OR(cMed=0,cMed2=0,2780&gt;nFilas),NA(),IF(AND(ISNUMBER(INDEX(rMed2,2780)),ISNUMBER(INDEX(rMed,2780))),INDEX(rMed2,2780),NA()))</f>
        <v>#N/A</v>
      </c>
      <c r="BY2782" t="e">
        <f>IF(OR(cMed=0,cMed2=0,2780&gt;nFilas),NA(),IF(AND(ISNUMBER(INDEX(rMed2,2780)),ISNUMBER(INDEX(rMed,2780))),INDEX(rMed,2780),NA()))</f>
        <v>#N/A</v>
      </c>
    </row>
    <row r="2783">
      <c r="BX2783" t="e">
        <f>IF(OR(cMed=0,cMed2=0,2781&gt;nFilas),NA(),IF(AND(ISNUMBER(INDEX(rMed2,2781)),ISNUMBER(INDEX(rMed,2781))),INDEX(rMed2,2781),NA()))</f>
        <v>#N/A</v>
      </c>
      <c r="BY2783" t="e">
        <f>IF(OR(cMed=0,cMed2=0,2781&gt;nFilas),NA(),IF(AND(ISNUMBER(INDEX(rMed2,2781)),ISNUMBER(INDEX(rMed,2781))),INDEX(rMed,2781),NA()))</f>
        <v>#N/A</v>
      </c>
    </row>
    <row r="2784">
      <c r="BX2784" t="e">
        <f>IF(OR(cMed=0,cMed2=0,2782&gt;nFilas),NA(),IF(AND(ISNUMBER(INDEX(rMed2,2782)),ISNUMBER(INDEX(rMed,2782))),INDEX(rMed2,2782),NA()))</f>
        <v>#N/A</v>
      </c>
      <c r="BY2784" t="e">
        <f>IF(OR(cMed=0,cMed2=0,2782&gt;nFilas),NA(),IF(AND(ISNUMBER(INDEX(rMed2,2782)),ISNUMBER(INDEX(rMed,2782))),INDEX(rMed,2782),NA()))</f>
        <v>#N/A</v>
      </c>
    </row>
    <row r="2785">
      <c r="BX2785" t="e">
        <f>IF(OR(cMed=0,cMed2=0,2783&gt;nFilas),NA(),IF(AND(ISNUMBER(INDEX(rMed2,2783)),ISNUMBER(INDEX(rMed,2783))),INDEX(rMed2,2783),NA()))</f>
        <v>#N/A</v>
      </c>
      <c r="BY2785" t="e">
        <f>IF(OR(cMed=0,cMed2=0,2783&gt;nFilas),NA(),IF(AND(ISNUMBER(INDEX(rMed2,2783)),ISNUMBER(INDEX(rMed,2783))),INDEX(rMed,2783),NA()))</f>
        <v>#N/A</v>
      </c>
    </row>
    <row r="2786">
      <c r="BX2786" t="e">
        <f>IF(OR(cMed=0,cMed2=0,2784&gt;nFilas),NA(),IF(AND(ISNUMBER(INDEX(rMed2,2784)),ISNUMBER(INDEX(rMed,2784))),INDEX(rMed2,2784),NA()))</f>
        <v>#N/A</v>
      </c>
      <c r="BY2786" t="e">
        <f>IF(OR(cMed=0,cMed2=0,2784&gt;nFilas),NA(),IF(AND(ISNUMBER(INDEX(rMed2,2784)),ISNUMBER(INDEX(rMed,2784))),INDEX(rMed,2784),NA()))</f>
        <v>#N/A</v>
      </c>
    </row>
    <row r="2787">
      <c r="BX2787" t="e">
        <f>IF(OR(cMed=0,cMed2=0,2785&gt;nFilas),NA(),IF(AND(ISNUMBER(INDEX(rMed2,2785)),ISNUMBER(INDEX(rMed,2785))),INDEX(rMed2,2785),NA()))</f>
        <v>#N/A</v>
      </c>
      <c r="BY2787" t="e">
        <f>IF(OR(cMed=0,cMed2=0,2785&gt;nFilas),NA(),IF(AND(ISNUMBER(INDEX(rMed2,2785)),ISNUMBER(INDEX(rMed,2785))),INDEX(rMed,2785),NA()))</f>
        <v>#N/A</v>
      </c>
    </row>
    <row r="2788">
      <c r="BX2788" t="e">
        <f>IF(OR(cMed=0,cMed2=0,2786&gt;nFilas),NA(),IF(AND(ISNUMBER(INDEX(rMed2,2786)),ISNUMBER(INDEX(rMed,2786))),INDEX(rMed2,2786),NA()))</f>
        <v>#N/A</v>
      </c>
      <c r="BY2788" t="e">
        <f>IF(OR(cMed=0,cMed2=0,2786&gt;nFilas),NA(),IF(AND(ISNUMBER(INDEX(rMed2,2786)),ISNUMBER(INDEX(rMed,2786))),INDEX(rMed,2786),NA()))</f>
        <v>#N/A</v>
      </c>
    </row>
    <row r="2789">
      <c r="BX2789" t="e">
        <f>IF(OR(cMed=0,cMed2=0,2787&gt;nFilas),NA(),IF(AND(ISNUMBER(INDEX(rMed2,2787)),ISNUMBER(INDEX(rMed,2787))),INDEX(rMed2,2787),NA()))</f>
        <v>#N/A</v>
      </c>
      <c r="BY2789" t="e">
        <f>IF(OR(cMed=0,cMed2=0,2787&gt;nFilas),NA(),IF(AND(ISNUMBER(INDEX(rMed2,2787)),ISNUMBER(INDEX(rMed,2787))),INDEX(rMed,2787),NA()))</f>
        <v>#N/A</v>
      </c>
    </row>
    <row r="2790">
      <c r="BX2790" t="e">
        <f>IF(OR(cMed=0,cMed2=0,2788&gt;nFilas),NA(),IF(AND(ISNUMBER(INDEX(rMed2,2788)),ISNUMBER(INDEX(rMed,2788))),INDEX(rMed2,2788),NA()))</f>
        <v>#N/A</v>
      </c>
      <c r="BY2790" t="e">
        <f>IF(OR(cMed=0,cMed2=0,2788&gt;nFilas),NA(),IF(AND(ISNUMBER(INDEX(rMed2,2788)),ISNUMBER(INDEX(rMed,2788))),INDEX(rMed,2788),NA()))</f>
        <v>#N/A</v>
      </c>
    </row>
    <row r="2791">
      <c r="BX2791" t="e">
        <f>IF(OR(cMed=0,cMed2=0,2789&gt;nFilas),NA(),IF(AND(ISNUMBER(INDEX(rMed2,2789)),ISNUMBER(INDEX(rMed,2789))),INDEX(rMed2,2789),NA()))</f>
        <v>#N/A</v>
      </c>
      <c r="BY2791" t="e">
        <f>IF(OR(cMed=0,cMed2=0,2789&gt;nFilas),NA(),IF(AND(ISNUMBER(INDEX(rMed2,2789)),ISNUMBER(INDEX(rMed,2789))),INDEX(rMed,2789),NA()))</f>
        <v>#N/A</v>
      </c>
    </row>
    <row r="2792">
      <c r="BX2792" t="e">
        <f>IF(OR(cMed=0,cMed2=0,2790&gt;nFilas),NA(),IF(AND(ISNUMBER(INDEX(rMed2,2790)),ISNUMBER(INDEX(rMed,2790))),INDEX(rMed2,2790),NA()))</f>
        <v>#N/A</v>
      </c>
      <c r="BY2792" t="e">
        <f>IF(OR(cMed=0,cMed2=0,2790&gt;nFilas),NA(),IF(AND(ISNUMBER(INDEX(rMed2,2790)),ISNUMBER(INDEX(rMed,2790))),INDEX(rMed,2790),NA()))</f>
        <v>#N/A</v>
      </c>
    </row>
    <row r="2793">
      <c r="BX2793" t="e">
        <f>IF(OR(cMed=0,cMed2=0,2791&gt;nFilas),NA(),IF(AND(ISNUMBER(INDEX(rMed2,2791)),ISNUMBER(INDEX(rMed,2791))),INDEX(rMed2,2791),NA()))</f>
        <v>#N/A</v>
      </c>
      <c r="BY2793" t="e">
        <f>IF(OR(cMed=0,cMed2=0,2791&gt;nFilas),NA(),IF(AND(ISNUMBER(INDEX(rMed2,2791)),ISNUMBER(INDEX(rMed,2791))),INDEX(rMed,2791),NA()))</f>
        <v>#N/A</v>
      </c>
    </row>
    <row r="2794">
      <c r="BX2794" t="e">
        <f>IF(OR(cMed=0,cMed2=0,2792&gt;nFilas),NA(),IF(AND(ISNUMBER(INDEX(rMed2,2792)),ISNUMBER(INDEX(rMed,2792))),INDEX(rMed2,2792),NA()))</f>
        <v>#N/A</v>
      </c>
      <c r="BY2794" t="e">
        <f>IF(OR(cMed=0,cMed2=0,2792&gt;nFilas),NA(),IF(AND(ISNUMBER(INDEX(rMed2,2792)),ISNUMBER(INDEX(rMed,2792))),INDEX(rMed,2792),NA()))</f>
        <v>#N/A</v>
      </c>
    </row>
    <row r="2795">
      <c r="BX2795" t="e">
        <f>IF(OR(cMed=0,cMed2=0,2793&gt;nFilas),NA(),IF(AND(ISNUMBER(INDEX(rMed2,2793)),ISNUMBER(INDEX(rMed,2793))),INDEX(rMed2,2793),NA()))</f>
        <v>#N/A</v>
      </c>
      <c r="BY2795" t="e">
        <f>IF(OR(cMed=0,cMed2=0,2793&gt;nFilas),NA(),IF(AND(ISNUMBER(INDEX(rMed2,2793)),ISNUMBER(INDEX(rMed,2793))),INDEX(rMed,2793),NA()))</f>
        <v>#N/A</v>
      </c>
    </row>
    <row r="2796">
      <c r="BX2796" t="e">
        <f>IF(OR(cMed=0,cMed2=0,2794&gt;nFilas),NA(),IF(AND(ISNUMBER(INDEX(rMed2,2794)),ISNUMBER(INDEX(rMed,2794))),INDEX(rMed2,2794),NA()))</f>
        <v>#N/A</v>
      </c>
      <c r="BY2796" t="e">
        <f>IF(OR(cMed=0,cMed2=0,2794&gt;nFilas),NA(),IF(AND(ISNUMBER(INDEX(rMed2,2794)),ISNUMBER(INDEX(rMed,2794))),INDEX(rMed,2794),NA()))</f>
        <v>#N/A</v>
      </c>
    </row>
    <row r="2797">
      <c r="BX2797" t="e">
        <f>IF(OR(cMed=0,cMed2=0,2795&gt;nFilas),NA(),IF(AND(ISNUMBER(INDEX(rMed2,2795)),ISNUMBER(INDEX(rMed,2795))),INDEX(rMed2,2795),NA()))</f>
        <v>#N/A</v>
      </c>
      <c r="BY2797" t="e">
        <f>IF(OR(cMed=0,cMed2=0,2795&gt;nFilas),NA(),IF(AND(ISNUMBER(INDEX(rMed2,2795)),ISNUMBER(INDEX(rMed,2795))),INDEX(rMed,2795),NA()))</f>
        <v>#N/A</v>
      </c>
    </row>
    <row r="2798">
      <c r="BX2798" t="e">
        <f>IF(OR(cMed=0,cMed2=0,2796&gt;nFilas),NA(),IF(AND(ISNUMBER(INDEX(rMed2,2796)),ISNUMBER(INDEX(rMed,2796))),INDEX(rMed2,2796),NA()))</f>
        <v>#N/A</v>
      </c>
      <c r="BY2798" t="e">
        <f>IF(OR(cMed=0,cMed2=0,2796&gt;nFilas),NA(),IF(AND(ISNUMBER(INDEX(rMed2,2796)),ISNUMBER(INDEX(rMed,2796))),INDEX(rMed,2796),NA()))</f>
        <v>#N/A</v>
      </c>
    </row>
    <row r="2799">
      <c r="BX2799" t="e">
        <f>IF(OR(cMed=0,cMed2=0,2797&gt;nFilas),NA(),IF(AND(ISNUMBER(INDEX(rMed2,2797)),ISNUMBER(INDEX(rMed,2797))),INDEX(rMed2,2797),NA()))</f>
        <v>#N/A</v>
      </c>
      <c r="BY2799" t="e">
        <f>IF(OR(cMed=0,cMed2=0,2797&gt;nFilas),NA(),IF(AND(ISNUMBER(INDEX(rMed2,2797)),ISNUMBER(INDEX(rMed,2797))),INDEX(rMed,2797),NA()))</f>
        <v>#N/A</v>
      </c>
    </row>
    <row r="2800">
      <c r="BX2800" t="e">
        <f>IF(OR(cMed=0,cMed2=0,2798&gt;nFilas),NA(),IF(AND(ISNUMBER(INDEX(rMed2,2798)),ISNUMBER(INDEX(rMed,2798))),INDEX(rMed2,2798),NA()))</f>
        <v>#N/A</v>
      </c>
      <c r="BY2800" t="e">
        <f>IF(OR(cMed=0,cMed2=0,2798&gt;nFilas),NA(),IF(AND(ISNUMBER(INDEX(rMed2,2798)),ISNUMBER(INDEX(rMed,2798))),INDEX(rMed,2798),NA()))</f>
        <v>#N/A</v>
      </c>
    </row>
    <row r="2801">
      <c r="BX2801" t="e">
        <f>IF(OR(cMed=0,cMed2=0,2799&gt;nFilas),NA(),IF(AND(ISNUMBER(INDEX(rMed2,2799)),ISNUMBER(INDEX(rMed,2799))),INDEX(rMed2,2799),NA()))</f>
        <v>#N/A</v>
      </c>
      <c r="BY2801" t="e">
        <f>IF(OR(cMed=0,cMed2=0,2799&gt;nFilas),NA(),IF(AND(ISNUMBER(INDEX(rMed2,2799)),ISNUMBER(INDEX(rMed,2799))),INDEX(rMed,2799),NA()))</f>
        <v>#N/A</v>
      </c>
    </row>
    <row r="2802">
      <c r="BX2802" t="e">
        <f>IF(OR(cMed=0,cMed2=0,2800&gt;nFilas),NA(),IF(AND(ISNUMBER(INDEX(rMed2,2800)),ISNUMBER(INDEX(rMed,2800))),INDEX(rMed2,2800),NA()))</f>
        <v>#N/A</v>
      </c>
      <c r="BY2802" t="e">
        <f>IF(OR(cMed=0,cMed2=0,2800&gt;nFilas),NA(),IF(AND(ISNUMBER(INDEX(rMed2,2800)),ISNUMBER(INDEX(rMed,2800))),INDEX(rMed,2800),NA()))</f>
        <v>#N/A</v>
      </c>
    </row>
    <row r="2803">
      <c r="BX2803" t="e">
        <f>IF(OR(cMed=0,cMed2=0,2801&gt;nFilas),NA(),IF(AND(ISNUMBER(INDEX(rMed2,2801)),ISNUMBER(INDEX(rMed,2801))),INDEX(rMed2,2801),NA()))</f>
        <v>#N/A</v>
      </c>
      <c r="BY2803" t="e">
        <f>IF(OR(cMed=0,cMed2=0,2801&gt;nFilas),NA(),IF(AND(ISNUMBER(INDEX(rMed2,2801)),ISNUMBER(INDEX(rMed,2801))),INDEX(rMed,2801),NA()))</f>
        <v>#N/A</v>
      </c>
    </row>
    <row r="2804">
      <c r="BX2804" t="e">
        <f>IF(OR(cMed=0,cMed2=0,2802&gt;nFilas),NA(),IF(AND(ISNUMBER(INDEX(rMed2,2802)),ISNUMBER(INDEX(rMed,2802))),INDEX(rMed2,2802),NA()))</f>
        <v>#N/A</v>
      </c>
      <c r="BY2804" t="e">
        <f>IF(OR(cMed=0,cMed2=0,2802&gt;nFilas),NA(),IF(AND(ISNUMBER(INDEX(rMed2,2802)),ISNUMBER(INDEX(rMed,2802))),INDEX(rMed,2802),NA()))</f>
        <v>#N/A</v>
      </c>
    </row>
    <row r="2805">
      <c r="BX2805" t="e">
        <f>IF(OR(cMed=0,cMed2=0,2803&gt;nFilas),NA(),IF(AND(ISNUMBER(INDEX(rMed2,2803)),ISNUMBER(INDEX(rMed,2803))),INDEX(rMed2,2803),NA()))</f>
        <v>#N/A</v>
      </c>
      <c r="BY2805" t="e">
        <f>IF(OR(cMed=0,cMed2=0,2803&gt;nFilas),NA(),IF(AND(ISNUMBER(INDEX(rMed2,2803)),ISNUMBER(INDEX(rMed,2803))),INDEX(rMed,2803),NA()))</f>
        <v>#N/A</v>
      </c>
    </row>
    <row r="2806">
      <c r="BX2806" t="e">
        <f>IF(OR(cMed=0,cMed2=0,2804&gt;nFilas),NA(),IF(AND(ISNUMBER(INDEX(rMed2,2804)),ISNUMBER(INDEX(rMed,2804))),INDEX(rMed2,2804),NA()))</f>
        <v>#N/A</v>
      </c>
      <c r="BY2806" t="e">
        <f>IF(OR(cMed=0,cMed2=0,2804&gt;nFilas),NA(),IF(AND(ISNUMBER(INDEX(rMed2,2804)),ISNUMBER(INDEX(rMed,2804))),INDEX(rMed,2804),NA()))</f>
        <v>#N/A</v>
      </c>
    </row>
    <row r="2807">
      <c r="BX2807" t="e">
        <f>IF(OR(cMed=0,cMed2=0,2805&gt;nFilas),NA(),IF(AND(ISNUMBER(INDEX(rMed2,2805)),ISNUMBER(INDEX(rMed,2805))),INDEX(rMed2,2805),NA()))</f>
        <v>#N/A</v>
      </c>
      <c r="BY2807" t="e">
        <f>IF(OR(cMed=0,cMed2=0,2805&gt;nFilas),NA(),IF(AND(ISNUMBER(INDEX(rMed2,2805)),ISNUMBER(INDEX(rMed,2805))),INDEX(rMed,2805),NA()))</f>
        <v>#N/A</v>
      </c>
    </row>
    <row r="2808">
      <c r="BX2808" t="e">
        <f>IF(OR(cMed=0,cMed2=0,2806&gt;nFilas),NA(),IF(AND(ISNUMBER(INDEX(rMed2,2806)),ISNUMBER(INDEX(rMed,2806))),INDEX(rMed2,2806),NA()))</f>
        <v>#N/A</v>
      </c>
      <c r="BY2808" t="e">
        <f>IF(OR(cMed=0,cMed2=0,2806&gt;nFilas),NA(),IF(AND(ISNUMBER(INDEX(rMed2,2806)),ISNUMBER(INDEX(rMed,2806))),INDEX(rMed,2806),NA()))</f>
        <v>#N/A</v>
      </c>
    </row>
    <row r="2809">
      <c r="BX2809" t="e">
        <f>IF(OR(cMed=0,cMed2=0,2807&gt;nFilas),NA(),IF(AND(ISNUMBER(INDEX(rMed2,2807)),ISNUMBER(INDEX(rMed,2807))),INDEX(rMed2,2807),NA()))</f>
        <v>#N/A</v>
      </c>
      <c r="BY2809" t="e">
        <f>IF(OR(cMed=0,cMed2=0,2807&gt;nFilas),NA(),IF(AND(ISNUMBER(INDEX(rMed2,2807)),ISNUMBER(INDEX(rMed,2807))),INDEX(rMed,2807),NA()))</f>
        <v>#N/A</v>
      </c>
    </row>
    <row r="2810">
      <c r="BX2810" t="e">
        <f>IF(OR(cMed=0,cMed2=0,2808&gt;nFilas),NA(),IF(AND(ISNUMBER(INDEX(rMed2,2808)),ISNUMBER(INDEX(rMed,2808))),INDEX(rMed2,2808),NA()))</f>
        <v>#N/A</v>
      </c>
      <c r="BY2810" t="e">
        <f>IF(OR(cMed=0,cMed2=0,2808&gt;nFilas),NA(),IF(AND(ISNUMBER(INDEX(rMed2,2808)),ISNUMBER(INDEX(rMed,2808))),INDEX(rMed,2808),NA()))</f>
        <v>#N/A</v>
      </c>
    </row>
    <row r="2811">
      <c r="BX2811" t="e">
        <f>IF(OR(cMed=0,cMed2=0,2809&gt;nFilas),NA(),IF(AND(ISNUMBER(INDEX(rMed2,2809)),ISNUMBER(INDEX(rMed,2809))),INDEX(rMed2,2809),NA()))</f>
        <v>#N/A</v>
      </c>
      <c r="BY2811" t="e">
        <f>IF(OR(cMed=0,cMed2=0,2809&gt;nFilas),NA(),IF(AND(ISNUMBER(INDEX(rMed2,2809)),ISNUMBER(INDEX(rMed,2809))),INDEX(rMed,2809),NA()))</f>
        <v>#N/A</v>
      </c>
    </row>
    <row r="2812">
      <c r="BX2812" t="e">
        <f>IF(OR(cMed=0,cMed2=0,2810&gt;nFilas),NA(),IF(AND(ISNUMBER(INDEX(rMed2,2810)),ISNUMBER(INDEX(rMed,2810))),INDEX(rMed2,2810),NA()))</f>
        <v>#N/A</v>
      </c>
      <c r="BY2812" t="e">
        <f>IF(OR(cMed=0,cMed2=0,2810&gt;nFilas),NA(),IF(AND(ISNUMBER(INDEX(rMed2,2810)),ISNUMBER(INDEX(rMed,2810))),INDEX(rMed,2810),NA()))</f>
        <v>#N/A</v>
      </c>
    </row>
    <row r="2813">
      <c r="BX2813" t="e">
        <f>IF(OR(cMed=0,cMed2=0,2811&gt;nFilas),NA(),IF(AND(ISNUMBER(INDEX(rMed2,2811)),ISNUMBER(INDEX(rMed,2811))),INDEX(rMed2,2811),NA()))</f>
        <v>#N/A</v>
      </c>
      <c r="BY2813" t="e">
        <f>IF(OR(cMed=0,cMed2=0,2811&gt;nFilas),NA(),IF(AND(ISNUMBER(INDEX(rMed2,2811)),ISNUMBER(INDEX(rMed,2811))),INDEX(rMed,2811),NA()))</f>
        <v>#N/A</v>
      </c>
    </row>
    <row r="2814">
      <c r="BX2814" t="e">
        <f>IF(OR(cMed=0,cMed2=0,2812&gt;nFilas),NA(),IF(AND(ISNUMBER(INDEX(rMed2,2812)),ISNUMBER(INDEX(rMed,2812))),INDEX(rMed2,2812),NA()))</f>
        <v>#N/A</v>
      </c>
      <c r="BY2814" t="e">
        <f>IF(OR(cMed=0,cMed2=0,2812&gt;nFilas),NA(),IF(AND(ISNUMBER(INDEX(rMed2,2812)),ISNUMBER(INDEX(rMed,2812))),INDEX(rMed,2812),NA()))</f>
        <v>#N/A</v>
      </c>
    </row>
    <row r="2815">
      <c r="BX2815" t="e">
        <f>IF(OR(cMed=0,cMed2=0,2813&gt;nFilas),NA(),IF(AND(ISNUMBER(INDEX(rMed2,2813)),ISNUMBER(INDEX(rMed,2813))),INDEX(rMed2,2813),NA()))</f>
        <v>#N/A</v>
      </c>
      <c r="BY2815" t="e">
        <f>IF(OR(cMed=0,cMed2=0,2813&gt;nFilas),NA(),IF(AND(ISNUMBER(INDEX(rMed2,2813)),ISNUMBER(INDEX(rMed,2813))),INDEX(rMed,2813),NA()))</f>
        <v>#N/A</v>
      </c>
    </row>
    <row r="2816">
      <c r="BX2816" t="e">
        <f>IF(OR(cMed=0,cMed2=0,2814&gt;nFilas),NA(),IF(AND(ISNUMBER(INDEX(rMed2,2814)),ISNUMBER(INDEX(rMed,2814))),INDEX(rMed2,2814),NA()))</f>
        <v>#N/A</v>
      </c>
      <c r="BY2816" t="e">
        <f>IF(OR(cMed=0,cMed2=0,2814&gt;nFilas),NA(),IF(AND(ISNUMBER(INDEX(rMed2,2814)),ISNUMBER(INDEX(rMed,2814))),INDEX(rMed,2814),NA()))</f>
        <v>#N/A</v>
      </c>
    </row>
    <row r="2817">
      <c r="BX2817" t="e">
        <f>IF(OR(cMed=0,cMed2=0,2815&gt;nFilas),NA(),IF(AND(ISNUMBER(INDEX(rMed2,2815)),ISNUMBER(INDEX(rMed,2815))),INDEX(rMed2,2815),NA()))</f>
        <v>#N/A</v>
      </c>
      <c r="BY2817" t="e">
        <f>IF(OR(cMed=0,cMed2=0,2815&gt;nFilas),NA(),IF(AND(ISNUMBER(INDEX(rMed2,2815)),ISNUMBER(INDEX(rMed,2815))),INDEX(rMed,2815),NA()))</f>
        <v>#N/A</v>
      </c>
    </row>
    <row r="2818">
      <c r="BX2818" t="e">
        <f>IF(OR(cMed=0,cMed2=0,2816&gt;nFilas),NA(),IF(AND(ISNUMBER(INDEX(rMed2,2816)),ISNUMBER(INDEX(rMed,2816))),INDEX(rMed2,2816),NA()))</f>
        <v>#N/A</v>
      </c>
      <c r="BY2818" t="e">
        <f>IF(OR(cMed=0,cMed2=0,2816&gt;nFilas),NA(),IF(AND(ISNUMBER(INDEX(rMed2,2816)),ISNUMBER(INDEX(rMed,2816))),INDEX(rMed,2816),NA()))</f>
        <v>#N/A</v>
      </c>
    </row>
    <row r="2819">
      <c r="BX2819" t="e">
        <f>IF(OR(cMed=0,cMed2=0,2817&gt;nFilas),NA(),IF(AND(ISNUMBER(INDEX(rMed2,2817)),ISNUMBER(INDEX(rMed,2817))),INDEX(rMed2,2817),NA()))</f>
        <v>#N/A</v>
      </c>
      <c r="BY2819" t="e">
        <f>IF(OR(cMed=0,cMed2=0,2817&gt;nFilas),NA(),IF(AND(ISNUMBER(INDEX(rMed2,2817)),ISNUMBER(INDEX(rMed,2817))),INDEX(rMed,2817),NA()))</f>
        <v>#N/A</v>
      </c>
    </row>
    <row r="2820">
      <c r="BX2820" t="e">
        <f>IF(OR(cMed=0,cMed2=0,2818&gt;nFilas),NA(),IF(AND(ISNUMBER(INDEX(rMed2,2818)),ISNUMBER(INDEX(rMed,2818))),INDEX(rMed2,2818),NA()))</f>
        <v>#N/A</v>
      </c>
      <c r="BY2820" t="e">
        <f>IF(OR(cMed=0,cMed2=0,2818&gt;nFilas),NA(),IF(AND(ISNUMBER(INDEX(rMed2,2818)),ISNUMBER(INDEX(rMed,2818))),INDEX(rMed,2818),NA()))</f>
        <v>#N/A</v>
      </c>
    </row>
    <row r="2821">
      <c r="BX2821" t="e">
        <f>IF(OR(cMed=0,cMed2=0,2819&gt;nFilas),NA(),IF(AND(ISNUMBER(INDEX(rMed2,2819)),ISNUMBER(INDEX(rMed,2819))),INDEX(rMed2,2819),NA()))</f>
        <v>#N/A</v>
      </c>
      <c r="BY2821" t="e">
        <f>IF(OR(cMed=0,cMed2=0,2819&gt;nFilas),NA(),IF(AND(ISNUMBER(INDEX(rMed2,2819)),ISNUMBER(INDEX(rMed,2819))),INDEX(rMed,2819),NA()))</f>
        <v>#N/A</v>
      </c>
    </row>
    <row r="2822">
      <c r="BX2822" t="e">
        <f>IF(OR(cMed=0,cMed2=0,2820&gt;nFilas),NA(),IF(AND(ISNUMBER(INDEX(rMed2,2820)),ISNUMBER(INDEX(rMed,2820))),INDEX(rMed2,2820),NA()))</f>
        <v>#N/A</v>
      </c>
      <c r="BY2822" t="e">
        <f>IF(OR(cMed=0,cMed2=0,2820&gt;nFilas),NA(),IF(AND(ISNUMBER(INDEX(rMed2,2820)),ISNUMBER(INDEX(rMed,2820))),INDEX(rMed,2820),NA()))</f>
        <v>#N/A</v>
      </c>
    </row>
    <row r="2823">
      <c r="BX2823" t="e">
        <f>IF(OR(cMed=0,cMed2=0,2821&gt;nFilas),NA(),IF(AND(ISNUMBER(INDEX(rMed2,2821)),ISNUMBER(INDEX(rMed,2821))),INDEX(rMed2,2821),NA()))</f>
        <v>#N/A</v>
      </c>
      <c r="BY2823" t="e">
        <f>IF(OR(cMed=0,cMed2=0,2821&gt;nFilas),NA(),IF(AND(ISNUMBER(INDEX(rMed2,2821)),ISNUMBER(INDEX(rMed,2821))),INDEX(rMed,2821),NA()))</f>
        <v>#N/A</v>
      </c>
    </row>
    <row r="2824">
      <c r="BX2824" t="e">
        <f>IF(OR(cMed=0,cMed2=0,2822&gt;nFilas),NA(),IF(AND(ISNUMBER(INDEX(rMed2,2822)),ISNUMBER(INDEX(rMed,2822))),INDEX(rMed2,2822),NA()))</f>
        <v>#N/A</v>
      </c>
      <c r="BY2824" t="e">
        <f>IF(OR(cMed=0,cMed2=0,2822&gt;nFilas),NA(),IF(AND(ISNUMBER(INDEX(rMed2,2822)),ISNUMBER(INDEX(rMed,2822))),INDEX(rMed,2822),NA()))</f>
        <v>#N/A</v>
      </c>
    </row>
    <row r="2825">
      <c r="BX2825" t="e">
        <f>IF(OR(cMed=0,cMed2=0,2823&gt;nFilas),NA(),IF(AND(ISNUMBER(INDEX(rMed2,2823)),ISNUMBER(INDEX(rMed,2823))),INDEX(rMed2,2823),NA()))</f>
        <v>#N/A</v>
      </c>
      <c r="BY2825" t="e">
        <f>IF(OR(cMed=0,cMed2=0,2823&gt;nFilas),NA(),IF(AND(ISNUMBER(INDEX(rMed2,2823)),ISNUMBER(INDEX(rMed,2823))),INDEX(rMed,2823),NA()))</f>
        <v>#N/A</v>
      </c>
    </row>
    <row r="2826">
      <c r="BX2826" t="e">
        <f>IF(OR(cMed=0,cMed2=0,2824&gt;nFilas),NA(),IF(AND(ISNUMBER(INDEX(rMed2,2824)),ISNUMBER(INDEX(rMed,2824))),INDEX(rMed2,2824),NA()))</f>
        <v>#N/A</v>
      </c>
      <c r="BY2826" t="e">
        <f>IF(OR(cMed=0,cMed2=0,2824&gt;nFilas),NA(),IF(AND(ISNUMBER(INDEX(rMed2,2824)),ISNUMBER(INDEX(rMed,2824))),INDEX(rMed,2824),NA()))</f>
        <v>#N/A</v>
      </c>
    </row>
    <row r="2827">
      <c r="BX2827" t="e">
        <f>IF(OR(cMed=0,cMed2=0,2825&gt;nFilas),NA(),IF(AND(ISNUMBER(INDEX(rMed2,2825)),ISNUMBER(INDEX(rMed,2825))),INDEX(rMed2,2825),NA()))</f>
        <v>#N/A</v>
      </c>
      <c r="BY2827" t="e">
        <f>IF(OR(cMed=0,cMed2=0,2825&gt;nFilas),NA(),IF(AND(ISNUMBER(INDEX(rMed2,2825)),ISNUMBER(INDEX(rMed,2825))),INDEX(rMed,2825),NA()))</f>
        <v>#N/A</v>
      </c>
    </row>
    <row r="2828">
      <c r="BX2828" t="e">
        <f>IF(OR(cMed=0,cMed2=0,2826&gt;nFilas),NA(),IF(AND(ISNUMBER(INDEX(rMed2,2826)),ISNUMBER(INDEX(rMed,2826))),INDEX(rMed2,2826),NA()))</f>
        <v>#N/A</v>
      </c>
      <c r="BY2828" t="e">
        <f>IF(OR(cMed=0,cMed2=0,2826&gt;nFilas),NA(),IF(AND(ISNUMBER(INDEX(rMed2,2826)),ISNUMBER(INDEX(rMed,2826))),INDEX(rMed,2826),NA()))</f>
        <v>#N/A</v>
      </c>
    </row>
    <row r="2829">
      <c r="BX2829" t="e">
        <f>IF(OR(cMed=0,cMed2=0,2827&gt;nFilas),NA(),IF(AND(ISNUMBER(INDEX(rMed2,2827)),ISNUMBER(INDEX(rMed,2827))),INDEX(rMed2,2827),NA()))</f>
        <v>#N/A</v>
      </c>
      <c r="BY2829" t="e">
        <f>IF(OR(cMed=0,cMed2=0,2827&gt;nFilas),NA(),IF(AND(ISNUMBER(INDEX(rMed2,2827)),ISNUMBER(INDEX(rMed,2827))),INDEX(rMed,2827),NA()))</f>
        <v>#N/A</v>
      </c>
    </row>
    <row r="2830">
      <c r="BX2830" t="e">
        <f>IF(OR(cMed=0,cMed2=0,2828&gt;nFilas),NA(),IF(AND(ISNUMBER(INDEX(rMed2,2828)),ISNUMBER(INDEX(rMed,2828))),INDEX(rMed2,2828),NA()))</f>
        <v>#N/A</v>
      </c>
      <c r="BY2830" t="e">
        <f>IF(OR(cMed=0,cMed2=0,2828&gt;nFilas),NA(),IF(AND(ISNUMBER(INDEX(rMed2,2828)),ISNUMBER(INDEX(rMed,2828))),INDEX(rMed,2828),NA()))</f>
        <v>#N/A</v>
      </c>
    </row>
    <row r="2831">
      <c r="BX2831" t="e">
        <f>IF(OR(cMed=0,cMed2=0,2829&gt;nFilas),NA(),IF(AND(ISNUMBER(INDEX(rMed2,2829)),ISNUMBER(INDEX(rMed,2829))),INDEX(rMed2,2829),NA()))</f>
        <v>#N/A</v>
      </c>
      <c r="BY2831" t="e">
        <f>IF(OR(cMed=0,cMed2=0,2829&gt;nFilas),NA(),IF(AND(ISNUMBER(INDEX(rMed2,2829)),ISNUMBER(INDEX(rMed,2829))),INDEX(rMed,2829),NA()))</f>
        <v>#N/A</v>
      </c>
    </row>
    <row r="2832">
      <c r="BX2832" t="e">
        <f>IF(OR(cMed=0,cMed2=0,2830&gt;nFilas),NA(),IF(AND(ISNUMBER(INDEX(rMed2,2830)),ISNUMBER(INDEX(rMed,2830))),INDEX(rMed2,2830),NA()))</f>
        <v>#N/A</v>
      </c>
      <c r="BY2832" t="e">
        <f>IF(OR(cMed=0,cMed2=0,2830&gt;nFilas),NA(),IF(AND(ISNUMBER(INDEX(rMed2,2830)),ISNUMBER(INDEX(rMed,2830))),INDEX(rMed,2830),NA()))</f>
        <v>#N/A</v>
      </c>
    </row>
    <row r="2833">
      <c r="BX2833" t="e">
        <f>IF(OR(cMed=0,cMed2=0,2831&gt;nFilas),NA(),IF(AND(ISNUMBER(INDEX(rMed2,2831)),ISNUMBER(INDEX(rMed,2831))),INDEX(rMed2,2831),NA()))</f>
        <v>#N/A</v>
      </c>
      <c r="BY2833" t="e">
        <f>IF(OR(cMed=0,cMed2=0,2831&gt;nFilas),NA(),IF(AND(ISNUMBER(INDEX(rMed2,2831)),ISNUMBER(INDEX(rMed,2831))),INDEX(rMed,2831),NA()))</f>
        <v>#N/A</v>
      </c>
    </row>
    <row r="2834">
      <c r="BX2834" t="e">
        <f>IF(OR(cMed=0,cMed2=0,2832&gt;nFilas),NA(),IF(AND(ISNUMBER(INDEX(rMed2,2832)),ISNUMBER(INDEX(rMed,2832))),INDEX(rMed2,2832),NA()))</f>
        <v>#N/A</v>
      </c>
      <c r="BY2834" t="e">
        <f>IF(OR(cMed=0,cMed2=0,2832&gt;nFilas),NA(),IF(AND(ISNUMBER(INDEX(rMed2,2832)),ISNUMBER(INDEX(rMed,2832))),INDEX(rMed,2832),NA()))</f>
        <v>#N/A</v>
      </c>
    </row>
    <row r="2835">
      <c r="BX2835" t="e">
        <f>IF(OR(cMed=0,cMed2=0,2833&gt;nFilas),NA(),IF(AND(ISNUMBER(INDEX(rMed2,2833)),ISNUMBER(INDEX(rMed,2833))),INDEX(rMed2,2833),NA()))</f>
        <v>#N/A</v>
      </c>
      <c r="BY2835" t="e">
        <f>IF(OR(cMed=0,cMed2=0,2833&gt;nFilas),NA(),IF(AND(ISNUMBER(INDEX(rMed2,2833)),ISNUMBER(INDEX(rMed,2833))),INDEX(rMed,2833),NA()))</f>
        <v>#N/A</v>
      </c>
    </row>
    <row r="2836">
      <c r="BX2836" t="e">
        <f>IF(OR(cMed=0,cMed2=0,2834&gt;nFilas),NA(),IF(AND(ISNUMBER(INDEX(rMed2,2834)),ISNUMBER(INDEX(rMed,2834))),INDEX(rMed2,2834),NA()))</f>
        <v>#N/A</v>
      </c>
      <c r="BY2836" t="e">
        <f>IF(OR(cMed=0,cMed2=0,2834&gt;nFilas),NA(),IF(AND(ISNUMBER(INDEX(rMed2,2834)),ISNUMBER(INDEX(rMed,2834))),INDEX(rMed,2834),NA()))</f>
        <v>#N/A</v>
      </c>
    </row>
    <row r="2837">
      <c r="BX2837" t="e">
        <f>IF(OR(cMed=0,cMed2=0,2835&gt;nFilas),NA(),IF(AND(ISNUMBER(INDEX(rMed2,2835)),ISNUMBER(INDEX(rMed,2835))),INDEX(rMed2,2835),NA()))</f>
        <v>#N/A</v>
      </c>
      <c r="BY2837" t="e">
        <f>IF(OR(cMed=0,cMed2=0,2835&gt;nFilas),NA(),IF(AND(ISNUMBER(INDEX(rMed2,2835)),ISNUMBER(INDEX(rMed,2835))),INDEX(rMed,2835),NA()))</f>
        <v>#N/A</v>
      </c>
    </row>
    <row r="2838">
      <c r="BX2838" t="e">
        <f>IF(OR(cMed=0,cMed2=0,2836&gt;nFilas),NA(),IF(AND(ISNUMBER(INDEX(rMed2,2836)),ISNUMBER(INDEX(rMed,2836))),INDEX(rMed2,2836),NA()))</f>
        <v>#N/A</v>
      </c>
      <c r="BY2838" t="e">
        <f>IF(OR(cMed=0,cMed2=0,2836&gt;nFilas),NA(),IF(AND(ISNUMBER(INDEX(rMed2,2836)),ISNUMBER(INDEX(rMed,2836))),INDEX(rMed,2836),NA()))</f>
        <v>#N/A</v>
      </c>
    </row>
    <row r="2839">
      <c r="BX2839" t="e">
        <f>IF(OR(cMed=0,cMed2=0,2837&gt;nFilas),NA(),IF(AND(ISNUMBER(INDEX(rMed2,2837)),ISNUMBER(INDEX(rMed,2837))),INDEX(rMed2,2837),NA()))</f>
        <v>#N/A</v>
      </c>
      <c r="BY2839" t="e">
        <f>IF(OR(cMed=0,cMed2=0,2837&gt;nFilas),NA(),IF(AND(ISNUMBER(INDEX(rMed2,2837)),ISNUMBER(INDEX(rMed,2837))),INDEX(rMed,2837),NA()))</f>
        <v>#N/A</v>
      </c>
    </row>
    <row r="2840">
      <c r="BX2840" t="e">
        <f>IF(OR(cMed=0,cMed2=0,2838&gt;nFilas),NA(),IF(AND(ISNUMBER(INDEX(rMed2,2838)),ISNUMBER(INDEX(rMed,2838))),INDEX(rMed2,2838),NA()))</f>
        <v>#N/A</v>
      </c>
      <c r="BY2840" t="e">
        <f>IF(OR(cMed=0,cMed2=0,2838&gt;nFilas),NA(),IF(AND(ISNUMBER(INDEX(rMed2,2838)),ISNUMBER(INDEX(rMed,2838))),INDEX(rMed,2838),NA()))</f>
        <v>#N/A</v>
      </c>
    </row>
    <row r="2841">
      <c r="BX2841" t="e">
        <f>IF(OR(cMed=0,cMed2=0,2839&gt;nFilas),NA(),IF(AND(ISNUMBER(INDEX(rMed2,2839)),ISNUMBER(INDEX(rMed,2839))),INDEX(rMed2,2839),NA()))</f>
        <v>#N/A</v>
      </c>
      <c r="BY2841" t="e">
        <f>IF(OR(cMed=0,cMed2=0,2839&gt;nFilas),NA(),IF(AND(ISNUMBER(INDEX(rMed2,2839)),ISNUMBER(INDEX(rMed,2839))),INDEX(rMed,2839),NA()))</f>
        <v>#N/A</v>
      </c>
    </row>
    <row r="2842">
      <c r="BX2842" t="e">
        <f>IF(OR(cMed=0,cMed2=0,2840&gt;nFilas),NA(),IF(AND(ISNUMBER(INDEX(rMed2,2840)),ISNUMBER(INDEX(rMed,2840))),INDEX(rMed2,2840),NA()))</f>
        <v>#N/A</v>
      </c>
      <c r="BY2842" t="e">
        <f>IF(OR(cMed=0,cMed2=0,2840&gt;nFilas),NA(),IF(AND(ISNUMBER(INDEX(rMed2,2840)),ISNUMBER(INDEX(rMed,2840))),INDEX(rMed,2840),NA()))</f>
        <v>#N/A</v>
      </c>
    </row>
    <row r="2843">
      <c r="BX2843" t="e">
        <f>IF(OR(cMed=0,cMed2=0,2841&gt;nFilas),NA(),IF(AND(ISNUMBER(INDEX(rMed2,2841)),ISNUMBER(INDEX(rMed,2841))),INDEX(rMed2,2841),NA()))</f>
        <v>#N/A</v>
      </c>
      <c r="BY2843" t="e">
        <f>IF(OR(cMed=0,cMed2=0,2841&gt;nFilas),NA(),IF(AND(ISNUMBER(INDEX(rMed2,2841)),ISNUMBER(INDEX(rMed,2841))),INDEX(rMed,2841),NA()))</f>
        <v>#N/A</v>
      </c>
    </row>
    <row r="2844">
      <c r="BX2844" t="e">
        <f>IF(OR(cMed=0,cMed2=0,2842&gt;nFilas),NA(),IF(AND(ISNUMBER(INDEX(rMed2,2842)),ISNUMBER(INDEX(rMed,2842))),INDEX(rMed2,2842),NA()))</f>
        <v>#N/A</v>
      </c>
      <c r="BY2844" t="e">
        <f>IF(OR(cMed=0,cMed2=0,2842&gt;nFilas),NA(),IF(AND(ISNUMBER(INDEX(rMed2,2842)),ISNUMBER(INDEX(rMed,2842))),INDEX(rMed,2842),NA()))</f>
        <v>#N/A</v>
      </c>
    </row>
    <row r="2845">
      <c r="BX2845" t="e">
        <f>IF(OR(cMed=0,cMed2=0,2843&gt;nFilas),NA(),IF(AND(ISNUMBER(INDEX(rMed2,2843)),ISNUMBER(INDEX(rMed,2843))),INDEX(rMed2,2843),NA()))</f>
        <v>#N/A</v>
      </c>
      <c r="BY2845" t="e">
        <f>IF(OR(cMed=0,cMed2=0,2843&gt;nFilas),NA(),IF(AND(ISNUMBER(INDEX(rMed2,2843)),ISNUMBER(INDEX(rMed,2843))),INDEX(rMed,2843),NA()))</f>
        <v>#N/A</v>
      </c>
    </row>
    <row r="2846">
      <c r="BX2846" t="e">
        <f>IF(OR(cMed=0,cMed2=0,2844&gt;nFilas),NA(),IF(AND(ISNUMBER(INDEX(rMed2,2844)),ISNUMBER(INDEX(rMed,2844))),INDEX(rMed2,2844),NA()))</f>
        <v>#N/A</v>
      </c>
      <c r="BY2846" t="e">
        <f>IF(OR(cMed=0,cMed2=0,2844&gt;nFilas),NA(),IF(AND(ISNUMBER(INDEX(rMed2,2844)),ISNUMBER(INDEX(rMed,2844))),INDEX(rMed,2844),NA()))</f>
        <v>#N/A</v>
      </c>
    </row>
    <row r="2847">
      <c r="BX2847" t="e">
        <f>IF(OR(cMed=0,cMed2=0,2845&gt;nFilas),NA(),IF(AND(ISNUMBER(INDEX(rMed2,2845)),ISNUMBER(INDEX(rMed,2845))),INDEX(rMed2,2845),NA()))</f>
        <v>#N/A</v>
      </c>
      <c r="BY2847" t="e">
        <f>IF(OR(cMed=0,cMed2=0,2845&gt;nFilas),NA(),IF(AND(ISNUMBER(INDEX(rMed2,2845)),ISNUMBER(INDEX(rMed,2845))),INDEX(rMed,2845),NA()))</f>
        <v>#N/A</v>
      </c>
    </row>
    <row r="2848">
      <c r="BX2848" t="e">
        <f>IF(OR(cMed=0,cMed2=0,2846&gt;nFilas),NA(),IF(AND(ISNUMBER(INDEX(rMed2,2846)),ISNUMBER(INDEX(rMed,2846))),INDEX(rMed2,2846),NA()))</f>
        <v>#N/A</v>
      </c>
      <c r="BY2848" t="e">
        <f>IF(OR(cMed=0,cMed2=0,2846&gt;nFilas),NA(),IF(AND(ISNUMBER(INDEX(rMed2,2846)),ISNUMBER(INDEX(rMed,2846))),INDEX(rMed,2846),NA()))</f>
        <v>#N/A</v>
      </c>
    </row>
    <row r="2849">
      <c r="BX2849" t="e">
        <f>IF(OR(cMed=0,cMed2=0,2847&gt;nFilas),NA(),IF(AND(ISNUMBER(INDEX(rMed2,2847)),ISNUMBER(INDEX(rMed,2847))),INDEX(rMed2,2847),NA()))</f>
        <v>#N/A</v>
      </c>
      <c r="BY2849" t="e">
        <f>IF(OR(cMed=0,cMed2=0,2847&gt;nFilas),NA(),IF(AND(ISNUMBER(INDEX(rMed2,2847)),ISNUMBER(INDEX(rMed,2847))),INDEX(rMed,2847),NA()))</f>
        <v>#N/A</v>
      </c>
    </row>
    <row r="2850">
      <c r="BX2850" t="e">
        <f>IF(OR(cMed=0,cMed2=0,2848&gt;nFilas),NA(),IF(AND(ISNUMBER(INDEX(rMed2,2848)),ISNUMBER(INDEX(rMed,2848))),INDEX(rMed2,2848),NA()))</f>
        <v>#N/A</v>
      </c>
      <c r="BY2850" t="e">
        <f>IF(OR(cMed=0,cMed2=0,2848&gt;nFilas),NA(),IF(AND(ISNUMBER(INDEX(rMed2,2848)),ISNUMBER(INDEX(rMed,2848))),INDEX(rMed,2848),NA()))</f>
        <v>#N/A</v>
      </c>
    </row>
    <row r="2851">
      <c r="BX2851" t="e">
        <f>IF(OR(cMed=0,cMed2=0,2849&gt;nFilas),NA(),IF(AND(ISNUMBER(INDEX(rMed2,2849)),ISNUMBER(INDEX(rMed,2849))),INDEX(rMed2,2849),NA()))</f>
        <v>#N/A</v>
      </c>
      <c r="BY2851" t="e">
        <f>IF(OR(cMed=0,cMed2=0,2849&gt;nFilas),NA(),IF(AND(ISNUMBER(INDEX(rMed2,2849)),ISNUMBER(INDEX(rMed,2849))),INDEX(rMed,2849),NA()))</f>
        <v>#N/A</v>
      </c>
    </row>
    <row r="2852">
      <c r="BX2852" t="e">
        <f>IF(OR(cMed=0,cMed2=0,2850&gt;nFilas),NA(),IF(AND(ISNUMBER(INDEX(rMed2,2850)),ISNUMBER(INDEX(rMed,2850))),INDEX(rMed2,2850),NA()))</f>
        <v>#N/A</v>
      </c>
      <c r="BY2852" t="e">
        <f>IF(OR(cMed=0,cMed2=0,2850&gt;nFilas),NA(),IF(AND(ISNUMBER(INDEX(rMed2,2850)),ISNUMBER(INDEX(rMed,2850))),INDEX(rMed,2850),NA()))</f>
        <v>#N/A</v>
      </c>
    </row>
    <row r="2853">
      <c r="BX2853" t="e">
        <f>IF(OR(cMed=0,cMed2=0,2851&gt;nFilas),NA(),IF(AND(ISNUMBER(INDEX(rMed2,2851)),ISNUMBER(INDEX(rMed,2851))),INDEX(rMed2,2851),NA()))</f>
        <v>#N/A</v>
      </c>
      <c r="BY2853" t="e">
        <f>IF(OR(cMed=0,cMed2=0,2851&gt;nFilas),NA(),IF(AND(ISNUMBER(INDEX(rMed2,2851)),ISNUMBER(INDEX(rMed,2851))),INDEX(rMed,2851),NA()))</f>
        <v>#N/A</v>
      </c>
    </row>
    <row r="2854">
      <c r="BX2854" t="e">
        <f>IF(OR(cMed=0,cMed2=0,2852&gt;nFilas),NA(),IF(AND(ISNUMBER(INDEX(rMed2,2852)),ISNUMBER(INDEX(rMed,2852))),INDEX(rMed2,2852),NA()))</f>
        <v>#N/A</v>
      </c>
      <c r="BY2854" t="e">
        <f>IF(OR(cMed=0,cMed2=0,2852&gt;nFilas),NA(),IF(AND(ISNUMBER(INDEX(rMed2,2852)),ISNUMBER(INDEX(rMed,2852))),INDEX(rMed,2852),NA()))</f>
        <v>#N/A</v>
      </c>
    </row>
    <row r="2855">
      <c r="BX2855" t="e">
        <f>IF(OR(cMed=0,cMed2=0,2853&gt;nFilas),NA(),IF(AND(ISNUMBER(INDEX(rMed2,2853)),ISNUMBER(INDEX(rMed,2853))),INDEX(rMed2,2853),NA()))</f>
        <v>#N/A</v>
      </c>
      <c r="BY2855" t="e">
        <f>IF(OR(cMed=0,cMed2=0,2853&gt;nFilas),NA(),IF(AND(ISNUMBER(INDEX(rMed2,2853)),ISNUMBER(INDEX(rMed,2853))),INDEX(rMed,2853),NA()))</f>
        <v>#N/A</v>
      </c>
    </row>
    <row r="2856">
      <c r="BX2856" t="e">
        <f>IF(OR(cMed=0,cMed2=0,2854&gt;nFilas),NA(),IF(AND(ISNUMBER(INDEX(rMed2,2854)),ISNUMBER(INDEX(rMed,2854))),INDEX(rMed2,2854),NA()))</f>
        <v>#N/A</v>
      </c>
      <c r="BY2856" t="e">
        <f>IF(OR(cMed=0,cMed2=0,2854&gt;nFilas),NA(),IF(AND(ISNUMBER(INDEX(rMed2,2854)),ISNUMBER(INDEX(rMed,2854))),INDEX(rMed,2854),NA()))</f>
        <v>#N/A</v>
      </c>
    </row>
    <row r="2857">
      <c r="BX2857" t="e">
        <f>IF(OR(cMed=0,cMed2=0,2855&gt;nFilas),NA(),IF(AND(ISNUMBER(INDEX(rMed2,2855)),ISNUMBER(INDEX(rMed,2855))),INDEX(rMed2,2855),NA()))</f>
        <v>#N/A</v>
      </c>
      <c r="BY2857" t="e">
        <f>IF(OR(cMed=0,cMed2=0,2855&gt;nFilas),NA(),IF(AND(ISNUMBER(INDEX(rMed2,2855)),ISNUMBER(INDEX(rMed,2855))),INDEX(rMed,2855),NA()))</f>
        <v>#N/A</v>
      </c>
    </row>
    <row r="2858">
      <c r="BX2858" t="e">
        <f>IF(OR(cMed=0,cMed2=0,2856&gt;nFilas),NA(),IF(AND(ISNUMBER(INDEX(rMed2,2856)),ISNUMBER(INDEX(rMed,2856))),INDEX(rMed2,2856),NA()))</f>
        <v>#N/A</v>
      </c>
      <c r="BY2858" t="e">
        <f>IF(OR(cMed=0,cMed2=0,2856&gt;nFilas),NA(),IF(AND(ISNUMBER(INDEX(rMed2,2856)),ISNUMBER(INDEX(rMed,2856))),INDEX(rMed,2856),NA()))</f>
        <v>#N/A</v>
      </c>
    </row>
    <row r="2859">
      <c r="BX2859" t="e">
        <f>IF(OR(cMed=0,cMed2=0,2857&gt;nFilas),NA(),IF(AND(ISNUMBER(INDEX(rMed2,2857)),ISNUMBER(INDEX(rMed,2857))),INDEX(rMed2,2857),NA()))</f>
        <v>#N/A</v>
      </c>
      <c r="BY2859" t="e">
        <f>IF(OR(cMed=0,cMed2=0,2857&gt;nFilas),NA(),IF(AND(ISNUMBER(INDEX(rMed2,2857)),ISNUMBER(INDEX(rMed,2857))),INDEX(rMed,2857),NA()))</f>
        <v>#N/A</v>
      </c>
    </row>
    <row r="2860">
      <c r="BX2860" t="e">
        <f>IF(OR(cMed=0,cMed2=0,2858&gt;nFilas),NA(),IF(AND(ISNUMBER(INDEX(rMed2,2858)),ISNUMBER(INDEX(rMed,2858))),INDEX(rMed2,2858),NA()))</f>
        <v>#N/A</v>
      </c>
      <c r="BY2860" t="e">
        <f>IF(OR(cMed=0,cMed2=0,2858&gt;nFilas),NA(),IF(AND(ISNUMBER(INDEX(rMed2,2858)),ISNUMBER(INDEX(rMed,2858))),INDEX(rMed,2858),NA()))</f>
        <v>#N/A</v>
      </c>
    </row>
    <row r="2861">
      <c r="BX2861" t="e">
        <f>IF(OR(cMed=0,cMed2=0,2859&gt;nFilas),NA(),IF(AND(ISNUMBER(INDEX(rMed2,2859)),ISNUMBER(INDEX(rMed,2859))),INDEX(rMed2,2859),NA()))</f>
        <v>#N/A</v>
      </c>
      <c r="BY2861" t="e">
        <f>IF(OR(cMed=0,cMed2=0,2859&gt;nFilas),NA(),IF(AND(ISNUMBER(INDEX(rMed2,2859)),ISNUMBER(INDEX(rMed,2859))),INDEX(rMed,2859),NA()))</f>
        <v>#N/A</v>
      </c>
    </row>
    <row r="2862">
      <c r="BX2862" t="e">
        <f>IF(OR(cMed=0,cMed2=0,2860&gt;nFilas),NA(),IF(AND(ISNUMBER(INDEX(rMed2,2860)),ISNUMBER(INDEX(rMed,2860))),INDEX(rMed2,2860),NA()))</f>
        <v>#N/A</v>
      </c>
      <c r="BY2862" t="e">
        <f>IF(OR(cMed=0,cMed2=0,2860&gt;nFilas),NA(),IF(AND(ISNUMBER(INDEX(rMed2,2860)),ISNUMBER(INDEX(rMed,2860))),INDEX(rMed,2860),NA()))</f>
        <v>#N/A</v>
      </c>
    </row>
    <row r="2863">
      <c r="BX2863" t="e">
        <f>IF(OR(cMed=0,cMed2=0,2861&gt;nFilas),NA(),IF(AND(ISNUMBER(INDEX(rMed2,2861)),ISNUMBER(INDEX(rMed,2861))),INDEX(rMed2,2861),NA()))</f>
        <v>#N/A</v>
      </c>
      <c r="BY2863" t="e">
        <f>IF(OR(cMed=0,cMed2=0,2861&gt;nFilas),NA(),IF(AND(ISNUMBER(INDEX(rMed2,2861)),ISNUMBER(INDEX(rMed,2861))),INDEX(rMed,2861),NA()))</f>
        <v>#N/A</v>
      </c>
    </row>
    <row r="2864">
      <c r="BX2864" t="e">
        <f>IF(OR(cMed=0,cMed2=0,2862&gt;nFilas),NA(),IF(AND(ISNUMBER(INDEX(rMed2,2862)),ISNUMBER(INDEX(rMed,2862))),INDEX(rMed2,2862),NA()))</f>
        <v>#N/A</v>
      </c>
      <c r="BY2864" t="e">
        <f>IF(OR(cMed=0,cMed2=0,2862&gt;nFilas),NA(),IF(AND(ISNUMBER(INDEX(rMed2,2862)),ISNUMBER(INDEX(rMed,2862))),INDEX(rMed,2862),NA()))</f>
        <v>#N/A</v>
      </c>
    </row>
    <row r="2865">
      <c r="BX2865" t="e">
        <f>IF(OR(cMed=0,cMed2=0,2863&gt;nFilas),NA(),IF(AND(ISNUMBER(INDEX(rMed2,2863)),ISNUMBER(INDEX(rMed,2863))),INDEX(rMed2,2863),NA()))</f>
        <v>#N/A</v>
      </c>
      <c r="BY2865" t="e">
        <f>IF(OR(cMed=0,cMed2=0,2863&gt;nFilas),NA(),IF(AND(ISNUMBER(INDEX(rMed2,2863)),ISNUMBER(INDEX(rMed,2863))),INDEX(rMed,2863),NA()))</f>
        <v>#N/A</v>
      </c>
    </row>
    <row r="2866">
      <c r="BX2866" t="e">
        <f>IF(OR(cMed=0,cMed2=0,2864&gt;nFilas),NA(),IF(AND(ISNUMBER(INDEX(rMed2,2864)),ISNUMBER(INDEX(rMed,2864))),INDEX(rMed2,2864),NA()))</f>
        <v>#N/A</v>
      </c>
      <c r="BY2866" t="e">
        <f>IF(OR(cMed=0,cMed2=0,2864&gt;nFilas),NA(),IF(AND(ISNUMBER(INDEX(rMed2,2864)),ISNUMBER(INDEX(rMed,2864))),INDEX(rMed,2864),NA()))</f>
        <v>#N/A</v>
      </c>
    </row>
    <row r="2867">
      <c r="BX2867" t="e">
        <f>IF(OR(cMed=0,cMed2=0,2865&gt;nFilas),NA(),IF(AND(ISNUMBER(INDEX(rMed2,2865)),ISNUMBER(INDEX(rMed,2865))),INDEX(rMed2,2865),NA()))</f>
        <v>#N/A</v>
      </c>
      <c r="BY2867" t="e">
        <f>IF(OR(cMed=0,cMed2=0,2865&gt;nFilas),NA(),IF(AND(ISNUMBER(INDEX(rMed2,2865)),ISNUMBER(INDEX(rMed,2865))),INDEX(rMed,2865),NA()))</f>
        <v>#N/A</v>
      </c>
    </row>
    <row r="2868">
      <c r="BX2868" t="e">
        <f>IF(OR(cMed=0,cMed2=0,2866&gt;nFilas),NA(),IF(AND(ISNUMBER(INDEX(rMed2,2866)),ISNUMBER(INDEX(rMed,2866))),INDEX(rMed2,2866),NA()))</f>
        <v>#N/A</v>
      </c>
      <c r="BY2868" t="e">
        <f>IF(OR(cMed=0,cMed2=0,2866&gt;nFilas),NA(),IF(AND(ISNUMBER(INDEX(rMed2,2866)),ISNUMBER(INDEX(rMed,2866))),INDEX(rMed,2866),NA()))</f>
        <v>#N/A</v>
      </c>
    </row>
    <row r="2869">
      <c r="BX2869" t="e">
        <f>IF(OR(cMed=0,cMed2=0,2867&gt;nFilas),NA(),IF(AND(ISNUMBER(INDEX(rMed2,2867)),ISNUMBER(INDEX(rMed,2867))),INDEX(rMed2,2867),NA()))</f>
        <v>#N/A</v>
      </c>
      <c r="BY2869" t="e">
        <f>IF(OR(cMed=0,cMed2=0,2867&gt;nFilas),NA(),IF(AND(ISNUMBER(INDEX(rMed2,2867)),ISNUMBER(INDEX(rMed,2867))),INDEX(rMed,2867),NA()))</f>
        <v>#N/A</v>
      </c>
    </row>
    <row r="2870">
      <c r="BX2870" t="e">
        <f>IF(OR(cMed=0,cMed2=0,2868&gt;nFilas),NA(),IF(AND(ISNUMBER(INDEX(rMed2,2868)),ISNUMBER(INDEX(rMed,2868))),INDEX(rMed2,2868),NA()))</f>
        <v>#N/A</v>
      </c>
      <c r="BY2870" t="e">
        <f>IF(OR(cMed=0,cMed2=0,2868&gt;nFilas),NA(),IF(AND(ISNUMBER(INDEX(rMed2,2868)),ISNUMBER(INDEX(rMed,2868))),INDEX(rMed,2868),NA()))</f>
        <v>#N/A</v>
      </c>
    </row>
    <row r="2871">
      <c r="BX2871" t="e">
        <f>IF(OR(cMed=0,cMed2=0,2869&gt;nFilas),NA(),IF(AND(ISNUMBER(INDEX(rMed2,2869)),ISNUMBER(INDEX(rMed,2869))),INDEX(rMed2,2869),NA()))</f>
        <v>#N/A</v>
      </c>
      <c r="BY2871" t="e">
        <f>IF(OR(cMed=0,cMed2=0,2869&gt;nFilas),NA(),IF(AND(ISNUMBER(INDEX(rMed2,2869)),ISNUMBER(INDEX(rMed,2869))),INDEX(rMed,2869),NA()))</f>
        <v>#N/A</v>
      </c>
    </row>
    <row r="2872">
      <c r="BX2872" t="e">
        <f>IF(OR(cMed=0,cMed2=0,2870&gt;nFilas),NA(),IF(AND(ISNUMBER(INDEX(rMed2,2870)),ISNUMBER(INDEX(rMed,2870))),INDEX(rMed2,2870),NA()))</f>
        <v>#N/A</v>
      </c>
      <c r="BY2872" t="e">
        <f>IF(OR(cMed=0,cMed2=0,2870&gt;nFilas),NA(),IF(AND(ISNUMBER(INDEX(rMed2,2870)),ISNUMBER(INDEX(rMed,2870))),INDEX(rMed,2870),NA()))</f>
        <v>#N/A</v>
      </c>
    </row>
    <row r="2873">
      <c r="BX2873" t="e">
        <f>IF(OR(cMed=0,cMed2=0,2871&gt;nFilas),NA(),IF(AND(ISNUMBER(INDEX(rMed2,2871)),ISNUMBER(INDEX(rMed,2871))),INDEX(rMed2,2871),NA()))</f>
        <v>#N/A</v>
      </c>
      <c r="BY2873" t="e">
        <f>IF(OR(cMed=0,cMed2=0,2871&gt;nFilas),NA(),IF(AND(ISNUMBER(INDEX(rMed2,2871)),ISNUMBER(INDEX(rMed,2871))),INDEX(rMed,2871),NA()))</f>
        <v>#N/A</v>
      </c>
    </row>
    <row r="2874">
      <c r="BX2874" t="e">
        <f>IF(OR(cMed=0,cMed2=0,2872&gt;nFilas),NA(),IF(AND(ISNUMBER(INDEX(rMed2,2872)),ISNUMBER(INDEX(rMed,2872))),INDEX(rMed2,2872),NA()))</f>
        <v>#N/A</v>
      </c>
      <c r="BY2874" t="e">
        <f>IF(OR(cMed=0,cMed2=0,2872&gt;nFilas),NA(),IF(AND(ISNUMBER(INDEX(rMed2,2872)),ISNUMBER(INDEX(rMed,2872))),INDEX(rMed,2872),NA()))</f>
        <v>#N/A</v>
      </c>
    </row>
    <row r="2875">
      <c r="BX2875" t="e">
        <f>IF(OR(cMed=0,cMed2=0,2873&gt;nFilas),NA(),IF(AND(ISNUMBER(INDEX(rMed2,2873)),ISNUMBER(INDEX(rMed,2873))),INDEX(rMed2,2873),NA()))</f>
        <v>#N/A</v>
      </c>
      <c r="BY2875" t="e">
        <f>IF(OR(cMed=0,cMed2=0,2873&gt;nFilas),NA(),IF(AND(ISNUMBER(INDEX(rMed2,2873)),ISNUMBER(INDEX(rMed,2873))),INDEX(rMed,2873),NA()))</f>
        <v>#N/A</v>
      </c>
    </row>
    <row r="2876">
      <c r="BX2876" t="e">
        <f>IF(OR(cMed=0,cMed2=0,2874&gt;nFilas),NA(),IF(AND(ISNUMBER(INDEX(rMed2,2874)),ISNUMBER(INDEX(rMed,2874))),INDEX(rMed2,2874),NA()))</f>
        <v>#N/A</v>
      </c>
      <c r="BY2876" t="e">
        <f>IF(OR(cMed=0,cMed2=0,2874&gt;nFilas),NA(),IF(AND(ISNUMBER(INDEX(rMed2,2874)),ISNUMBER(INDEX(rMed,2874))),INDEX(rMed,2874),NA()))</f>
        <v>#N/A</v>
      </c>
    </row>
    <row r="2877">
      <c r="BX2877" t="e">
        <f>IF(OR(cMed=0,cMed2=0,2875&gt;nFilas),NA(),IF(AND(ISNUMBER(INDEX(rMed2,2875)),ISNUMBER(INDEX(rMed,2875))),INDEX(rMed2,2875),NA()))</f>
        <v>#N/A</v>
      </c>
      <c r="BY2877" t="e">
        <f>IF(OR(cMed=0,cMed2=0,2875&gt;nFilas),NA(),IF(AND(ISNUMBER(INDEX(rMed2,2875)),ISNUMBER(INDEX(rMed,2875))),INDEX(rMed,2875),NA()))</f>
        <v>#N/A</v>
      </c>
    </row>
    <row r="2878">
      <c r="BX2878" t="e">
        <f>IF(OR(cMed=0,cMed2=0,2876&gt;nFilas),NA(),IF(AND(ISNUMBER(INDEX(rMed2,2876)),ISNUMBER(INDEX(rMed,2876))),INDEX(rMed2,2876),NA()))</f>
        <v>#N/A</v>
      </c>
      <c r="BY2878" t="e">
        <f>IF(OR(cMed=0,cMed2=0,2876&gt;nFilas),NA(),IF(AND(ISNUMBER(INDEX(rMed2,2876)),ISNUMBER(INDEX(rMed,2876))),INDEX(rMed,2876),NA()))</f>
        <v>#N/A</v>
      </c>
    </row>
    <row r="2879">
      <c r="BX2879" t="e">
        <f>IF(OR(cMed=0,cMed2=0,2877&gt;nFilas),NA(),IF(AND(ISNUMBER(INDEX(rMed2,2877)),ISNUMBER(INDEX(rMed,2877))),INDEX(rMed2,2877),NA()))</f>
        <v>#N/A</v>
      </c>
      <c r="BY2879" t="e">
        <f>IF(OR(cMed=0,cMed2=0,2877&gt;nFilas),NA(),IF(AND(ISNUMBER(INDEX(rMed2,2877)),ISNUMBER(INDEX(rMed,2877))),INDEX(rMed,2877),NA()))</f>
        <v>#N/A</v>
      </c>
    </row>
    <row r="2880">
      <c r="BX2880" t="e">
        <f>IF(OR(cMed=0,cMed2=0,2878&gt;nFilas),NA(),IF(AND(ISNUMBER(INDEX(rMed2,2878)),ISNUMBER(INDEX(rMed,2878))),INDEX(rMed2,2878),NA()))</f>
        <v>#N/A</v>
      </c>
      <c r="BY2880" t="e">
        <f>IF(OR(cMed=0,cMed2=0,2878&gt;nFilas),NA(),IF(AND(ISNUMBER(INDEX(rMed2,2878)),ISNUMBER(INDEX(rMed,2878))),INDEX(rMed,2878),NA()))</f>
        <v>#N/A</v>
      </c>
    </row>
    <row r="2881">
      <c r="BX2881" t="e">
        <f>IF(OR(cMed=0,cMed2=0,2879&gt;nFilas),NA(),IF(AND(ISNUMBER(INDEX(rMed2,2879)),ISNUMBER(INDEX(rMed,2879))),INDEX(rMed2,2879),NA()))</f>
        <v>#N/A</v>
      </c>
      <c r="BY2881" t="e">
        <f>IF(OR(cMed=0,cMed2=0,2879&gt;nFilas),NA(),IF(AND(ISNUMBER(INDEX(rMed2,2879)),ISNUMBER(INDEX(rMed,2879))),INDEX(rMed,2879),NA()))</f>
        <v>#N/A</v>
      </c>
    </row>
    <row r="2882">
      <c r="BX2882" t="e">
        <f>IF(OR(cMed=0,cMed2=0,2880&gt;nFilas),NA(),IF(AND(ISNUMBER(INDEX(rMed2,2880)),ISNUMBER(INDEX(rMed,2880))),INDEX(rMed2,2880),NA()))</f>
        <v>#N/A</v>
      </c>
      <c r="BY2882" t="e">
        <f>IF(OR(cMed=0,cMed2=0,2880&gt;nFilas),NA(),IF(AND(ISNUMBER(INDEX(rMed2,2880)),ISNUMBER(INDEX(rMed,2880))),INDEX(rMed,2880),NA()))</f>
        <v>#N/A</v>
      </c>
    </row>
    <row r="2883">
      <c r="BX2883" t="e">
        <f>IF(OR(cMed=0,cMed2=0,2881&gt;nFilas),NA(),IF(AND(ISNUMBER(INDEX(rMed2,2881)),ISNUMBER(INDEX(rMed,2881))),INDEX(rMed2,2881),NA()))</f>
        <v>#N/A</v>
      </c>
      <c r="BY2883" t="e">
        <f>IF(OR(cMed=0,cMed2=0,2881&gt;nFilas),NA(),IF(AND(ISNUMBER(INDEX(rMed2,2881)),ISNUMBER(INDEX(rMed,2881))),INDEX(rMed,2881),NA()))</f>
        <v>#N/A</v>
      </c>
    </row>
    <row r="2884">
      <c r="BX2884" t="e">
        <f>IF(OR(cMed=0,cMed2=0,2882&gt;nFilas),NA(),IF(AND(ISNUMBER(INDEX(rMed2,2882)),ISNUMBER(INDEX(rMed,2882))),INDEX(rMed2,2882),NA()))</f>
        <v>#N/A</v>
      </c>
      <c r="BY2884" t="e">
        <f>IF(OR(cMed=0,cMed2=0,2882&gt;nFilas),NA(),IF(AND(ISNUMBER(INDEX(rMed2,2882)),ISNUMBER(INDEX(rMed,2882))),INDEX(rMed,2882),NA()))</f>
        <v>#N/A</v>
      </c>
    </row>
    <row r="2885">
      <c r="BX2885" t="e">
        <f>IF(OR(cMed=0,cMed2=0,2883&gt;nFilas),NA(),IF(AND(ISNUMBER(INDEX(rMed2,2883)),ISNUMBER(INDEX(rMed,2883))),INDEX(rMed2,2883),NA()))</f>
        <v>#N/A</v>
      </c>
      <c r="BY2885" t="e">
        <f>IF(OR(cMed=0,cMed2=0,2883&gt;nFilas),NA(),IF(AND(ISNUMBER(INDEX(rMed2,2883)),ISNUMBER(INDEX(rMed,2883))),INDEX(rMed,2883),NA()))</f>
        <v>#N/A</v>
      </c>
    </row>
    <row r="2886">
      <c r="BX2886" t="e">
        <f>IF(OR(cMed=0,cMed2=0,2884&gt;nFilas),NA(),IF(AND(ISNUMBER(INDEX(rMed2,2884)),ISNUMBER(INDEX(rMed,2884))),INDEX(rMed2,2884),NA()))</f>
        <v>#N/A</v>
      </c>
      <c r="BY2886" t="e">
        <f>IF(OR(cMed=0,cMed2=0,2884&gt;nFilas),NA(),IF(AND(ISNUMBER(INDEX(rMed2,2884)),ISNUMBER(INDEX(rMed,2884))),INDEX(rMed,2884),NA()))</f>
        <v>#N/A</v>
      </c>
    </row>
    <row r="2887">
      <c r="BX2887" t="e">
        <f>IF(OR(cMed=0,cMed2=0,2885&gt;nFilas),NA(),IF(AND(ISNUMBER(INDEX(rMed2,2885)),ISNUMBER(INDEX(rMed,2885))),INDEX(rMed2,2885),NA()))</f>
        <v>#N/A</v>
      </c>
      <c r="BY2887" t="e">
        <f>IF(OR(cMed=0,cMed2=0,2885&gt;nFilas),NA(),IF(AND(ISNUMBER(INDEX(rMed2,2885)),ISNUMBER(INDEX(rMed,2885))),INDEX(rMed,2885),NA()))</f>
        <v>#N/A</v>
      </c>
    </row>
    <row r="2888">
      <c r="BX2888" t="e">
        <f>IF(OR(cMed=0,cMed2=0,2886&gt;nFilas),NA(),IF(AND(ISNUMBER(INDEX(rMed2,2886)),ISNUMBER(INDEX(rMed,2886))),INDEX(rMed2,2886),NA()))</f>
        <v>#N/A</v>
      </c>
      <c r="BY2888" t="e">
        <f>IF(OR(cMed=0,cMed2=0,2886&gt;nFilas),NA(),IF(AND(ISNUMBER(INDEX(rMed2,2886)),ISNUMBER(INDEX(rMed,2886))),INDEX(rMed,2886),NA()))</f>
        <v>#N/A</v>
      </c>
    </row>
    <row r="2889">
      <c r="BX2889" t="e">
        <f>IF(OR(cMed=0,cMed2=0,2887&gt;nFilas),NA(),IF(AND(ISNUMBER(INDEX(rMed2,2887)),ISNUMBER(INDEX(rMed,2887))),INDEX(rMed2,2887),NA()))</f>
        <v>#N/A</v>
      </c>
      <c r="BY2889" t="e">
        <f>IF(OR(cMed=0,cMed2=0,2887&gt;nFilas),NA(),IF(AND(ISNUMBER(INDEX(rMed2,2887)),ISNUMBER(INDEX(rMed,2887))),INDEX(rMed,2887),NA()))</f>
        <v>#N/A</v>
      </c>
    </row>
    <row r="2890">
      <c r="BX2890" t="e">
        <f>IF(OR(cMed=0,cMed2=0,2888&gt;nFilas),NA(),IF(AND(ISNUMBER(INDEX(rMed2,2888)),ISNUMBER(INDEX(rMed,2888))),INDEX(rMed2,2888),NA()))</f>
        <v>#N/A</v>
      </c>
      <c r="BY2890" t="e">
        <f>IF(OR(cMed=0,cMed2=0,2888&gt;nFilas),NA(),IF(AND(ISNUMBER(INDEX(rMed2,2888)),ISNUMBER(INDEX(rMed,2888))),INDEX(rMed,2888),NA()))</f>
        <v>#N/A</v>
      </c>
    </row>
    <row r="2891">
      <c r="BX2891" t="e">
        <f>IF(OR(cMed=0,cMed2=0,2889&gt;nFilas),NA(),IF(AND(ISNUMBER(INDEX(rMed2,2889)),ISNUMBER(INDEX(rMed,2889))),INDEX(rMed2,2889),NA()))</f>
        <v>#N/A</v>
      </c>
      <c r="BY2891" t="e">
        <f>IF(OR(cMed=0,cMed2=0,2889&gt;nFilas),NA(),IF(AND(ISNUMBER(INDEX(rMed2,2889)),ISNUMBER(INDEX(rMed,2889))),INDEX(rMed,2889),NA()))</f>
        <v>#N/A</v>
      </c>
    </row>
    <row r="2892">
      <c r="BX2892" t="e">
        <f>IF(OR(cMed=0,cMed2=0,2890&gt;nFilas),NA(),IF(AND(ISNUMBER(INDEX(rMed2,2890)),ISNUMBER(INDEX(rMed,2890))),INDEX(rMed2,2890),NA()))</f>
        <v>#N/A</v>
      </c>
      <c r="BY2892" t="e">
        <f>IF(OR(cMed=0,cMed2=0,2890&gt;nFilas),NA(),IF(AND(ISNUMBER(INDEX(rMed2,2890)),ISNUMBER(INDEX(rMed,2890))),INDEX(rMed,2890),NA()))</f>
        <v>#N/A</v>
      </c>
    </row>
    <row r="2893">
      <c r="BX2893" t="e">
        <f>IF(OR(cMed=0,cMed2=0,2891&gt;nFilas),NA(),IF(AND(ISNUMBER(INDEX(rMed2,2891)),ISNUMBER(INDEX(rMed,2891))),INDEX(rMed2,2891),NA()))</f>
        <v>#N/A</v>
      </c>
      <c r="BY2893" t="e">
        <f>IF(OR(cMed=0,cMed2=0,2891&gt;nFilas),NA(),IF(AND(ISNUMBER(INDEX(rMed2,2891)),ISNUMBER(INDEX(rMed,2891))),INDEX(rMed,2891),NA()))</f>
        <v>#N/A</v>
      </c>
    </row>
    <row r="2894">
      <c r="BX2894" t="e">
        <f>IF(OR(cMed=0,cMed2=0,2892&gt;nFilas),NA(),IF(AND(ISNUMBER(INDEX(rMed2,2892)),ISNUMBER(INDEX(rMed,2892))),INDEX(rMed2,2892),NA()))</f>
        <v>#N/A</v>
      </c>
      <c r="BY2894" t="e">
        <f>IF(OR(cMed=0,cMed2=0,2892&gt;nFilas),NA(),IF(AND(ISNUMBER(INDEX(rMed2,2892)),ISNUMBER(INDEX(rMed,2892))),INDEX(rMed,2892),NA()))</f>
        <v>#N/A</v>
      </c>
    </row>
    <row r="2895">
      <c r="BX2895" t="e">
        <f>IF(OR(cMed=0,cMed2=0,2893&gt;nFilas),NA(),IF(AND(ISNUMBER(INDEX(rMed2,2893)),ISNUMBER(INDEX(rMed,2893))),INDEX(rMed2,2893),NA()))</f>
        <v>#N/A</v>
      </c>
      <c r="BY2895" t="e">
        <f>IF(OR(cMed=0,cMed2=0,2893&gt;nFilas),NA(),IF(AND(ISNUMBER(INDEX(rMed2,2893)),ISNUMBER(INDEX(rMed,2893))),INDEX(rMed,2893),NA()))</f>
        <v>#N/A</v>
      </c>
    </row>
    <row r="2896">
      <c r="BX2896" t="e">
        <f>IF(OR(cMed=0,cMed2=0,2894&gt;nFilas),NA(),IF(AND(ISNUMBER(INDEX(rMed2,2894)),ISNUMBER(INDEX(rMed,2894))),INDEX(rMed2,2894),NA()))</f>
        <v>#N/A</v>
      </c>
      <c r="BY2896" t="e">
        <f>IF(OR(cMed=0,cMed2=0,2894&gt;nFilas),NA(),IF(AND(ISNUMBER(INDEX(rMed2,2894)),ISNUMBER(INDEX(rMed,2894))),INDEX(rMed,2894),NA()))</f>
        <v>#N/A</v>
      </c>
    </row>
    <row r="2897">
      <c r="BX2897" t="e">
        <f>IF(OR(cMed=0,cMed2=0,2895&gt;nFilas),NA(),IF(AND(ISNUMBER(INDEX(rMed2,2895)),ISNUMBER(INDEX(rMed,2895))),INDEX(rMed2,2895),NA()))</f>
        <v>#N/A</v>
      </c>
      <c r="BY2897" t="e">
        <f>IF(OR(cMed=0,cMed2=0,2895&gt;nFilas),NA(),IF(AND(ISNUMBER(INDEX(rMed2,2895)),ISNUMBER(INDEX(rMed,2895))),INDEX(rMed,2895),NA()))</f>
        <v>#N/A</v>
      </c>
    </row>
    <row r="2898">
      <c r="BX2898" t="e">
        <f>IF(OR(cMed=0,cMed2=0,2896&gt;nFilas),NA(),IF(AND(ISNUMBER(INDEX(rMed2,2896)),ISNUMBER(INDEX(rMed,2896))),INDEX(rMed2,2896),NA()))</f>
        <v>#N/A</v>
      </c>
      <c r="BY2898" t="e">
        <f>IF(OR(cMed=0,cMed2=0,2896&gt;nFilas),NA(),IF(AND(ISNUMBER(INDEX(rMed2,2896)),ISNUMBER(INDEX(rMed,2896))),INDEX(rMed,2896),NA()))</f>
        <v>#N/A</v>
      </c>
    </row>
    <row r="2899">
      <c r="BX2899" t="e">
        <f>IF(OR(cMed=0,cMed2=0,2897&gt;nFilas),NA(),IF(AND(ISNUMBER(INDEX(rMed2,2897)),ISNUMBER(INDEX(rMed,2897))),INDEX(rMed2,2897),NA()))</f>
        <v>#N/A</v>
      </c>
      <c r="BY2899" t="e">
        <f>IF(OR(cMed=0,cMed2=0,2897&gt;nFilas),NA(),IF(AND(ISNUMBER(INDEX(rMed2,2897)),ISNUMBER(INDEX(rMed,2897))),INDEX(rMed,2897),NA()))</f>
        <v>#N/A</v>
      </c>
    </row>
    <row r="2900">
      <c r="BX2900" t="e">
        <f>IF(OR(cMed=0,cMed2=0,2898&gt;nFilas),NA(),IF(AND(ISNUMBER(INDEX(rMed2,2898)),ISNUMBER(INDEX(rMed,2898))),INDEX(rMed2,2898),NA()))</f>
        <v>#N/A</v>
      </c>
      <c r="BY2900" t="e">
        <f>IF(OR(cMed=0,cMed2=0,2898&gt;nFilas),NA(),IF(AND(ISNUMBER(INDEX(rMed2,2898)),ISNUMBER(INDEX(rMed,2898))),INDEX(rMed,2898),NA()))</f>
        <v>#N/A</v>
      </c>
    </row>
    <row r="2901">
      <c r="BX2901" t="e">
        <f>IF(OR(cMed=0,cMed2=0,2899&gt;nFilas),NA(),IF(AND(ISNUMBER(INDEX(rMed2,2899)),ISNUMBER(INDEX(rMed,2899))),INDEX(rMed2,2899),NA()))</f>
        <v>#N/A</v>
      </c>
      <c r="BY2901" t="e">
        <f>IF(OR(cMed=0,cMed2=0,2899&gt;nFilas),NA(),IF(AND(ISNUMBER(INDEX(rMed2,2899)),ISNUMBER(INDEX(rMed,2899))),INDEX(rMed,2899),NA()))</f>
        <v>#N/A</v>
      </c>
    </row>
    <row r="2902">
      <c r="BX2902" t="e">
        <f>IF(OR(cMed=0,cMed2=0,2900&gt;nFilas),NA(),IF(AND(ISNUMBER(INDEX(rMed2,2900)),ISNUMBER(INDEX(rMed,2900))),INDEX(rMed2,2900),NA()))</f>
        <v>#N/A</v>
      </c>
      <c r="BY2902" t="e">
        <f>IF(OR(cMed=0,cMed2=0,2900&gt;nFilas),NA(),IF(AND(ISNUMBER(INDEX(rMed2,2900)),ISNUMBER(INDEX(rMed,2900))),INDEX(rMed,2900),NA()))</f>
        <v>#N/A</v>
      </c>
    </row>
    <row r="2903">
      <c r="BX2903" t="e">
        <f>IF(OR(cMed=0,cMed2=0,2901&gt;nFilas),NA(),IF(AND(ISNUMBER(INDEX(rMed2,2901)),ISNUMBER(INDEX(rMed,2901))),INDEX(rMed2,2901),NA()))</f>
        <v>#N/A</v>
      </c>
      <c r="BY2903" t="e">
        <f>IF(OR(cMed=0,cMed2=0,2901&gt;nFilas),NA(),IF(AND(ISNUMBER(INDEX(rMed2,2901)),ISNUMBER(INDEX(rMed,2901))),INDEX(rMed,2901),NA()))</f>
        <v>#N/A</v>
      </c>
    </row>
    <row r="2904">
      <c r="BX2904" t="e">
        <f>IF(OR(cMed=0,cMed2=0,2902&gt;nFilas),NA(),IF(AND(ISNUMBER(INDEX(rMed2,2902)),ISNUMBER(INDEX(rMed,2902))),INDEX(rMed2,2902),NA()))</f>
        <v>#N/A</v>
      </c>
      <c r="BY2904" t="e">
        <f>IF(OR(cMed=0,cMed2=0,2902&gt;nFilas),NA(),IF(AND(ISNUMBER(INDEX(rMed2,2902)),ISNUMBER(INDEX(rMed,2902))),INDEX(rMed,2902),NA()))</f>
        <v>#N/A</v>
      </c>
    </row>
    <row r="2905">
      <c r="BX2905" t="e">
        <f>IF(OR(cMed=0,cMed2=0,2903&gt;nFilas),NA(),IF(AND(ISNUMBER(INDEX(rMed2,2903)),ISNUMBER(INDEX(rMed,2903))),INDEX(rMed2,2903),NA()))</f>
        <v>#N/A</v>
      </c>
      <c r="BY2905" t="e">
        <f>IF(OR(cMed=0,cMed2=0,2903&gt;nFilas),NA(),IF(AND(ISNUMBER(INDEX(rMed2,2903)),ISNUMBER(INDEX(rMed,2903))),INDEX(rMed,2903),NA()))</f>
        <v>#N/A</v>
      </c>
    </row>
    <row r="2906">
      <c r="BX2906" t="e">
        <f>IF(OR(cMed=0,cMed2=0,2904&gt;nFilas),NA(),IF(AND(ISNUMBER(INDEX(rMed2,2904)),ISNUMBER(INDEX(rMed,2904))),INDEX(rMed2,2904),NA()))</f>
        <v>#N/A</v>
      </c>
      <c r="BY2906" t="e">
        <f>IF(OR(cMed=0,cMed2=0,2904&gt;nFilas),NA(),IF(AND(ISNUMBER(INDEX(rMed2,2904)),ISNUMBER(INDEX(rMed,2904))),INDEX(rMed,2904),NA()))</f>
        <v>#N/A</v>
      </c>
    </row>
    <row r="2907">
      <c r="BX2907" t="e">
        <f>IF(OR(cMed=0,cMed2=0,2905&gt;nFilas),NA(),IF(AND(ISNUMBER(INDEX(rMed2,2905)),ISNUMBER(INDEX(rMed,2905))),INDEX(rMed2,2905),NA()))</f>
        <v>#N/A</v>
      </c>
      <c r="BY2907" t="e">
        <f>IF(OR(cMed=0,cMed2=0,2905&gt;nFilas),NA(),IF(AND(ISNUMBER(INDEX(rMed2,2905)),ISNUMBER(INDEX(rMed,2905))),INDEX(rMed,2905),NA()))</f>
        <v>#N/A</v>
      </c>
    </row>
    <row r="2908">
      <c r="BX2908" t="e">
        <f>IF(OR(cMed=0,cMed2=0,2906&gt;nFilas),NA(),IF(AND(ISNUMBER(INDEX(rMed2,2906)),ISNUMBER(INDEX(rMed,2906))),INDEX(rMed2,2906),NA()))</f>
        <v>#N/A</v>
      </c>
      <c r="BY2908" t="e">
        <f>IF(OR(cMed=0,cMed2=0,2906&gt;nFilas),NA(),IF(AND(ISNUMBER(INDEX(rMed2,2906)),ISNUMBER(INDEX(rMed,2906))),INDEX(rMed,2906),NA()))</f>
        <v>#N/A</v>
      </c>
    </row>
    <row r="2909">
      <c r="BX2909" t="e">
        <f>IF(OR(cMed=0,cMed2=0,2907&gt;nFilas),NA(),IF(AND(ISNUMBER(INDEX(rMed2,2907)),ISNUMBER(INDEX(rMed,2907))),INDEX(rMed2,2907),NA()))</f>
        <v>#N/A</v>
      </c>
      <c r="BY2909" t="e">
        <f>IF(OR(cMed=0,cMed2=0,2907&gt;nFilas),NA(),IF(AND(ISNUMBER(INDEX(rMed2,2907)),ISNUMBER(INDEX(rMed,2907))),INDEX(rMed,2907),NA()))</f>
        <v>#N/A</v>
      </c>
    </row>
    <row r="2910">
      <c r="BX2910" t="e">
        <f>IF(OR(cMed=0,cMed2=0,2908&gt;nFilas),NA(),IF(AND(ISNUMBER(INDEX(rMed2,2908)),ISNUMBER(INDEX(rMed,2908))),INDEX(rMed2,2908),NA()))</f>
        <v>#N/A</v>
      </c>
      <c r="BY2910" t="e">
        <f>IF(OR(cMed=0,cMed2=0,2908&gt;nFilas),NA(),IF(AND(ISNUMBER(INDEX(rMed2,2908)),ISNUMBER(INDEX(rMed,2908))),INDEX(rMed,2908),NA()))</f>
        <v>#N/A</v>
      </c>
    </row>
    <row r="2911">
      <c r="BX2911" t="e">
        <f>IF(OR(cMed=0,cMed2=0,2909&gt;nFilas),NA(),IF(AND(ISNUMBER(INDEX(rMed2,2909)),ISNUMBER(INDEX(rMed,2909))),INDEX(rMed2,2909),NA()))</f>
        <v>#N/A</v>
      </c>
      <c r="BY2911" t="e">
        <f>IF(OR(cMed=0,cMed2=0,2909&gt;nFilas),NA(),IF(AND(ISNUMBER(INDEX(rMed2,2909)),ISNUMBER(INDEX(rMed,2909))),INDEX(rMed,2909),NA()))</f>
        <v>#N/A</v>
      </c>
    </row>
    <row r="2912">
      <c r="BX2912" t="e">
        <f>IF(OR(cMed=0,cMed2=0,2910&gt;nFilas),NA(),IF(AND(ISNUMBER(INDEX(rMed2,2910)),ISNUMBER(INDEX(rMed,2910))),INDEX(rMed2,2910),NA()))</f>
        <v>#N/A</v>
      </c>
      <c r="BY2912" t="e">
        <f>IF(OR(cMed=0,cMed2=0,2910&gt;nFilas),NA(),IF(AND(ISNUMBER(INDEX(rMed2,2910)),ISNUMBER(INDEX(rMed,2910))),INDEX(rMed,2910),NA()))</f>
        <v>#N/A</v>
      </c>
    </row>
    <row r="2913">
      <c r="BX2913" t="e">
        <f>IF(OR(cMed=0,cMed2=0,2911&gt;nFilas),NA(),IF(AND(ISNUMBER(INDEX(rMed2,2911)),ISNUMBER(INDEX(rMed,2911))),INDEX(rMed2,2911),NA()))</f>
        <v>#N/A</v>
      </c>
      <c r="BY2913" t="e">
        <f>IF(OR(cMed=0,cMed2=0,2911&gt;nFilas),NA(),IF(AND(ISNUMBER(INDEX(rMed2,2911)),ISNUMBER(INDEX(rMed,2911))),INDEX(rMed,2911),NA()))</f>
        <v>#N/A</v>
      </c>
    </row>
    <row r="2914">
      <c r="BX2914" t="e">
        <f>IF(OR(cMed=0,cMed2=0,2912&gt;nFilas),NA(),IF(AND(ISNUMBER(INDEX(rMed2,2912)),ISNUMBER(INDEX(rMed,2912))),INDEX(rMed2,2912),NA()))</f>
        <v>#N/A</v>
      </c>
      <c r="BY2914" t="e">
        <f>IF(OR(cMed=0,cMed2=0,2912&gt;nFilas),NA(),IF(AND(ISNUMBER(INDEX(rMed2,2912)),ISNUMBER(INDEX(rMed,2912))),INDEX(rMed,2912),NA()))</f>
        <v>#N/A</v>
      </c>
    </row>
    <row r="2915">
      <c r="BX2915" t="e">
        <f>IF(OR(cMed=0,cMed2=0,2913&gt;nFilas),NA(),IF(AND(ISNUMBER(INDEX(rMed2,2913)),ISNUMBER(INDEX(rMed,2913))),INDEX(rMed2,2913),NA()))</f>
        <v>#N/A</v>
      </c>
      <c r="BY2915" t="e">
        <f>IF(OR(cMed=0,cMed2=0,2913&gt;nFilas),NA(),IF(AND(ISNUMBER(INDEX(rMed2,2913)),ISNUMBER(INDEX(rMed,2913))),INDEX(rMed,2913),NA()))</f>
        <v>#N/A</v>
      </c>
    </row>
    <row r="2916">
      <c r="BX2916" t="e">
        <f>IF(OR(cMed=0,cMed2=0,2914&gt;nFilas),NA(),IF(AND(ISNUMBER(INDEX(rMed2,2914)),ISNUMBER(INDEX(rMed,2914))),INDEX(rMed2,2914),NA()))</f>
        <v>#N/A</v>
      </c>
      <c r="BY2916" t="e">
        <f>IF(OR(cMed=0,cMed2=0,2914&gt;nFilas),NA(),IF(AND(ISNUMBER(INDEX(rMed2,2914)),ISNUMBER(INDEX(rMed,2914))),INDEX(rMed,2914),NA()))</f>
        <v>#N/A</v>
      </c>
    </row>
    <row r="2917">
      <c r="BX2917" t="e">
        <f>IF(OR(cMed=0,cMed2=0,2915&gt;nFilas),NA(),IF(AND(ISNUMBER(INDEX(rMed2,2915)),ISNUMBER(INDEX(rMed,2915))),INDEX(rMed2,2915),NA()))</f>
        <v>#N/A</v>
      </c>
      <c r="BY2917" t="e">
        <f>IF(OR(cMed=0,cMed2=0,2915&gt;nFilas),NA(),IF(AND(ISNUMBER(INDEX(rMed2,2915)),ISNUMBER(INDEX(rMed,2915))),INDEX(rMed,2915),NA()))</f>
        <v>#N/A</v>
      </c>
    </row>
    <row r="2918">
      <c r="BX2918" t="e">
        <f>IF(OR(cMed=0,cMed2=0,2916&gt;nFilas),NA(),IF(AND(ISNUMBER(INDEX(rMed2,2916)),ISNUMBER(INDEX(rMed,2916))),INDEX(rMed2,2916),NA()))</f>
        <v>#N/A</v>
      </c>
      <c r="BY2918" t="e">
        <f>IF(OR(cMed=0,cMed2=0,2916&gt;nFilas),NA(),IF(AND(ISNUMBER(INDEX(rMed2,2916)),ISNUMBER(INDEX(rMed,2916))),INDEX(rMed,2916),NA()))</f>
        <v>#N/A</v>
      </c>
    </row>
    <row r="2919">
      <c r="BX2919" t="e">
        <f>IF(OR(cMed=0,cMed2=0,2917&gt;nFilas),NA(),IF(AND(ISNUMBER(INDEX(rMed2,2917)),ISNUMBER(INDEX(rMed,2917))),INDEX(rMed2,2917),NA()))</f>
        <v>#N/A</v>
      </c>
      <c r="BY2919" t="e">
        <f>IF(OR(cMed=0,cMed2=0,2917&gt;nFilas),NA(),IF(AND(ISNUMBER(INDEX(rMed2,2917)),ISNUMBER(INDEX(rMed,2917))),INDEX(rMed,2917),NA()))</f>
        <v>#N/A</v>
      </c>
    </row>
    <row r="2920">
      <c r="BX2920" t="e">
        <f>IF(OR(cMed=0,cMed2=0,2918&gt;nFilas),NA(),IF(AND(ISNUMBER(INDEX(rMed2,2918)),ISNUMBER(INDEX(rMed,2918))),INDEX(rMed2,2918),NA()))</f>
        <v>#N/A</v>
      </c>
      <c r="BY2920" t="e">
        <f>IF(OR(cMed=0,cMed2=0,2918&gt;nFilas),NA(),IF(AND(ISNUMBER(INDEX(rMed2,2918)),ISNUMBER(INDEX(rMed,2918))),INDEX(rMed,2918),NA()))</f>
        <v>#N/A</v>
      </c>
    </row>
    <row r="2921">
      <c r="BX2921" t="e">
        <f>IF(OR(cMed=0,cMed2=0,2919&gt;nFilas),NA(),IF(AND(ISNUMBER(INDEX(rMed2,2919)),ISNUMBER(INDEX(rMed,2919))),INDEX(rMed2,2919),NA()))</f>
        <v>#N/A</v>
      </c>
      <c r="BY2921" t="e">
        <f>IF(OR(cMed=0,cMed2=0,2919&gt;nFilas),NA(),IF(AND(ISNUMBER(INDEX(rMed2,2919)),ISNUMBER(INDEX(rMed,2919))),INDEX(rMed,2919),NA()))</f>
        <v>#N/A</v>
      </c>
    </row>
    <row r="2922">
      <c r="BX2922" t="e">
        <f>IF(OR(cMed=0,cMed2=0,2920&gt;nFilas),NA(),IF(AND(ISNUMBER(INDEX(rMed2,2920)),ISNUMBER(INDEX(rMed,2920))),INDEX(rMed2,2920),NA()))</f>
        <v>#N/A</v>
      </c>
      <c r="BY2922" t="e">
        <f>IF(OR(cMed=0,cMed2=0,2920&gt;nFilas),NA(),IF(AND(ISNUMBER(INDEX(rMed2,2920)),ISNUMBER(INDEX(rMed,2920))),INDEX(rMed,2920),NA()))</f>
        <v>#N/A</v>
      </c>
    </row>
    <row r="2923">
      <c r="BX2923" t="e">
        <f>IF(OR(cMed=0,cMed2=0,2921&gt;nFilas),NA(),IF(AND(ISNUMBER(INDEX(rMed2,2921)),ISNUMBER(INDEX(rMed,2921))),INDEX(rMed2,2921),NA()))</f>
        <v>#N/A</v>
      </c>
      <c r="BY2923" t="e">
        <f>IF(OR(cMed=0,cMed2=0,2921&gt;nFilas),NA(),IF(AND(ISNUMBER(INDEX(rMed2,2921)),ISNUMBER(INDEX(rMed,2921))),INDEX(rMed,2921),NA()))</f>
        <v>#N/A</v>
      </c>
    </row>
    <row r="2924">
      <c r="BX2924" t="e">
        <f>IF(OR(cMed=0,cMed2=0,2922&gt;nFilas),NA(),IF(AND(ISNUMBER(INDEX(rMed2,2922)),ISNUMBER(INDEX(rMed,2922))),INDEX(rMed2,2922),NA()))</f>
        <v>#N/A</v>
      </c>
      <c r="BY2924" t="e">
        <f>IF(OR(cMed=0,cMed2=0,2922&gt;nFilas),NA(),IF(AND(ISNUMBER(INDEX(rMed2,2922)),ISNUMBER(INDEX(rMed,2922))),INDEX(rMed,2922),NA()))</f>
        <v>#N/A</v>
      </c>
    </row>
    <row r="2925">
      <c r="BX2925" t="e">
        <f>IF(OR(cMed=0,cMed2=0,2923&gt;nFilas),NA(),IF(AND(ISNUMBER(INDEX(rMed2,2923)),ISNUMBER(INDEX(rMed,2923))),INDEX(rMed2,2923),NA()))</f>
        <v>#N/A</v>
      </c>
      <c r="BY2925" t="e">
        <f>IF(OR(cMed=0,cMed2=0,2923&gt;nFilas),NA(),IF(AND(ISNUMBER(INDEX(rMed2,2923)),ISNUMBER(INDEX(rMed,2923))),INDEX(rMed,2923),NA()))</f>
        <v>#N/A</v>
      </c>
    </row>
    <row r="2926">
      <c r="BX2926" t="e">
        <f>IF(OR(cMed=0,cMed2=0,2924&gt;nFilas),NA(),IF(AND(ISNUMBER(INDEX(rMed2,2924)),ISNUMBER(INDEX(rMed,2924))),INDEX(rMed2,2924),NA()))</f>
        <v>#N/A</v>
      </c>
      <c r="BY2926" t="e">
        <f>IF(OR(cMed=0,cMed2=0,2924&gt;nFilas),NA(),IF(AND(ISNUMBER(INDEX(rMed2,2924)),ISNUMBER(INDEX(rMed,2924))),INDEX(rMed,2924),NA()))</f>
        <v>#N/A</v>
      </c>
    </row>
    <row r="2927">
      <c r="BX2927" t="e">
        <f>IF(OR(cMed=0,cMed2=0,2925&gt;nFilas),NA(),IF(AND(ISNUMBER(INDEX(rMed2,2925)),ISNUMBER(INDEX(rMed,2925))),INDEX(rMed2,2925),NA()))</f>
        <v>#N/A</v>
      </c>
      <c r="BY2927" t="e">
        <f>IF(OR(cMed=0,cMed2=0,2925&gt;nFilas),NA(),IF(AND(ISNUMBER(INDEX(rMed2,2925)),ISNUMBER(INDEX(rMed,2925))),INDEX(rMed,2925),NA()))</f>
        <v>#N/A</v>
      </c>
    </row>
    <row r="2928">
      <c r="BX2928" t="e">
        <f>IF(OR(cMed=0,cMed2=0,2926&gt;nFilas),NA(),IF(AND(ISNUMBER(INDEX(rMed2,2926)),ISNUMBER(INDEX(rMed,2926))),INDEX(rMed2,2926),NA()))</f>
        <v>#N/A</v>
      </c>
      <c r="BY2928" t="e">
        <f>IF(OR(cMed=0,cMed2=0,2926&gt;nFilas),NA(),IF(AND(ISNUMBER(INDEX(rMed2,2926)),ISNUMBER(INDEX(rMed,2926))),INDEX(rMed,2926),NA()))</f>
        <v>#N/A</v>
      </c>
    </row>
    <row r="2929">
      <c r="BX2929" t="e">
        <f>IF(OR(cMed=0,cMed2=0,2927&gt;nFilas),NA(),IF(AND(ISNUMBER(INDEX(rMed2,2927)),ISNUMBER(INDEX(rMed,2927))),INDEX(rMed2,2927),NA()))</f>
        <v>#N/A</v>
      </c>
      <c r="BY2929" t="e">
        <f>IF(OR(cMed=0,cMed2=0,2927&gt;nFilas),NA(),IF(AND(ISNUMBER(INDEX(rMed2,2927)),ISNUMBER(INDEX(rMed,2927))),INDEX(rMed,2927),NA()))</f>
        <v>#N/A</v>
      </c>
    </row>
    <row r="2930">
      <c r="BX2930" t="e">
        <f>IF(OR(cMed=0,cMed2=0,2928&gt;nFilas),NA(),IF(AND(ISNUMBER(INDEX(rMed2,2928)),ISNUMBER(INDEX(rMed,2928))),INDEX(rMed2,2928),NA()))</f>
        <v>#N/A</v>
      </c>
      <c r="BY2930" t="e">
        <f>IF(OR(cMed=0,cMed2=0,2928&gt;nFilas),NA(),IF(AND(ISNUMBER(INDEX(rMed2,2928)),ISNUMBER(INDEX(rMed,2928))),INDEX(rMed,2928),NA()))</f>
        <v>#N/A</v>
      </c>
    </row>
    <row r="2931">
      <c r="BX2931" t="e">
        <f>IF(OR(cMed=0,cMed2=0,2929&gt;nFilas),NA(),IF(AND(ISNUMBER(INDEX(rMed2,2929)),ISNUMBER(INDEX(rMed,2929))),INDEX(rMed2,2929),NA()))</f>
        <v>#N/A</v>
      </c>
      <c r="BY2931" t="e">
        <f>IF(OR(cMed=0,cMed2=0,2929&gt;nFilas),NA(),IF(AND(ISNUMBER(INDEX(rMed2,2929)),ISNUMBER(INDEX(rMed,2929))),INDEX(rMed,2929),NA()))</f>
        <v>#N/A</v>
      </c>
    </row>
    <row r="2932">
      <c r="BX2932" t="e">
        <f>IF(OR(cMed=0,cMed2=0,2930&gt;nFilas),NA(),IF(AND(ISNUMBER(INDEX(rMed2,2930)),ISNUMBER(INDEX(rMed,2930))),INDEX(rMed2,2930),NA()))</f>
        <v>#N/A</v>
      </c>
      <c r="BY2932" t="e">
        <f>IF(OR(cMed=0,cMed2=0,2930&gt;nFilas),NA(),IF(AND(ISNUMBER(INDEX(rMed2,2930)),ISNUMBER(INDEX(rMed,2930))),INDEX(rMed,2930),NA()))</f>
        <v>#N/A</v>
      </c>
    </row>
    <row r="2933">
      <c r="BX2933" t="e">
        <f>IF(OR(cMed=0,cMed2=0,2931&gt;nFilas),NA(),IF(AND(ISNUMBER(INDEX(rMed2,2931)),ISNUMBER(INDEX(rMed,2931))),INDEX(rMed2,2931),NA()))</f>
        <v>#N/A</v>
      </c>
      <c r="BY2933" t="e">
        <f>IF(OR(cMed=0,cMed2=0,2931&gt;nFilas),NA(),IF(AND(ISNUMBER(INDEX(rMed2,2931)),ISNUMBER(INDEX(rMed,2931))),INDEX(rMed,2931),NA()))</f>
        <v>#N/A</v>
      </c>
    </row>
    <row r="2934">
      <c r="BX2934" t="e">
        <f>IF(OR(cMed=0,cMed2=0,2932&gt;nFilas),NA(),IF(AND(ISNUMBER(INDEX(rMed2,2932)),ISNUMBER(INDEX(rMed,2932))),INDEX(rMed2,2932),NA()))</f>
        <v>#N/A</v>
      </c>
      <c r="BY2934" t="e">
        <f>IF(OR(cMed=0,cMed2=0,2932&gt;nFilas),NA(),IF(AND(ISNUMBER(INDEX(rMed2,2932)),ISNUMBER(INDEX(rMed,2932))),INDEX(rMed,2932),NA()))</f>
        <v>#N/A</v>
      </c>
    </row>
    <row r="2935">
      <c r="BX2935" t="e">
        <f>IF(OR(cMed=0,cMed2=0,2933&gt;nFilas),NA(),IF(AND(ISNUMBER(INDEX(rMed2,2933)),ISNUMBER(INDEX(rMed,2933))),INDEX(rMed2,2933),NA()))</f>
        <v>#N/A</v>
      </c>
      <c r="BY2935" t="e">
        <f>IF(OR(cMed=0,cMed2=0,2933&gt;nFilas),NA(),IF(AND(ISNUMBER(INDEX(rMed2,2933)),ISNUMBER(INDEX(rMed,2933))),INDEX(rMed,2933),NA()))</f>
        <v>#N/A</v>
      </c>
    </row>
    <row r="2936">
      <c r="BX2936" t="e">
        <f>IF(OR(cMed=0,cMed2=0,2934&gt;nFilas),NA(),IF(AND(ISNUMBER(INDEX(rMed2,2934)),ISNUMBER(INDEX(rMed,2934))),INDEX(rMed2,2934),NA()))</f>
        <v>#N/A</v>
      </c>
      <c r="BY2936" t="e">
        <f>IF(OR(cMed=0,cMed2=0,2934&gt;nFilas),NA(),IF(AND(ISNUMBER(INDEX(rMed2,2934)),ISNUMBER(INDEX(rMed,2934))),INDEX(rMed,2934),NA()))</f>
        <v>#N/A</v>
      </c>
    </row>
    <row r="2937">
      <c r="BX2937" t="e">
        <f>IF(OR(cMed=0,cMed2=0,2935&gt;nFilas),NA(),IF(AND(ISNUMBER(INDEX(rMed2,2935)),ISNUMBER(INDEX(rMed,2935))),INDEX(rMed2,2935),NA()))</f>
        <v>#N/A</v>
      </c>
      <c r="BY2937" t="e">
        <f>IF(OR(cMed=0,cMed2=0,2935&gt;nFilas),NA(),IF(AND(ISNUMBER(INDEX(rMed2,2935)),ISNUMBER(INDEX(rMed,2935))),INDEX(rMed,2935),NA()))</f>
        <v>#N/A</v>
      </c>
    </row>
    <row r="2938">
      <c r="BX2938" t="e">
        <f>IF(OR(cMed=0,cMed2=0,2936&gt;nFilas),NA(),IF(AND(ISNUMBER(INDEX(rMed2,2936)),ISNUMBER(INDEX(rMed,2936))),INDEX(rMed2,2936),NA()))</f>
        <v>#N/A</v>
      </c>
      <c r="BY2938" t="e">
        <f>IF(OR(cMed=0,cMed2=0,2936&gt;nFilas),NA(),IF(AND(ISNUMBER(INDEX(rMed2,2936)),ISNUMBER(INDEX(rMed,2936))),INDEX(rMed,2936),NA()))</f>
        <v>#N/A</v>
      </c>
    </row>
    <row r="2939">
      <c r="BX2939" t="e">
        <f>IF(OR(cMed=0,cMed2=0,2937&gt;nFilas),NA(),IF(AND(ISNUMBER(INDEX(rMed2,2937)),ISNUMBER(INDEX(rMed,2937))),INDEX(rMed2,2937),NA()))</f>
        <v>#N/A</v>
      </c>
      <c r="BY2939" t="e">
        <f>IF(OR(cMed=0,cMed2=0,2937&gt;nFilas),NA(),IF(AND(ISNUMBER(INDEX(rMed2,2937)),ISNUMBER(INDEX(rMed,2937))),INDEX(rMed,2937),NA()))</f>
        <v>#N/A</v>
      </c>
    </row>
    <row r="2940">
      <c r="BX2940" t="e">
        <f>IF(OR(cMed=0,cMed2=0,2938&gt;nFilas),NA(),IF(AND(ISNUMBER(INDEX(rMed2,2938)),ISNUMBER(INDEX(rMed,2938))),INDEX(rMed2,2938),NA()))</f>
        <v>#N/A</v>
      </c>
      <c r="BY2940" t="e">
        <f>IF(OR(cMed=0,cMed2=0,2938&gt;nFilas),NA(),IF(AND(ISNUMBER(INDEX(rMed2,2938)),ISNUMBER(INDEX(rMed,2938))),INDEX(rMed,2938),NA()))</f>
        <v>#N/A</v>
      </c>
    </row>
    <row r="2941">
      <c r="BX2941" t="e">
        <f>IF(OR(cMed=0,cMed2=0,2939&gt;nFilas),NA(),IF(AND(ISNUMBER(INDEX(rMed2,2939)),ISNUMBER(INDEX(rMed,2939))),INDEX(rMed2,2939),NA()))</f>
        <v>#N/A</v>
      </c>
      <c r="BY2941" t="e">
        <f>IF(OR(cMed=0,cMed2=0,2939&gt;nFilas),NA(),IF(AND(ISNUMBER(INDEX(rMed2,2939)),ISNUMBER(INDEX(rMed,2939))),INDEX(rMed,2939),NA()))</f>
        <v>#N/A</v>
      </c>
    </row>
    <row r="2942">
      <c r="BX2942" t="e">
        <f>IF(OR(cMed=0,cMed2=0,2940&gt;nFilas),NA(),IF(AND(ISNUMBER(INDEX(rMed2,2940)),ISNUMBER(INDEX(rMed,2940))),INDEX(rMed2,2940),NA()))</f>
        <v>#N/A</v>
      </c>
      <c r="BY2942" t="e">
        <f>IF(OR(cMed=0,cMed2=0,2940&gt;nFilas),NA(),IF(AND(ISNUMBER(INDEX(rMed2,2940)),ISNUMBER(INDEX(rMed,2940))),INDEX(rMed,2940),NA()))</f>
        <v>#N/A</v>
      </c>
    </row>
    <row r="2943">
      <c r="BX2943" t="e">
        <f>IF(OR(cMed=0,cMed2=0,2941&gt;nFilas),NA(),IF(AND(ISNUMBER(INDEX(rMed2,2941)),ISNUMBER(INDEX(rMed,2941))),INDEX(rMed2,2941),NA()))</f>
        <v>#N/A</v>
      </c>
      <c r="BY2943" t="e">
        <f>IF(OR(cMed=0,cMed2=0,2941&gt;nFilas),NA(),IF(AND(ISNUMBER(INDEX(rMed2,2941)),ISNUMBER(INDEX(rMed,2941))),INDEX(rMed,2941),NA()))</f>
        <v>#N/A</v>
      </c>
    </row>
    <row r="2944">
      <c r="BX2944" t="e">
        <f>IF(OR(cMed=0,cMed2=0,2942&gt;nFilas),NA(),IF(AND(ISNUMBER(INDEX(rMed2,2942)),ISNUMBER(INDEX(rMed,2942))),INDEX(rMed2,2942),NA()))</f>
        <v>#N/A</v>
      </c>
      <c r="BY2944" t="e">
        <f>IF(OR(cMed=0,cMed2=0,2942&gt;nFilas),NA(),IF(AND(ISNUMBER(INDEX(rMed2,2942)),ISNUMBER(INDEX(rMed,2942))),INDEX(rMed,2942),NA()))</f>
        <v>#N/A</v>
      </c>
    </row>
    <row r="2945">
      <c r="BX2945" t="e">
        <f>IF(OR(cMed=0,cMed2=0,2943&gt;nFilas),NA(),IF(AND(ISNUMBER(INDEX(rMed2,2943)),ISNUMBER(INDEX(rMed,2943))),INDEX(rMed2,2943),NA()))</f>
        <v>#N/A</v>
      </c>
      <c r="BY2945" t="e">
        <f>IF(OR(cMed=0,cMed2=0,2943&gt;nFilas),NA(),IF(AND(ISNUMBER(INDEX(rMed2,2943)),ISNUMBER(INDEX(rMed,2943))),INDEX(rMed,2943),NA()))</f>
        <v>#N/A</v>
      </c>
    </row>
    <row r="2946">
      <c r="BX2946" t="e">
        <f>IF(OR(cMed=0,cMed2=0,2944&gt;nFilas),NA(),IF(AND(ISNUMBER(INDEX(rMed2,2944)),ISNUMBER(INDEX(rMed,2944))),INDEX(rMed2,2944),NA()))</f>
        <v>#N/A</v>
      </c>
      <c r="BY2946" t="e">
        <f>IF(OR(cMed=0,cMed2=0,2944&gt;nFilas),NA(),IF(AND(ISNUMBER(INDEX(rMed2,2944)),ISNUMBER(INDEX(rMed,2944))),INDEX(rMed,2944),NA()))</f>
        <v>#N/A</v>
      </c>
    </row>
    <row r="2947">
      <c r="BX2947" t="e">
        <f>IF(OR(cMed=0,cMed2=0,2945&gt;nFilas),NA(),IF(AND(ISNUMBER(INDEX(rMed2,2945)),ISNUMBER(INDEX(rMed,2945))),INDEX(rMed2,2945),NA()))</f>
        <v>#N/A</v>
      </c>
      <c r="BY2947" t="e">
        <f>IF(OR(cMed=0,cMed2=0,2945&gt;nFilas),NA(),IF(AND(ISNUMBER(INDEX(rMed2,2945)),ISNUMBER(INDEX(rMed,2945))),INDEX(rMed,2945),NA()))</f>
        <v>#N/A</v>
      </c>
    </row>
    <row r="2948">
      <c r="BX2948" t="e">
        <f>IF(OR(cMed=0,cMed2=0,2946&gt;nFilas),NA(),IF(AND(ISNUMBER(INDEX(rMed2,2946)),ISNUMBER(INDEX(rMed,2946))),INDEX(rMed2,2946),NA()))</f>
        <v>#N/A</v>
      </c>
      <c r="BY2948" t="e">
        <f>IF(OR(cMed=0,cMed2=0,2946&gt;nFilas),NA(),IF(AND(ISNUMBER(INDEX(rMed2,2946)),ISNUMBER(INDEX(rMed,2946))),INDEX(rMed,2946),NA()))</f>
        <v>#N/A</v>
      </c>
    </row>
    <row r="2949">
      <c r="BX2949" t="e">
        <f>IF(OR(cMed=0,cMed2=0,2947&gt;nFilas),NA(),IF(AND(ISNUMBER(INDEX(rMed2,2947)),ISNUMBER(INDEX(rMed,2947))),INDEX(rMed2,2947),NA()))</f>
        <v>#N/A</v>
      </c>
      <c r="BY2949" t="e">
        <f>IF(OR(cMed=0,cMed2=0,2947&gt;nFilas),NA(),IF(AND(ISNUMBER(INDEX(rMed2,2947)),ISNUMBER(INDEX(rMed,2947))),INDEX(rMed,2947),NA()))</f>
        <v>#N/A</v>
      </c>
    </row>
    <row r="2950">
      <c r="BX2950" t="e">
        <f>IF(OR(cMed=0,cMed2=0,2948&gt;nFilas),NA(),IF(AND(ISNUMBER(INDEX(rMed2,2948)),ISNUMBER(INDEX(rMed,2948))),INDEX(rMed2,2948),NA()))</f>
        <v>#N/A</v>
      </c>
      <c r="BY2950" t="e">
        <f>IF(OR(cMed=0,cMed2=0,2948&gt;nFilas),NA(),IF(AND(ISNUMBER(INDEX(rMed2,2948)),ISNUMBER(INDEX(rMed,2948))),INDEX(rMed,2948),NA()))</f>
        <v>#N/A</v>
      </c>
    </row>
    <row r="2951">
      <c r="BX2951" t="e">
        <f>IF(OR(cMed=0,cMed2=0,2949&gt;nFilas),NA(),IF(AND(ISNUMBER(INDEX(rMed2,2949)),ISNUMBER(INDEX(rMed,2949))),INDEX(rMed2,2949),NA()))</f>
        <v>#N/A</v>
      </c>
      <c r="BY2951" t="e">
        <f>IF(OR(cMed=0,cMed2=0,2949&gt;nFilas),NA(),IF(AND(ISNUMBER(INDEX(rMed2,2949)),ISNUMBER(INDEX(rMed,2949))),INDEX(rMed,2949),NA()))</f>
        <v>#N/A</v>
      </c>
    </row>
    <row r="2952">
      <c r="BX2952" t="e">
        <f>IF(OR(cMed=0,cMed2=0,2950&gt;nFilas),NA(),IF(AND(ISNUMBER(INDEX(rMed2,2950)),ISNUMBER(INDEX(rMed,2950))),INDEX(rMed2,2950),NA()))</f>
        <v>#N/A</v>
      </c>
      <c r="BY2952" t="e">
        <f>IF(OR(cMed=0,cMed2=0,2950&gt;nFilas),NA(),IF(AND(ISNUMBER(INDEX(rMed2,2950)),ISNUMBER(INDEX(rMed,2950))),INDEX(rMed,2950),NA()))</f>
        <v>#N/A</v>
      </c>
    </row>
    <row r="2953">
      <c r="BX2953" t="e">
        <f>IF(OR(cMed=0,cMed2=0,2951&gt;nFilas),NA(),IF(AND(ISNUMBER(INDEX(rMed2,2951)),ISNUMBER(INDEX(rMed,2951))),INDEX(rMed2,2951),NA()))</f>
        <v>#N/A</v>
      </c>
      <c r="BY2953" t="e">
        <f>IF(OR(cMed=0,cMed2=0,2951&gt;nFilas),NA(),IF(AND(ISNUMBER(INDEX(rMed2,2951)),ISNUMBER(INDEX(rMed,2951))),INDEX(rMed,2951),NA()))</f>
        <v>#N/A</v>
      </c>
    </row>
    <row r="2954">
      <c r="BX2954" t="e">
        <f>IF(OR(cMed=0,cMed2=0,2952&gt;nFilas),NA(),IF(AND(ISNUMBER(INDEX(rMed2,2952)),ISNUMBER(INDEX(rMed,2952))),INDEX(rMed2,2952),NA()))</f>
        <v>#N/A</v>
      </c>
      <c r="BY2954" t="e">
        <f>IF(OR(cMed=0,cMed2=0,2952&gt;nFilas),NA(),IF(AND(ISNUMBER(INDEX(rMed2,2952)),ISNUMBER(INDEX(rMed,2952))),INDEX(rMed,2952),NA()))</f>
        <v>#N/A</v>
      </c>
    </row>
    <row r="2955">
      <c r="BX2955" t="e">
        <f>IF(OR(cMed=0,cMed2=0,2953&gt;nFilas),NA(),IF(AND(ISNUMBER(INDEX(rMed2,2953)),ISNUMBER(INDEX(rMed,2953))),INDEX(rMed2,2953),NA()))</f>
        <v>#N/A</v>
      </c>
      <c r="BY2955" t="e">
        <f>IF(OR(cMed=0,cMed2=0,2953&gt;nFilas),NA(),IF(AND(ISNUMBER(INDEX(rMed2,2953)),ISNUMBER(INDEX(rMed,2953))),INDEX(rMed,2953),NA()))</f>
        <v>#N/A</v>
      </c>
    </row>
    <row r="2956">
      <c r="BX2956" t="e">
        <f>IF(OR(cMed=0,cMed2=0,2954&gt;nFilas),NA(),IF(AND(ISNUMBER(INDEX(rMed2,2954)),ISNUMBER(INDEX(rMed,2954))),INDEX(rMed2,2954),NA()))</f>
        <v>#N/A</v>
      </c>
      <c r="BY2956" t="e">
        <f>IF(OR(cMed=0,cMed2=0,2954&gt;nFilas),NA(),IF(AND(ISNUMBER(INDEX(rMed2,2954)),ISNUMBER(INDEX(rMed,2954))),INDEX(rMed,2954),NA()))</f>
        <v>#N/A</v>
      </c>
    </row>
    <row r="2957">
      <c r="BX2957" t="e">
        <f>IF(OR(cMed=0,cMed2=0,2955&gt;nFilas),NA(),IF(AND(ISNUMBER(INDEX(rMed2,2955)),ISNUMBER(INDEX(rMed,2955))),INDEX(rMed2,2955),NA()))</f>
        <v>#N/A</v>
      </c>
      <c r="BY2957" t="e">
        <f>IF(OR(cMed=0,cMed2=0,2955&gt;nFilas),NA(),IF(AND(ISNUMBER(INDEX(rMed2,2955)),ISNUMBER(INDEX(rMed,2955))),INDEX(rMed,2955),NA()))</f>
        <v>#N/A</v>
      </c>
    </row>
    <row r="2958">
      <c r="BX2958" t="e">
        <f>IF(OR(cMed=0,cMed2=0,2956&gt;nFilas),NA(),IF(AND(ISNUMBER(INDEX(rMed2,2956)),ISNUMBER(INDEX(rMed,2956))),INDEX(rMed2,2956),NA()))</f>
        <v>#N/A</v>
      </c>
      <c r="BY2958" t="e">
        <f>IF(OR(cMed=0,cMed2=0,2956&gt;nFilas),NA(),IF(AND(ISNUMBER(INDEX(rMed2,2956)),ISNUMBER(INDEX(rMed,2956))),INDEX(rMed,2956),NA()))</f>
        <v>#N/A</v>
      </c>
    </row>
    <row r="2959">
      <c r="BX2959" t="e">
        <f>IF(OR(cMed=0,cMed2=0,2957&gt;nFilas),NA(),IF(AND(ISNUMBER(INDEX(rMed2,2957)),ISNUMBER(INDEX(rMed,2957))),INDEX(rMed2,2957),NA()))</f>
        <v>#N/A</v>
      </c>
      <c r="BY2959" t="e">
        <f>IF(OR(cMed=0,cMed2=0,2957&gt;nFilas),NA(),IF(AND(ISNUMBER(INDEX(rMed2,2957)),ISNUMBER(INDEX(rMed,2957))),INDEX(rMed,2957),NA()))</f>
        <v>#N/A</v>
      </c>
    </row>
    <row r="2960">
      <c r="BX2960" t="e">
        <f>IF(OR(cMed=0,cMed2=0,2958&gt;nFilas),NA(),IF(AND(ISNUMBER(INDEX(rMed2,2958)),ISNUMBER(INDEX(rMed,2958))),INDEX(rMed2,2958),NA()))</f>
        <v>#N/A</v>
      </c>
      <c r="BY2960" t="e">
        <f>IF(OR(cMed=0,cMed2=0,2958&gt;nFilas),NA(),IF(AND(ISNUMBER(INDEX(rMed2,2958)),ISNUMBER(INDEX(rMed,2958))),INDEX(rMed,2958),NA()))</f>
        <v>#N/A</v>
      </c>
    </row>
    <row r="2961">
      <c r="BX2961" t="e">
        <f>IF(OR(cMed=0,cMed2=0,2959&gt;nFilas),NA(),IF(AND(ISNUMBER(INDEX(rMed2,2959)),ISNUMBER(INDEX(rMed,2959))),INDEX(rMed2,2959),NA()))</f>
        <v>#N/A</v>
      </c>
      <c r="BY2961" t="e">
        <f>IF(OR(cMed=0,cMed2=0,2959&gt;nFilas),NA(),IF(AND(ISNUMBER(INDEX(rMed2,2959)),ISNUMBER(INDEX(rMed,2959))),INDEX(rMed,2959),NA()))</f>
        <v>#N/A</v>
      </c>
    </row>
    <row r="2962">
      <c r="BX2962" t="e">
        <f>IF(OR(cMed=0,cMed2=0,2960&gt;nFilas),NA(),IF(AND(ISNUMBER(INDEX(rMed2,2960)),ISNUMBER(INDEX(rMed,2960))),INDEX(rMed2,2960),NA()))</f>
        <v>#N/A</v>
      </c>
      <c r="BY2962" t="e">
        <f>IF(OR(cMed=0,cMed2=0,2960&gt;nFilas),NA(),IF(AND(ISNUMBER(INDEX(rMed2,2960)),ISNUMBER(INDEX(rMed,2960))),INDEX(rMed,2960),NA()))</f>
        <v>#N/A</v>
      </c>
    </row>
    <row r="2963">
      <c r="BX2963" t="e">
        <f>IF(OR(cMed=0,cMed2=0,2961&gt;nFilas),NA(),IF(AND(ISNUMBER(INDEX(rMed2,2961)),ISNUMBER(INDEX(rMed,2961))),INDEX(rMed2,2961),NA()))</f>
        <v>#N/A</v>
      </c>
      <c r="BY2963" t="e">
        <f>IF(OR(cMed=0,cMed2=0,2961&gt;nFilas),NA(),IF(AND(ISNUMBER(INDEX(rMed2,2961)),ISNUMBER(INDEX(rMed,2961))),INDEX(rMed,2961),NA()))</f>
        <v>#N/A</v>
      </c>
    </row>
    <row r="2964">
      <c r="BX2964" t="e">
        <f>IF(OR(cMed=0,cMed2=0,2962&gt;nFilas),NA(),IF(AND(ISNUMBER(INDEX(rMed2,2962)),ISNUMBER(INDEX(rMed,2962))),INDEX(rMed2,2962),NA()))</f>
        <v>#N/A</v>
      </c>
      <c r="BY2964" t="e">
        <f>IF(OR(cMed=0,cMed2=0,2962&gt;nFilas),NA(),IF(AND(ISNUMBER(INDEX(rMed2,2962)),ISNUMBER(INDEX(rMed,2962))),INDEX(rMed,2962),NA()))</f>
        <v>#N/A</v>
      </c>
    </row>
    <row r="2965">
      <c r="BX2965" t="e">
        <f>IF(OR(cMed=0,cMed2=0,2963&gt;nFilas),NA(),IF(AND(ISNUMBER(INDEX(rMed2,2963)),ISNUMBER(INDEX(rMed,2963))),INDEX(rMed2,2963),NA()))</f>
        <v>#N/A</v>
      </c>
      <c r="BY2965" t="e">
        <f>IF(OR(cMed=0,cMed2=0,2963&gt;nFilas),NA(),IF(AND(ISNUMBER(INDEX(rMed2,2963)),ISNUMBER(INDEX(rMed,2963))),INDEX(rMed,2963),NA()))</f>
        <v>#N/A</v>
      </c>
    </row>
    <row r="2966">
      <c r="BX2966" t="e">
        <f>IF(OR(cMed=0,cMed2=0,2964&gt;nFilas),NA(),IF(AND(ISNUMBER(INDEX(rMed2,2964)),ISNUMBER(INDEX(rMed,2964))),INDEX(rMed2,2964),NA()))</f>
        <v>#N/A</v>
      </c>
      <c r="BY2966" t="e">
        <f>IF(OR(cMed=0,cMed2=0,2964&gt;nFilas),NA(),IF(AND(ISNUMBER(INDEX(rMed2,2964)),ISNUMBER(INDEX(rMed,2964))),INDEX(rMed,2964),NA()))</f>
        <v>#N/A</v>
      </c>
    </row>
    <row r="2967">
      <c r="BX2967" t="e">
        <f>IF(OR(cMed=0,cMed2=0,2965&gt;nFilas),NA(),IF(AND(ISNUMBER(INDEX(rMed2,2965)),ISNUMBER(INDEX(rMed,2965))),INDEX(rMed2,2965),NA()))</f>
        <v>#N/A</v>
      </c>
      <c r="BY2967" t="e">
        <f>IF(OR(cMed=0,cMed2=0,2965&gt;nFilas),NA(),IF(AND(ISNUMBER(INDEX(rMed2,2965)),ISNUMBER(INDEX(rMed,2965))),INDEX(rMed,2965),NA()))</f>
        <v>#N/A</v>
      </c>
    </row>
    <row r="2968">
      <c r="BX2968" t="e">
        <f>IF(OR(cMed=0,cMed2=0,2966&gt;nFilas),NA(),IF(AND(ISNUMBER(INDEX(rMed2,2966)),ISNUMBER(INDEX(rMed,2966))),INDEX(rMed2,2966),NA()))</f>
        <v>#N/A</v>
      </c>
      <c r="BY2968" t="e">
        <f>IF(OR(cMed=0,cMed2=0,2966&gt;nFilas),NA(),IF(AND(ISNUMBER(INDEX(rMed2,2966)),ISNUMBER(INDEX(rMed,2966))),INDEX(rMed,2966),NA()))</f>
        <v>#N/A</v>
      </c>
    </row>
    <row r="2969">
      <c r="BX2969" t="e">
        <f>IF(OR(cMed=0,cMed2=0,2967&gt;nFilas),NA(),IF(AND(ISNUMBER(INDEX(rMed2,2967)),ISNUMBER(INDEX(rMed,2967))),INDEX(rMed2,2967),NA()))</f>
        <v>#N/A</v>
      </c>
      <c r="BY2969" t="e">
        <f>IF(OR(cMed=0,cMed2=0,2967&gt;nFilas),NA(),IF(AND(ISNUMBER(INDEX(rMed2,2967)),ISNUMBER(INDEX(rMed,2967))),INDEX(rMed,2967),NA()))</f>
        <v>#N/A</v>
      </c>
    </row>
    <row r="2970">
      <c r="BX2970" t="e">
        <f>IF(OR(cMed=0,cMed2=0,2968&gt;nFilas),NA(),IF(AND(ISNUMBER(INDEX(rMed2,2968)),ISNUMBER(INDEX(rMed,2968))),INDEX(rMed2,2968),NA()))</f>
        <v>#N/A</v>
      </c>
      <c r="BY2970" t="e">
        <f>IF(OR(cMed=0,cMed2=0,2968&gt;nFilas),NA(),IF(AND(ISNUMBER(INDEX(rMed2,2968)),ISNUMBER(INDEX(rMed,2968))),INDEX(rMed,2968),NA()))</f>
        <v>#N/A</v>
      </c>
    </row>
    <row r="2971">
      <c r="BX2971" t="e">
        <f>IF(OR(cMed=0,cMed2=0,2969&gt;nFilas),NA(),IF(AND(ISNUMBER(INDEX(rMed2,2969)),ISNUMBER(INDEX(rMed,2969))),INDEX(rMed2,2969),NA()))</f>
        <v>#N/A</v>
      </c>
      <c r="BY2971" t="e">
        <f>IF(OR(cMed=0,cMed2=0,2969&gt;nFilas),NA(),IF(AND(ISNUMBER(INDEX(rMed2,2969)),ISNUMBER(INDEX(rMed,2969))),INDEX(rMed,2969),NA()))</f>
        <v>#N/A</v>
      </c>
    </row>
    <row r="2972">
      <c r="BX2972" t="e">
        <f>IF(OR(cMed=0,cMed2=0,2970&gt;nFilas),NA(),IF(AND(ISNUMBER(INDEX(rMed2,2970)),ISNUMBER(INDEX(rMed,2970))),INDEX(rMed2,2970),NA()))</f>
        <v>#N/A</v>
      </c>
      <c r="BY2972" t="e">
        <f>IF(OR(cMed=0,cMed2=0,2970&gt;nFilas),NA(),IF(AND(ISNUMBER(INDEX(rMed2,2970)),ISNUMBER(INDEX(rMed,2970))),INDEX(rMed,2970),NA()))</f>
        <v>#N/A</v>
      </c>
    </row>
    <row r="2973">
      <c r="BX2973" t="e">
        <f>IF(OR(cMed=0,cMed2=0,2971&gt;nFilas),NA(),IF(AND(ISNUMBER(INDEX(rMed2,2971)),ISNUMBER(INDEX(rMed,2971))),INDEX(rMed2,2971),NA()))</f>
        <v>#N/A</v>
      </c>
      <c r="BY2973" t="e">
        <f>IF(OR(cMed=0,cMed2=0,2971&gt;nFilas),NA(),IF(AND(ISNUMBER(INDEX(rMed2,2971)),ISNUMBER(INDEX(rMed,2971))),INDEX(rMed,2971),NA()))</f>
        <v>#N/A</v>
      </c>
    </row>
    <row r="2974">
      <c r="BX2974" t="e">
        <f>IF(OR(cMed=0,cMed2=0,2972&gt;nFilas),NA(),IF(AND(ISNUMBER(INDEX(rMed2,2972)),ISNUMBER(INDEX(rMed,2972))),INDEX(rMed2,2972),NA()))</f>
        <v>#N/A</v>
      </c>
      <c r="BY2974" t="e">
        <f>IF(OR(cMed=0,cMed2=0,2972&gt;nFilas),NA(),IF(AND(ISNUMBER(INDEX(rMed2,2972)),ISNUMBER(INDEX(rMed,2972))),INDEX(rMed,2972),NA()))</f>
        <v>#N/A</v>
      </c>
    </row>
    <row r="2975">
      <c r="BX2975" t="e">
        <f>IF(OR(cMed=0,cMed2=0,2973&gt;nFilas),NA(),IF(AND(ISNUMBER(INDEX(rMed2,2973)),ISNUMBER(INDEX(rMed,2973))),INDEX(rMed2,2973),NA()))</f>
        <v>#N/A</v>
      </c>
      <c r="BY2975" t="e">
        <f>IF(OR(cMed=0,cMed2=0,2973&gt;nFilas),NA(),IF(AND(ISNUMBER(INDEX(rMed2,2973)),ISNUMBER(INDEX(rMed,2973))),INDEX(rMed,2973),NA()))</f>
        <v>#N/A</v>
      </c>
    </row>
    <row r="2976">
      <c r="BX2976" t="e">
        <f>IF(OR(cMed=0,cMed2=0,2974&gt;nFilas),NA(),IF(AND(ISNUMBER(INDEX(rMed2,2974)),ISNUMBER(INDEX(rMed,2974))),INDEX(rMed2,2974),NA()))</f>
        <v>#N/A</v>
      </c>
      <c r="BY2976" t="e">
        <f>IF(OR(cMed=0,cMed2=0,2974&gt;nFilas),NA(),IF(AND(ISNUMBER(INDEX(rMed2,2974)),ISNUMBER(INDEX(rMed,2974))),INDEX(rMed,2974),NA()))</f>
        <v>#N/A</v>
      </c>
    </row>
    <row r="2977">
      <c r="BX2977" t="e">
        <f>IF(OR(cMed=0,cMed2=0,2975&gt;nFilas),NA(),IF(AND(ISNUMBER(INDEX(rMed2,2975)),ISNUMBER(INDEX(rMed,2975))),INDEX(rMed2,2975),NA()))</f>
        <v>#N/A</v>
      </c>
      <c r="BY2977" t="e">
        <f>IF(OR(cMed=0,cMed2=0,2975&gt;nFilas),NA(),IF(AND(ISNUMBER(INDEX(rMed2,2975)),ISNUMBER(INDEX(rMed,2975))),INDEX(rMed,2975),NA()))</f>
        <v>#N/A</v>
      </c>
    </row>
    <row r="2978">
      <c r="BX2978" t="e">
        <f>IF(OR(cMed=0,cMed2=0,2976&gt;nFilas),NA(),IF(AND(ISNUMBER(INDEX(rMed2,2976)),ISNUMBER(INDEX(rMed,2976))),INDEX(rMed2,2976),NA()))</f>
        <v>#N/A</v>
      </c>
      <c r="BY2978" t="e">
        <f>IF(OR(cMed=0,cMed2=0,2976&gt;nFilas),NA(),IF(AND(ISNUMBER(INDEX(rMed2,2976)),ISNUMBER(INDEX(rMed,2976))),INDEX(rMed,2976),NA()))</f>
        <v>#N/A</v>
      </c>
    </row>
    <row r="2979">
      <c r="BX2979" t="e">
        <f>IF(OR(cMed=0,cMed2=0,2977&gt;nFilas),NA(),IF(AND(ISNUMBER(INDEX(rMed2,2977)),ISNUMBER(INDEX(rMed,2977))),INDEX(rMed2,2977),NA()))</f>
        <v>#N/A</v>
      </c>
      <c r="BY2979" t="e">
        <f>IF(OR(cMed=0,cMed2=0,2977&gt;nFilas),NA(),IF(AND(ISNUMBER(INDEX(rMed2,2977)),ISNUMBER(INDEX(rMed,2977))),INDEX(rMed,2977),NA()))</f>
        <v>#N/A</v>
      </c>
    </row>
    <row r="2980">
      <c r="BX2980" t="e">
        <f>IF(OR(cMed=0,cMed2=0,2978&gt;nFilas),NA(),IF(AND(ISNUMBER(INDEX(rMed2,2978)),ISNUMBER(INDEX(rMed,2978))),INDEX(rMed2,2978),NA()))</f>
        <v>#N/A</v>
      </c>
      <c r="BY2980" t="e">
        <f>IF(OR(cMed=0,cMed2=0,2978&gt;nFilas),NA(),IF(AND(ISNUMBER(INDEX(rMed2,2978)),ISNUMBER(INDEX(rMed,2978))),INDEX(rMed,2978),NA()))</f>
        <v>#N/A</v>
      </c>
    </row>
    <row r="2981">
      <c r="BX2981" t="e">
        <f>IF(OR(cMed=0,cMed2=0,2979&gt;nFilas),NA(),IF(AND(ISNUMBER(INDEX(rMed2,2979)),ISNUMBER(INDEX(rMed,2979))),INDEX(rMed2,2979),NA()))</f>
        <v>#N/A</v>
      </c>
      <c r="BY2981" t="e">
        <f>IF(OR(cMed=0,cMed2=0,2979&gt;nFilas),NA(),IF(AND(ISNUMBER(INDEX(rMed2,2979)),ISNUMBER(INDEX(rMed,2979))),INDEX(rMed,2979),NA()))</f>
        <v>#N/A</v>
      </c>
    </row>
    <row r="2982">
      <c r="BX2982" t="e">
        <f>IF(OR(cMed=0,cMed2=0,2980&gt;nFilas),NA(),IF(AND(ISNUMBER(INDEX(rMed2,2980)),ISNUMBER(INDEX(rMed,2980))),INDEX(rMed2,2980),NA()))</f>
        <v>#N/A</v>
      </c>
      <c r="BY2982" t="e">
        <f>IF(OR(cMed=0,cMed2=0,2980&gt;nFilas),NA(),IF(AND(ISNUMBER(INDEX(rMed2,2980)),ISNUMBER(INDEX(rMed,2980))),INDEX(rMed,2980),NA()))</f>
        <v>#N/A</v>
      </c>
    </row>
    <row r="2983">
      <c r="BX2983" t="e">
        <f>IF(OR(cMed=0,cMed2=0,2981&gt;nFilas),NA(),IF(AND(ISNUMBER(INDEX(rMed2,2981)),ISNUMBER(INDEX(rMed,2981))),INDEX(rMed2,2981),NA()))</f>
        <v>#N/A</v>
      </c>
      <c r="BY2983" t="e">
        <f>IF(OR(cMed=0,cMed2=0,2981&gt;nFilas),NA(),IF(AND(ISNUMBER(INDEX(rMed2,2981)),ISNUMBER(INDEX(rMed,2981))),INDEX(rMed,2981),NA()))</f>
        <v>#N/A</v>
      </c>
    </row>
    <row r="2984">
      <c r="BX2984" t="e">
        <f>IF(OR(cMed=0,cMed2=0,2982&gt;nFilas),NA(),IF(AND(ISNUMBER(INDEX(rMed2,2982)),ISNUMBER(INDEX(rMed,2982))),INDEX(rMed2,2982),NA()))</f>
        <v>#N/A</v>
      </c>
      <c r="BY2984" t="e">
        <f>IF(OR(cMed=0,cMed2=0,2982&gt;nFilas),NA(),IF(AND(ISNUMBER(INDEX(rMed2,2982)),ISNUMBER(INDEX(rMed,2982))),INDEX(rMed,2982),NA()))</f>
        <v>#N/A</v>
      </c>
    </row>
    <row r="2985">
      <c r="BX2985" t="e">
        <f>IF(OR(cMed=0,cMed2=0,2983&gt;nFilas),NA(),IF(AND(ISNUMBER(INDEX(rMed2,2983)),ISNUMBER(INDEX(rMed,2983))),INDEX(rMed2,2983),NA()))</f>
        <v>#N/A</v>
      </c>
      <c r="BY2985" t="e">
        <f>IF(OR(cMed=0,cMed2=0,2983&gt;nFilas),NA(),IF(AND(ISNUMBER(INDEX(rMed2,2983)),ISNUMBER(INDEX(rMed,2983))),INDEX(rMed,2983),NA()))</f>
        <v>#N/A</v>
      </c>
    </row>
    <row r="2986">
      <c r="BX2986" t="e">
        <f>IF(OR(cMed=0,cMed2=0,2984&gt;nFilas),NA(),IF(AND(ISNUMBER(INDEX(rMed2,2984)),ISNUMBER(INDEX(rMed,2984))),INDEX(rMed2,2984),NA()))</f>
        <v>#N/A</v>
      </c>
      <c r="BY2986" t="e">
        <f>IF(OR(cMed=0,cMed2=0,2984&gt;nFilas),NA(),IF(AND(ISNUMBER(INDEX(rMed2,2984)),ISNUMBER(INDEX(rMed,2984))),INDEX(rMed,2984),NA()))</f>
        <v>#N/A</v>
      </c>
    </row>
    <row r="2987">
      <c r="BX2987" t="e">
        <f>IF(OR(cMed=0,cMed2=0,2985&gt;nFilas),NA(),IF(AND(ISNUMBER(INDEX(rMed2,2985)),ISNUMBER(INDEX(rMed,2985))),INDEX(rMed2,2985),NA()))</f>
        <v>#N/A</v>
      </c>
      <c r="BY2987" t="e">
        <f>IF(OR(cMed=0,cMed2=0,2985&gt;nFilas),NA(),IF(AND(ISNUMBER(INDEX(rMed2,2985)),ISNUMBER(INDEX(rMed,2985))),INDEX(rMed,2985),NA()))</f>
        <v>#N/A</v>
      </c>
    </row>
    <row r="2988">
      <c r="BX2988" t="e">
        <f>IF(OR(cMed=0,cMed2=0,2986&gt;nFilas),NA(),IF(AND(ISNUMBER(INDEX(rMed2,2986)),ISNUMBER(INDEX(rMed,2986))),INDEX(rMed2,2986),NA()))</f>
        <v>#N/A</v>
      </c>
      <c r="BY2988" t="e">
        <f>IF(OR(cMed=0,cMed2=0,2986&gt;nFilas),NA(),IF(AND(ISNUMBER(INDEX(rMed2,2986)),ISNUMBER(INDEX(rMed,2986))),INDEX(rMed,2986),NA()))</f>
        <v>#N/A</v>
      </c>
    </row>
    <row r="2989">
      <c r="BX2989" t="e">
        <f>IF(OR(cMed=0,cMed2=0,2987&gt;nFilas),NA(),IF(AND(ISNUMBER(INDEX(rMed2,2987)),ISNUMBER(INDEX(rMed,2987))),INDEX(rMed2,2987),NA()))</f>
        <v>#N/A</v>
      </c>
      <c r="BY2989" t="e">
        <f>IF(OR(cMed=0,cMed2=0,2987&gt;nFilas),NA(),IF(AND(ISNUMBER(INDEX(rMed2,2987)),ISNUMBER(INDEX(rMed,2987))),INDEX(rMed,2987),NA()))</f>
        <v>#N/A</v>
      </c>
    </row>
    <row r="2990">
      <c r="BX2990" t="e">
        <f>IF(OR(cMed=0,cMed2=0,2988&gt;nFilas),NA(),IF(AND(ISNUMBER(INDEX(rMed2,2988)),ISNUMBER(INDEX(rMed,2988))),INDEX(rMed2,2988),NA()))</f>
        <v>#N/A</v>
      </c>
      <c r="BY2990" t="e">
        <f>IF(OR(cMed=0,cMed2=0,2988&gt;nFilas),NA(),IF(AND(ISNUMBER(INDEX(rMed2,2988)),ISNUMBER(INDEX(rMed,2988))),INDEX(rMed,2988),NA()))</f>
        <v>#N/A</v>
      </c>
    </row>
    <row r="2991">
      <c r="BX2991" t="e">
        <f>IF(OR(cMed=0,cMed2=0,2989&gt;nFilas),NA(),IF(AND(ISNUMBER(INDEX(rMed2,2989)),ISNUMBER(INDEX(rMed,2989))),INDEX(rMed2,2989),NA()))</f>
        <v>#N/A</v>
      </c>
      <c r="BY2991" t="e">
        <f>IF(OR(cMed=0,cMed2=0,2989&gt;nFilas),NA(),IF(AND(ISNUMBER(INDEX(rMed2,2989)),ISNUMBER(INDEX(rMed,2989))),INDEX(rMed,2989),NA()))</f>
        <v>#N/A</v>
      </c>
    </row>
    <row r="2992">
      <c r="BX2992" t="e">
        <f>IF(OR(cMed=0,cMed2=0,2990&gt;nFilas),NA(),IF(AND(ISNUMBER(INDEX(rMed2,2990)),ISNUMBER(INDEX(rMed,2990))),INDEX(rMed2,2990),NA()))</f>
        <v>#N/A</v>
      </c>
      <c r="BY2992" t="e">
        <f>IF(OR(cMed=0,cMed2=0,2990&gt;nFilas),NA(),IF(AND(ISNUMBER(INDEX(rMed2,2990)),ISNUMBER(INDEX(rMed,2990))),INDEX(rMed,2990),NA()))</f>
        <v>#N/A</v>
      </c>
    </row>
    <row r="2993">
      <c r="BX2993" t="e">
        <f>IF(OR(cMed=0,cMed2=0,2991&gt;nFilas),NA(),IF(AND(ISNUMBER(INDEX(rMed2,2991)),ISNUMBER(INDEX(rMed,2991))),INDEX(rMed2,2991),NA()))</f>
        <v>#N/A</v>
      </c>
      <c r="BY2993" t="e">
        <f>IF(OR(cMed=0,cMed2=0,2991&gt;nFilas),NA(),IF(AND(ISNUMBER(INDEX(rMed2,2991)),ISNUMBER(INDEX(rMed,2991))),INDEX(rMed,2991),NA()))</f>
        <v>#N/A</v>
      </c>
    </row>
    <row r="2994">
      <c r="BX2994" t="e">
        <f>IF(OR(cMed=0,cMed2=0,2992&gt;nFilas),NA(),IF(AND(ISNUMBER(INDEX(rMed2,2992)),ISNUMBER(INDEX(rMed,2992))),INDEX(rMed2,2992),NA()))</f>
        <v>#N/A</v>
      </c>
      <c r="BY2994" t="e">
        <f>IF(OR(cMed=0,cMed2=0,2992&gt;nFilas),NA(),IF(AND(ISNUMBER(INDEX(rMed2,2992)),ISNUMBER(INDEX(rMed,2992))),INDEX(rMed,2992),NA()))</f>
        <v>#N/A</v>
      </c>
    </row>
    <row r="2995">
      <c r="BX2995" t="e">
        <f>IF(OR(cMed=0,cMed2=0,2993&gt;nFilas),NA(),IF(AND(ISNUMBER(INDEX(rMed2,2993)),ISNUMBER(INDEX(rMed,2993))),INDEX(rMed2,2993),NA()))</f>
        <v>#N/A</v>
      </c>
      <c r="BY2995" t="e">
        <f>IF(OR(cMed=0,cMed2=0,2993&gt;nFilas),NA(),IF(AND(ISNUMBER(INDEX(rMed2,2993)),ISNUMBER(INDEX(rMed,2993))),INDEX(rMed,2993),NA()))</f>
        <v>#N/A</v>
      </c>
    </row>
    <row r="2996">
      <c r="BX2996" t="e">
        <f>IF(OR(cMed=0,cMed2=0,2994&gt;nFilas),NA(),IF(AND(ISNUMBER(INDEX(rMed2,2994)),ISNUMBER(INDEX(rMed,2994))),INDEX(rMed2,2994),NA()))</f>
        <v>#N/A</v>
      </c>
      <c r="BY2996" t="e">
        <f>IF(OR(cMed=0,cMed2=0,2994&gt;nFilas),NA(),IF(AND(ISNUMBER(INDEX(rMed2,2994)),ISNUMBER(INDEX(rMed,2994))),INDEX(rMed,2994),NA()))</f>
        <v>#N/A</v>
      </c>
    </row>
    <row r="2997">
      <c r="BX2997" t="e">
        <f>IF(OR(cMed=0,cMed2=0,2995&gt;nFilas),NA(),IF(AND(ISNUMBER(INDEX(rMed2,2995)),ISNUMBER(INDEX(rMed,2995))),INDEX(rMed2,2995),NA()))</f>
        <v>#N/A</v>
      </c>
      <c r="BY2997" t="e">
        <f>IF(OR(cMed=0,cMed2=0,2995&gt;nFilas),NA(),IF(AND(ISNUMBER(INDEX(rMed2,2995)),ISNUMBER(INDEX(rMed,2995))),INDEX(rMed,2995),NA()))</f>
        <v>#N/A</v>
      </c>
    </row>
    <row r="2998">
      <c r="BX2998" t="e">
        <f>IF(OR(cMed=0,cMed2=0,2996&gt;nFilas),NA(),IF(AND(ISNUMBER(INDEX(rMed2,2996)),ISNUMBER(INDEX(rMed,2996))),INDEX(rMed2,2996),NA()))</f>
        <v>#N/A</v>
      </c>
      <c r="BY2998" t="e">
        <f>IF(OR(cMed=0,cMed2=0,2996&gt;nFilas),NA(),IF(AND(ISNUMBER(INDEX(rMed2,2996)),ISNUMBER(INDEX(rMed,2996))),INDEX(rMed,2996),NA()))</f>
        <v>#N/A</v>
      </c>
    </row>
    <row r="2999">
      <c r="BX2999" t="e">
        <f>IF(OR(cMed=0,cMed2=0,2997&gt;nFilas),NA(),IF(AND(ISNUMBER(INDEX(rMed2,2997)),ISNUMBER(INDEX(rMed,2997))),INDEX(rMed2,2997),NA()))</f>
        <v>#N/A</v>
      </c>
      <c r="BY2999" t="e">
        <f>IF(OR(cMed=0,cMed2=0,2997&gt;nFilas),NA(),IF(AND(ISNUMBER(INDEX(rMed2,2997)),ISNUMBER(INDEX(rMed,2997))),INDEX(rMed,2997),NA()))</f>
        <v>#N/A</v>
      </c>
    </row>
    <row r="3000">
      <c r="BX3000" t="e">
        <f>IF(OR(cMed=0,cMed2=0,2998&gt;nFilas),NA(),IF(AND(ISNUMBER(INDEX(rMed2,2998)),ISNUMBER(INDEX(rMed,2998))),INDEX(rMed2,2998),NA()))</f>
        <v>#N/A</v>
      </c>
      <c r="BY3000" t="e">
        <f>IF(OR(cMed=0,cMed2=0,2998&gt;nFilas),NA(),IF(AND(ISNUMBER(INDEX(rMed2,2998)),ISNUMBER(INDEX(rMed,2998))),INDEX(rMed,2998),NA()))</f>
        <v>#N/A</v>
      </c>
    </row>
    <row r="3001">
      <c r="BX3001" t="e">
        <f>IF(OR(cMed=0,cMed2=0,2999&gt;nFilas),NA(),IF(AND(ISNUMBER(INDEX(rMed2,2999)),ISNUMBER(INDEX(rMed,2999))),INDEX(rMed2,2999),NA()))</f>
        <v>#N/A</v>
      </c>
      <c r="BY3001" t="e">
        <f>IF(OR(cMed=0,cMed2=0,2999&gt;nFilas),NA(),IF(AND(ISNUMBER(INDEX(rMed2,2999)),ISNUMBER(INDEX(rMed,2999))),INDEX(rMed,2999),NA()))</f>
        <v>#N/A</v>
      </c>
    </row>
    <row r="3002">
      <c r="BX3002" t="e">
        <f>IF(OR(cMed=0,cMed2=0,3000&gt;nFilas),NA(),IF(AND(ISNUMBER(INDEX(rMed2,3000)),ISNUMBER(INDEX(rMed,3000))),INDEX(rMed2,3000),NA()))</f>
        <v>#N/A</v>
      </c>
      <c r="BY3002" t="e">
        <f>IF(OR(cMed=0,cMed2=0,3000&gt;nFilas),NA(),IF(AND(ISNUMBER(INDEX(rMed2,3000)),ISNUMBER(INDEX(rMed,3000))),INDEX(rMed,3000),NA()))</f>
        <v>#N/A</v>
      </c>
    </row>
    <row r="3003">
      <c r="BX3003" t="e">
        <f>IF(OR(cMed=0,cMed2=0,3001&gt;nFilas),NA(),IF(AND(ISNUMBER(INDEX(rMed2,3001)),ISNUMBER(INDEX(rMed,3001))),INDEX(rMed2,3001),NA()))</f>
        <v>#N/A</v>
      </c>
      <c r="BY3003" t="e">
        <f>IF(OR(cMed=0,cMed2=0,3001&gt;nFilas),NA(),IF(AND(ISNUMBER(INDEX(rMed2,3001)),ISNUMBER(INDEX(rMed,3001))),INDEX(rMed,3001),NA()))</f>
        <v>#N/A</v>
      </c>
    </row>
    <row r="3004">
      <c r="BX3004" t="e">
        <f>IF(OR(cMed=0,cMed2=0,3002&gt;nFilas),NA(),IF(AND(ISNUMBER(INDEX(rMed2,3002)),ISNUMBER(INDEX(rMed,3002))),INDEX(rMed2,3002),NA()))</f>
        <v>#N/A</v>
      </c>
      <c r="BY3004" t="e">
        <f>IF(OR(cMed=0,cMed2=0,3002&gt;nFilas),NA(),IF(AND(ISNUMBER(INDEX(rMed2,3002)),ISNUMBER(INDEX(rMed,3002))),INDEX(rMed,3002),NA()))</f>
        <v>#N/A</v>
      </c>
    </row>
    <row r="3005">
      <c r="BX3005" t="e">
        <f>IF(OR(cMed=0,cMed2=0,3003&gt;nFilas),NA(),IF(AND(ISNUMBER(INDEX(rMed2,3003)),ISNUMBER(INDEX(rMed,3003))),INDEX(rMed2,3003),NA()))</f>
        <v>#N/A</v>
      </c>
      <c r="BY3005" t="e">
        <f>IF(OR(cMed=0,cMed2=0,3003&gt;nFilas),NA(),IF(AND(ISNUMBER(INDEX(rMed2,3003)),ISNUMBER(INDEX(rMed,3003))),INDEX(rMed,3003),NA()))</f>
        <v>#N/A</v>
      </c>
    </row>
    <row r="3006">
      <c r="BX3006" t="e">
        <f>IF(OR(cMed=0,cMed2=0,3004&gt;nFilas),NA(),IF(AND(ISNUMBER(INDEX(rMed2,3004)),ISNUMBER(INDEX(rMed,3004))),INDEX(rMed2,3004),NA()))</f>
        <v>#N/A</v>
      </c>
      <c r="BY3006" t="e">
        <f>IF(OR(cMed=0,cMed2=0,3004&gt;nFilas),NA(),IF(AND(ISNUMBER(INDEX(rMed2,3004)),ISNUMBER(INDEX(rMed,3004))),INDEX(rMed,3004),NA()))</f>
        <v>#N/A</v>
      </c>
    </row>
    <row r="3007">
      <c r="BX3007" t="e">
        <f>IF(OR(cMed=0,cMed2=0,3005&gt;nFilas),NA(),IF(AND(ISNUMBER(INDEX(rMed2,3005)),ISNUMBER(INDEX(rMed,3005))),INDEX(rMed2,3005),NA()))</f>
        <v>#N/A</v>
      </c>
      <c r="BY3007" t="e">
        <f>IF(OR(cMed=0,cMed2=0,3005&gt;nFilas),NA(),IF(AND(ISNUMBER(INDEX(rMed2,3005)),ISNUMBER(INDEX(rMed,3005))),INDEX(rMed,3005),NA()))</f>
        <v>#N/A</v>
      </c>
    </row>
    <row r="3008">
      <c r="BX3008" t="e">
        <f>IF(OR(cMed=0,cMed2=0,3006&gt;nFilas),NA(),IF(AND(ISNUMBER(INDEX(rMed2,3006)),ISNUMBER(INDEX(rMed,3006))),INDEX(rMed2,3006),NA()))</f>
        <v>#N/A</v>
      </c>
      <c r="BY3008" t="e">
        <f>IF(OR(cMed=0,cMed2=0,3006&gt;nFilas),NA(),IF(AND(ISNUMBER(INDEX(rMed2,3006)),ISNUMBER(INDEX(rMed,3006))),INDEX(rMed,3006),NA()))</f>
        <v>#N/A</v>
      </c>
    </row>
    <row r="3009">
      <c r="BX3009" t="e">
        <f>IF(OR(cMed=0,cMed2=0,3007&gt;nFilas),NA(),IF(AND(ISNUMBER(INDEX(rMed2,3007)),ISNUMBER(INDEX(rMed,3007))),INDEX(rMed2,3007),NA()))</f>
        <v>#N/A</v>
      </c>
      <c r="BY3009" t="e">
        <f>IF(OR(cMed=0,cMed2=0,3007&gt;nFilas),NA(),IF(AND(ISNUMBER(INDEX(rMed2,3007)),ISNUMBER(INDEX(rMed,3007))),INDEX(rMed,3007),NA()))</f>
        <v>#N/A</v>
      </c>
    </row>
    <row r="3010">
      <c r="BX3010" t="e">
        <f>IF(OR(cMed=0,cMed2=0,3008&gt;nFilas),NA(),IF(AND(ISNUMBER(INDEX(rMed2,3008)),ISNUMBER(INDEX(rMed,3008))),INDEX(rMed2,3008),NA()))</f>
        <v>#N/A</v>
      </c>
      <c r="BY3010" t="e">
        <f>IF(OR(cMed=0,cMed2=0,3008&gt;nFilas),NA(),IF(AND(ISNUMBER(INDEX(rMed2,3008)),ISNUMBER(INDEX(rMed,3008))),INDEX(rMed,3008),NA()))</f>
        <v>#N/A</v>
      </c>
    </row>
    <row r="3011">
      <c r="BX3011" t="e">
        <f>IF(OR(cMed=0,cMed2=0,3009&gt;nFilas),NA(),IF(AND(ISNUMBER(INDEX(rMed2,3009)),ISNUMBER(INDEX(rMed,3009))),INDEX(rMed2,3009),NA()))</f>
        <v>#N/A</v>
      </c>
      <c r="BY3011" t="e">
        <f>IF(OR(cMed=0,cMed2=0,3009&gt;nFilas),NA(),IF(AND(ISNUMBER(INDEX(rMed2,3009)),ISNUMBER(INDEX(rMed,3009))),INDEX(rMed,3009),NA()))</f>
        <v>#N/A</v>
      </c>
    </row>
    <row r="3012">
      <c r="BX3012" t="e">
        <f>IF(OR(cMed=0,cMed2=0,3010&gt;nFilas),NA(),IF(AND(ISNUMBER(INDEX(rMed2,3010)),ISNUMBER(INDEX(rMed,3010))),INDEX(rMed2,3010),NA()))</f>
        <v>#N/A</v>
      </c>
      <c r="BY3012" t="e">
        <f>IF(OR(cMed=0,cMed2=0,3010&gt;nFilas),NA(),IF(AND(ISNUMBER(INDEX(rMed2,3010)),ISNUMBER(INDEX(rMed,3010))),INDEX(rMed,3010),NA()))</f>
        <v>#N/A</v>
      </c>
    </row>
    <row r="3013">
      <c r="BX3013" t="e">
        <f>IF(OR(cMed=0,cMed2=0,3011&gt;nFilas),NA(),IF(AND(ISNUMBER(INDEX(rMed2,3011)),ISNUMBER(INDEX(rMed,3011))),INDEX(rMed2,3011),NA()))</f>
        <v>#N/A</v>
      </c>
      <c r="BY3013" t="e">
        <f>IF(OR(cMed=0,cMed2=0,3011&gt;nFilas),NA(),IF(AND(ISNUMBER(INDEX(rMed2,3011)),ISNUMBER(INDEX(rMed,3011))),INDEX(rMed,3011),NA()))</f>
        <v>#N/A</v>
      </c>
    </row>
    <row r="3014">
      <c r="BX3014" t="e">
        <f>IF(OR(cMed=0,cMed2=0,3012&gt;nFilas),NA(),IF(AND(ISNUMBER(INDEX(rMed2,3012)),ISNUMBER(INDEX(rMed,3012))),INDEX(rMed2,3012),NA()))</f>
        <v>#N/A</v>
      </c>
      <c r="BY3014" t="e">
        <f>IF(OR(cMed=0,cMed2=0,3012&gt;nFilas),NA(),IF(AND(ISNUMBER(INDEX(rMed2,3012)),ISNUMBER(INDEX(rMed,3012))),INDEX(rMed,3012),NA()))</f>
        <v>#N/A</v>
      </c>
    </row>
    <row r="3015">
      <c r="BX3015" t="e">
        <f>IF(OR(cMed=0,cMed2=0,3013&gt;nFilas),NA(),IF(AND(ISNUMBER(INDEX(rMed2,3013)),ISNUMBER(INDEX(rMed,3013))),INDEX(rMed2,3013),NA()))</f>
        <v>#N/A</v>
      </c>
      <c r="BY3015" t="e">
        <f>IF(OR(cMed=0,cMed2=0,3013&gt;nFilas),NA(),IF(AND(ISNUMBER(INDEX(rMed2,3013)),ISNUMBER(INDEX(rMed,3013))),INDEX(rMed,3013),NA()))</f>
        <v>#N/A</v>
      </c>
    </row>
    <row r="3016">
      <c r="BX3016" t="e">
        <f>IF(OR(cMed=0,cMed2=0,3014&gt;nFilas),NA(),IF(AND(ISNUMBER(INDEX(rMed2,3014)),ISNUMBER(INDEX(rMed,3014))),INDEX(rMed2,3014),NA()))</f>
        <v>#N/A</v>
      </c>
      <c r="BY3016" t="e">
        <f>IF(OR(cMed=0,cMed2=0,3014&gt;nFilas),NA(),IF(AND(ISNUMBER(INDEX(rMed2,3014)),ISNUMBER(INDEX(rMed,3014))),INDEX(rMed,3014),NA()))</f>
        <v>#N/A</v>
      </c>
    </row>
    <row r="3017">
      <c r="BX3017" t="e">
        <f>IF(OR(cMed=0,cMed2=0,3015&gt;nFilas),NA(),IF(AND(ISNUMBER(INDEX(rMed2,3015)),ISNUMBER(INDEX(rMed,3015))),INDEX(rMed2,3015),NA()))</f>
        <v>#N/A</v>
      </c>
      <c r="BY3017" t="e">
        <f>IF(OR(cMed=0,cMed2=0,3015&gt;nFilas),NA(),IF(AND(ISNUMBER(INDEX(rMed2,3015)),ISNUMBER(INDEX(rMed,3015))),INDEX(rMed,3015),NA()))</f>
        <v>#N/A</v>
      </c>
    </row>
    <row r="3018">
      <c r="BX3018" t="e">
        <f>IF(OR(cMed=0,cMed2=0,3016&gt;nFilas),NA(),IF(AND(ISNUMBER(INDEX(rMed2,3016)),ISNUMBER(INDEX(rMed,3016))),INDEX(rMed2,3016),NA()))</f>
        <v>#N/A</v>
      </c>
      <c r="BY3018" t="e">
        <f>IF(OR(cMed=0,cMed2=0,3016&gt;nFilas),NA(),IF(AND(ISNUMBER(INDEX(rMed2,3016)),ISNUMBER(INDEX(rMed,3016))),INDEX(rMed,3016),NA()))</f>
        <v>#N/A</v>
      </c>
    </row>
    <row r="3019">
      <c r="BX3019" t="e">
        <f>IF(OR(cMed=0,cMed2=0,3017&gt;nFilas),NA(),IF(AND(ISNUMBER(INDEX(rMed2,3017)),ISNUMBER(INDEX(rMed,3017))),INDEX(rMed2,3017),NA()))</f>
        <v>#N/A</v>
      </c>
      <c r="BY3019" t="e">
        <f>IF(OR(cMed=0,cMed2=0,3017&gt;nFilas),NA(),IF(AND(ISNUMBER(INDEX(rMed2,3017)),ISNUMBER(INDEX(rMed,3017))),INDEX(rMed,3017),NA()))</f>
        <v>#N/A</v>
      </c>
    </row>
    <row r="3020">
      <c r="BX3020" t="e">
        <f>IF(OR(cMed=0,cMed2=0,3018&gt;nFilas),NA(),IF(AND(ISNUMBER(INDEX(rMed2,3018)),ISNUMBER(INDEX(rMed,3018))),INDEX(rMed2,3018),NA()))</f>
        <v>#N/A</v>
      </c>
      <c r="BY3020" t="e">
        <f>IF(OR(cMed=0,cMed2=0,3018&gt;nFilas),NA(),IF(AND(ISNUMBER(INDEX(rMed2,3018)),ISNUMBER(INDEX(rMed,3018))),INDEX(rMed,3018),NA()))</f>
        <v>#N/A</v>
      </c>
    </row>
    <row r="3021">
      <c r="BX3021" t="e">
        <f>IF(OR(cMed=0,cMed2=0,3019&gt;nFilas),NA(),IF(AND(ISNUMBER(INDEX(rMed2,3019)),ISNUMBER(INDEX(rMed,3019))),INDEX(rMed2,3019),NA()))</f>
        <v>#N/A</v>
      </c>
      <c r="BY3021" t="e">
        <f>IF(OR(cMed=0,cMed2=0,3019&gt;nFilas),NA(),IF(AND(ISNUMBER(INDEX(rMed2,3019)),ISNUMBER(INDEX(rMed,3019))),INDEX(rMed,3019),NA()))</f>
        <v>#N/A</v>
      </c>
    </row>
    <row r="3022">
      <c r="BX3022" t="e">
        <f>IF(OR(cMed=0,cMed2=0,3020&gt;nFilas),NA(),IF(AND(ISNUMBER(INDEX(rMed2,3020)),ISNUMBER(INDEX(rMed,3020))),INDEX(rMed2,3020),NA()))</f>
        <v>#N/A</v>
      </c>
      <c r="BY3022" t="e">
        <f>IF(OR(cMed=0,cMed2=0,3020&gt;nFilas),NA(),IF(AND(ISNUMBER(INDEX(rMed2,3020)),ISNUMBER(INDEX(rMed,3020))),INDEX(rMed,3020),NA()))</f>
        <v>#N/A</v>
      </c>
    </row>
    <row r="3023">
      <c r="BX3023" t="e">
        <f>IF(OR(cMed=0,cMed2=0,3021&gt;nFilas),NA(),IF(AND(ISNUMBER(INDEX(rMed2,3021)),ISNUMBER(INDEX(rMed,3021))),INDEX(rMed2,3021),NA()))</f>
        <v>#N/A</v>
      </c>
      <c r="BY3023" t="e">
        <f>IF(OR(cMed=0,cMed2=0,3021&gt;nFilas),NA(),IF(AND(ISNUMBER(INDEX(rMed2,3021)),ISNUMBER(INDEX(rMed,3021))),INDEX(rMed,3021),NA()))</f>
        <v>#N/A</v>
      </c>
    </row>
    <row r="3024">
      <c r="BX3024" t="e">
        <f>IF(OR(cMed=0,cMed2=0,3022&gt;nFilas),NA(),IF(AND(ISNUMBER(INDEX(rMed2,3022)),ISNUMBER(INDEX(rMed,3022))),INDEX(rMed2,3022),NA()))</f>
        <v>#N/A</v>
      </c>
      <c r="BY3024" t="e">
        <f>IF(OR(cMed=0,cMed2=0,3022&gt;nFilas),NA(),IF(AND(ISNUMBER(INDEX(rMed2,3022)),ISNUMBER(INDEX(rMed,3022))),INDEX(rMed,3022),NA()))</f>
        <v>#N/A</v>
      </c>
    </row>
    <row r="3025">
      <c r="BX3025" t="e">
        <f>IF(OR(cMed=0,cMed2=0,3023&gt;nFilas),NA(),IF(AND(ISNUMBER(INDEX(rMed2,3023)),ISNUMBER(INDEX(rMed,3023))),INDEX(rMed2,3023),NA()))</f>
        <v>#N/A</v>
      </c>
      <c r="BY3025" t="e">
        <f>IF(OR(cMed=0,cMed2=0,3023&gt;nFilas),NA(),IF(AND(ISNUMBER(INDEX(rMed2,3023)),ISNUMBER(INDEX(rMed,3023))),INDEX(rMed,3023),NA()))</f>
        <v>#N/A</v>
      </c>
    </row>
    <row r="3026">
      <c r="BX3026" t="e">
        <f>IF(OR(cMed=0,cMed2=0,3024&gt;nFilas),NA(),IF(AND(ISNUMBER(INDEX(rMed2,3024)),ISNUMBER(INDEX(rMed,3024))),INDEX(rMed2,3024),NA()))</f>
        <v>#N/A</v>
      </c>
      <c r="BY3026" t="e">
        <f>IF(OR(cMed=0,cMed2=0,3024&gt;nFilas),NA(),IF(AND(ISNUMBER(INDEX(rMed2,3024)),ISNUMBER(INDEX(rMed,3024))),INDEX(rMed,3024),NA()))</f>
        <v>#N/A</v>
      </c>
    </row>
    <row r="3027">
      <c r="BX3027" t="e">
        <f>IF(OR(cMed=0,cMed2=0,3025&gt;nFilas),NA(),IF(AND(ISNUMBER(INDEX(rMed2,3025)),ISNUMBER(INDEX(rMed,3025))),INDEX(rMed2,3025),NA()))</f>
        <v>#N/A</v>
      </c>
      <c r="BY3027" t="e">
        <f>IF(OR(cMed=0,cMed2=0,3025&gt;nFilas),NA(),IF(AND(ISNUMBER(INDEX(rMed2,3025)),ISNUMBER(INDEX(rMed,3025))),INDEX(rMed,3025),NA()))</f>
        <v>#N/A</v>
      </c>
    </row>
    <row r="3028">
      <c r="BX3028" t="e">
        <f>IF(OR(cMed=0,cMed2=0,3026&gt;nFilas),NA(),IF(AND(ISNUMBER(INDEX(rMed2,3026)),ISNUMBER(INDEX(rMed,3026))),INDEX(rMed2,3026),NA()))</f>
        <v>#N/A</v>
      </c>
      <c r="BY3028" t="e">
        <f>IF(OR(cMed=0,cMed2=0,3026&gt;nFilas),NA(),IF(AND(ISNUMBER(INDEX(rMed2,3026)),ISNUMBER(INDEX(rMed,3026))),INDEX(rMed,3026),NA()))</f>
        <v>#N/A</v>
      </c>
    </row>
    <row r="3029">
      <c r="BX3029" t="e">
        <f>IF(OR(cMed=0,cMed2=0,3027&gt;nFilas),NA(),IF(AND(ISNUMBER(INDEX(rMed2,3027)),ISNUMBER(INDEX(rMed,3027))),INDEX(rMed2,3027),NA()))</f>
        <v>#N/A</v>
      </c>
      <c r="BY3029" t="e">
        <f>IF(OR(cMed=0,cMed2=0,3027&gt;nFilas),NA(),IF(AND(ISNUMBER(INDEX(rMed2,3027)),ISNUMBER(INDEX(rMed,3027))),INDEX(rMed,3027),NA()))</f>
        <v>#N/A</v>
      </c>
    </row>
    <row r="3030">
      <c r="BX3030" t="e">
        <f>IF(OR(cMed=0,cMed2=0,3028&gt;nFilas),NA(),IF(AND(ISNUMBER(INDEX(rMed2,3028)),ISNUMBER(INDEX(rMed,3028))),INDEX(rMed2,3028),NA()))</f>
        <v>#N/A</v>
      </c>
      <c r="BY3030" t="e">
        <f>IF(OR(cMed=0,cMed2=0,3028&gt;nFilas),NA(),IF(AND(ISNUMBER(INDEX(rMed2,3028)),ISNUMBER(INDEX(rMed,3028))),INDEX(rMed,3028),NA()))</f>
        <v>#N/A</v>
      </c>
    </row>
    <row r="3031">
      <c r="BX3031" t="e">
        <f>IF(OR(cMed=0,cMed2=0,3029&gt;nFilas),NA(),IF(AND(ISNUMBER(INDEX(rMed2,3029)),ISNUMBER(INDEX(rMed,3029))),INDEX(rMed2,3029),NA()))</f>
        <v>#N/A</v>
      </c>
      <c r="BY3031" t="e">
        <f>IF(OR(cMed=0,cMed2=0,3029&gt;nFilas),NA(),IF(AND(ISNUMBER(INDEX(rMed2,3029)),ISNUMBER(INDEX(rMed,3029))),INDEX(rMed,3029),NA()))</f>
        <v>#N/A</v>
      </c>
    </row>
    <row r="3032">
      <c r="BX3032" t="e">
        <f>IF(OR(cMed=0,cMed2=0,3030&gt;nFilas),NA(),IF(AND(ISNUMBER(INDEX(rMed2,3030)),ISNUMBER(INDEX(rMed,3030))),INDEX(rMed2,3030),NA()))</f>
        <v>#N/A</v>
      </c>
      <c r="BY3032" t="e">
        <f>IF(OR(cMed=0,cMed2=0,3030&gt;nFilas),NA(),IF(AND(ISNUMBER(INDEX(rMed2,3030)),ISNUMBER(INDEX(rMed,3030))),INDEX(rMed,3030),NA()))</f>
        <v>#N/A</v>
      </c>
    </row>
    <row r="3033">
      <c r="BX3033" t="e">
        <f>IF(OR(cMed=0,cMed2=0,3031&gt;nFilas),NA(),IF(AND(ISNUMBER(INDEX(rMed2,3031)),ISNUMBER(INDEX(rMed,3031))),INDEX(rMed2,3031),NA()))</f>
        <v>#N/A</v>
      </c>
      <c r="BY3033" t="e">
        <f>IF(OR(cMed=0,cMed2=0,3031&gt;nFilas),NA(),IF(AND(ISNUMBER(INDEX(rMed2,3031)),ISNUMBER(INDEX(rMed,3031))),INDEX(rMed,3031),NA()))</f>
        <v>#N/A</v>
      </c>
    </row>
    <row r="3034">
      <c r="BX3034" t="e">
        <f>IF(OR(cMed=0,cMed2=0,3032&gt;nFilas),NA(),IF(AND(ISNUMBER(INDEX(rMed2,3032)),ISNUMBER(INDEX(rMed,3032))),INDEX(rMed2,3032),NA()))</f>
        <v>#N/A</v>
      </c>
      <c r="BY3034" t="e">
        <f>IF(OR(cMed=0,cMed2=0,3032&gt;nFilas),NA(),IF(AND(ISNUMBER(INDEX(rMed2,3032)),ISNUMBER(INDEX(rMed,3032))),INDEX(rMed,3032),NA()))</f>
        <v>#N/A</v>
      </c>
    </row>
    <row r="3035">
      <c r="BX3035" t="e">
        <f>IF(OR(cMed=0,cMed2=0,3033&gt;nFilas),NA(),IF(AND(ISNUMBER(INDEX(rMed2,3033)),ISNUMBER(INDEX(rMed,3033))),INDEX(rMed2,3033),NA()))</f>
        <v>#N/A</v>
      </c>
      <c r="BY3035" t="e">
        <f>IF(OR(cMed=0,cMed2=0,3033&gt;nFilas),NA(),IF(AND(ISNUMBER(INDEX(rMed2,3033)),ISNUMBER(INDEX(rMed,3033))),INDEX(rMed,3033),NA()))</f>
        <v>#N/A</v>
      </c>
    </row>
    <row r="3036">
      <c r="BX3036" t="e">
        <f>IF(OR(cMed=0,cMed2=0,3034&gt;nFilas),NA(),IF(AND(ISNUMBER(INDEX(rMed2,3034)),ISNUMBER(INDEX(rMed,3034))),INDEX(rMed2,3034),NA()))</f>
        <v>#N/A</v>
      </c>
      <c r="BY3036" t="e">
        <f>IF(OR(cMed=0,cMed2=0,3034&gt;nFilas),NA(),IF(AND(ISNUMBER(INDEX(rMed2,3034)),ISNUMBER(INDEX(rMed,3034))),INDEX(rMed,3034),NA()))</f>
        <v>#N/A</v>
      </c>
    </row>
    <row r="3037">
      <c r="BX3037" t="e">
        <f>IF(OR(cMed=0,cMed2=0,3035&gt;nFilas),NA(),IF(AND(ISNUMBER(INDEX(rMed2,3035)),ISNUMBER(INDEX(rMed,3035))),INDEX(rMed2,3035),NA()))</f>
        <v>#N/A</v>
      </c>
      <c r="BY3037" t="e">
        <f>IF(OR(cMed=0,cMed2=0,3035&gt;nFilas),NA(),IF(AND(ISNUMBER(INDEX(rMed2,3035)),ISNUMBER(INDEX(rMed,3035))),INDEX(rMed,3035),NA()))</f>
        <v>#N/A</v>
      </c>
    </row>
    <row r="3038">
      <c r="BX3038" t="e">
        <f>IF(OR(cMed=0,cMed2=0,3036&gt;nFilas),NA(),IF(AND(ISNUMBER(INDEX(rMed2,3036)),ISNUMBER(INDEX(rMed,3036))),INDEX(rMed2,3036),NA()))</f>
        <v>#N/A</v>
      </c>
      <c r="BY3038" t="e">
        <f>IF(OR(cMed=0,cMed2=0,3036&gt;nFilas),NA(),IF(AND(ISNUMBER(INDEX(rMed2,3036)),ISNUMBER(INDEX(rMed,3036))),INDEX(rMed,3036),NA()))</f>
        <v>#N/A</v>
      </c>
    </row>
    <row r="3039">
      <c r="BX3039" t="e">
        <f>IF(OR(cMed=0,cMed2=0,3037&gt;nFilas),NA(),IF(AND(ISNUMBER(INDEX(rMed2,3037)),ISNUMBER(INDEX(rMed,3037))),INDEX(rMed2,3037),NA()))</f>
        <v>#N/A</v>
      </c>
      <c r="BY3039" t="e">
        <f>IF(OR(cMed=0,cMed2=0,3037&gt;nFilas),NA(),IF(AND(ISNUMBER(INDEX(rMed2,3037)),ISNUMBER(INDEX(rMed,3037))),INDEX(rMed,3037),NA()))</f>
        <v>#N/A</v>
      </c>
    </row>
    <row r="3040">
      <c r="BX3040" t="e">
        <f>IF(OR(cMed=0,cMed2=0,3038&gt;nFilas),NA(),IF(AND(ISNUMBER(INDEX(rMed2,3038)),ISNUMBER(INDEX(rMed,3038))),INDEX(rMed2,3038),NA()))</f>
        <v>#N/A</v>
      </c>
      <c r="BY3040" t="e">
        <f>IF(OR(cMed=0,cMed2=0,3038&gt;nFilas),NA(),IF(AND(ISNUMBER(INDEX(rMed2,3038)),ISNUMBER(INDEX(rMed,3038))),INDEX(rMed,3038),NA()))</f>
        <v>#N/A</v>
      </c>
    </row>
    <row r="3041">
      <c r="BX3041" t="e">
        <f>IF(OR(cMed=0,cMed2=0,3039&gt;nFilas),NA(),IF(AND(ISNUMBER(INDEX(rMed2,3039)),ISNUMBER(INDEX(rMed,3039))),INDEX(rMed2,3039),NA()))</f>
        <v>#N/A</v>
      </c>
      <c r="BY3041" t="e">
        <f>IF(OR(cMed=0,cMed2=0,3039&gt;nFilas),NA(),IF(AND(ISNUMBER(INDEX(rMed2,3039)),ISNUMBER(INDEX(rMed,3039))),INDEX(rMed,3039),NA()))</f>
        <v>#N/A</v>
      </c>
    </row>
    <row r="3042">
      <c r="BX3042" t="e">
        <f>IF(OR(cMed=0,cMed2=0,3040&gt;nFilas),NA(),IF(AND(ISNUMBER(INDEX(rMed2,3040)),ISNUMBER(INDEX(rMed,3040))),INDEX(rMed2,3040),NA()))</f>
        <v>#N/A</v>
      </c>
      <c r="BY3042" t="e">
        <f>IF(OR(cMed=0,cMed2=0,3040&gt;nFilas),NA(),IF(AND(ISNUMBER(INDEX(rMed2,3040)),ISNUMBER(INDEX(rMed,3040))),INDEX(rMed,3040),NA()))</f>
        <v>#N/A</v>
      </c>
    </row>
    <row r="3043">
      <c r="BX3043" t="e">
        <f>IF(OR(cMed=0,cMed2=0,3041&gt;nFilas),NA(),IF(AND(ISNUMBER(INDEX(rMed2,3041)),ISNUMBER(INDEX(rMed,3041))),INDEX(rMed2,3041),NA()))</f>
        <v>#N/A</v>
      </c>
      <c r="BY3043" t="e">
        <f>IF(OR(cMed=0,cMed2=0,3041&gt;nFilas),NA(),IF(AND(ISNUMBER(INDEX(rMed2,3041)),ISNUMBER(INDEX(rMed,3041))),INDEX(rMed,3041),NA()))</f>
        <v>#N/A</v>
      </c>
    </row>
    <row r="3044">
      <c r="BX3044" t="e">
        <f>IF(OR(cMed=0,cMed2=0,3042&gt;nFilas),NA(),IF(AND(ISNUMBER(INDEX(rMed2,3042)),ISNUMBER(INDEX(rMed,3042))),INDEX(rMed2,3042),NA()))</f>
        <v>#N/A</v>
      </c>
      <c r="BY3044" t="e">
        <f>IF(OR(cMed=0,cMed2=0,3042&gt;nFilas),NA(),IF(AND(ISNUMBER(INDEX(rMed2,3042)),ISNUMBER(INDEX(rMed,3042))),INDEX(rMed,3042),NA()))</f>
        <v>#N/A</v>
      </c>
    </row>
    <row r="3045">
      <c r="BX3045" t="e">
        <f>IF(OR(cMed=0,cMed2=0,3043&gt;nFilas),NA(),IF(AND(ISNUMBER(INDEX(rMed2,3043)),ISNUMBER(INDEX(rMed,3043))),INDEX(rMed2,3043),NA()))</f>
        <v>#N/A</v>
      </c>
      <c r="BY3045" t="e">
        <f>IF(OR(cMed=0,cMed2=0,3043&gt;nFilas),NA(),IF(AND(ISNUMBER(INDEX(rMed2,3043)),ISNUMBER(INDEX(rMed,3043))),INDEX(rMed,3043),NA()))</f>
        <v>#N/A</v>
      </c>
    </row>
    <row r="3046">
      <c r="BX3046" t="e">
        <f>IF(OR(cMed=0,cMed2=0,3044&gt;nFilas),NA(),IF(AND(ISNUMBER(INDEX(rMed2,3044)),ISNUMBER(INDEX(rMed,3044))),INDEX(rMed2,3044),NA()))</f>
        <v>#N/A</v>
      </c>
      <c r="BY3046" t="e">
        <f>IF(OR(cMed=0,cMed2=0,3044&gt;nFilas),NA(),IF(AND(ISNUMBER(INDEX(rMed2,3044)),ISNUMBER(INDEX(rMed,3044))),INDEX(rMed,3044),NA()))</f>
        <v>#N/A</v>
      </c>
    </row>
    <row r="3047">
      <c r="BX3047" t="e">
        <f>IF(OR(cMed=0,cMed2=0,3045&gt;nFilas),NA(),IF(AND(ISNUMBER(INDEX(rMed2,3045)),ISNUMBER(INDEX(rMed,3045))),INDEX(rMed2,3045),NA()))</f>
        <v>#N/A</v>
      </c>
      <c r="BY3047" t="e">
        <f>IF(OR(cMed=0,cMed2=0,3045&gt;nFilas),NA(),IF(AND(ISNUMBER(INDEX(rMed2,3045)),ISNUMBER(INDEX(rMed,3045))),INDEX(rMed,3045),NA()))</f>
        <v>#N/A</v>
      </c>
    </row>
    <row r="3048">
      <c r="BX3048" t="e">
        <f>IF(OR(cMed=0,cMed2=0,3046&gt;nFilas),NA(),IF(AND(ISNUMBER(INDEX(rMed2,3046)),ISNUMBER(INDEX(rMed,3046))),INDEX(rMed2,3046),NA()))</f>
        <v>#N/A</v>
      </c>
      <c r="BY3048" t="e">
        <f>IF(OR(cMed=0,cMed2=0,3046&gt;nFilas),NA(),IF(AND(ISNUMBER(INDEX(rMed2,3046)),ISNUMBER(INDEX(rMed,3046))),INDEX(rMed,3046),NA()))</f>
        <v>#N/A</v>
      </c>
    </row>
    <row r="3049">
      <c r="BX3049" t="e">
        <f>IF(OR(cMed=0,cMed2=0,3047&gt;nFilas),NA(),IF(AND(ISNUMBER(INDEX(rMed2,3047)),ISNUMBER(INDEX(rMed,3047))),INDEX(rMed2,3047),NA()))</f>
        <v>#N/A</v>
      </c>
      <c r="BY3049" t="e">
        <f>IF(OR(cMed=0,cMed2=0,3047&gt;nFilas),NA(),IF(AND(ISNUMBER(INDEX(rMed2,3047)),ISNUMBER(INDEX(rMed,3047))),INDEX(rMed,3047),NA()))</f>
        <v>#N/A</v>
      </c>
    </row>
    <row r="3050">
      <c r="BX3050" t="e">
        <f>IF(OR(cMed=0,cMed2=0,3048&gt;nFilas),NA(),IF(AND(ISNUMBER(INDEX(rMed2,3048)),ISNUMBER(INDEX(rMed,3048))),INDEX(rMed2,3048),NA()))</f>
        <v>#N/A</v>
      </c>
      <c r="BY3050" t="e">
        <f>IF(OR(cMed=0,cMed2=0,3048&gt;nFilas),NA(),IF(AND(ISNUMBER(INDEX(rMed2,3048)),ISNUMBER(INDEX(rMed,3048))),INDEX(rMed,3048),NA()))</f>
        <v>#N/A</v>
      </c>
    </row>
    <row r="3051">
      <c r="BX3051" t="e">
        <f>IF(OR(cMed=0,cMed2=0,3049&gt;nFilas),NA(),IF(AND(ISNUMBER(INDEX(rMed2,3049)),ISNUMBER(INDEX(rMed,3049))),INDEX(rMed2,3049),NA()))</f>
        <v>#N/A</v>
      </c>
      <c r="BY3051" t="e">
        <f>IF(OR(cMed=0,cMed2=0,3049&gt;nFilas),NA(),IF(AND(ISNUMBER(INDEX(rMed2,3049)),ISNUMBER(INDEX(rMed,3049))),INDEX(rMed,3049),NA()))</f>
        <v>#N/A</v>
      </c>
    </row>
    <row r="3052">
      <c r="BX3052" t="e">
        <f>IF(OR(cMed=0,cMed2=0,3050&gt;nFilas),NA(),IF(AND(ISNUMBER(INDEX(rMed2,3050)),ISNUMBER(INDEX(rMed,3050))),INDEX(rMed2,3050),NA()))</f>
        <v>#N/A</v>
      </c>
      <c r="BY3052" t="e">
        <f>IF(OR(cMed=0,cMed2=0,3050&gt;nFilas),NA(),IF(AND(ISNUMBER(INDEX(rMed2,3050)),ISNUMBER(INDEX(rMed,3050))),INDEX(rMed,3050),NA()))</f>
        <v>#N/A</v>
      </c>
    </row>
    <row r="3053">
      <c r="BX3053" t="e">
        <f>IF(OR(cMed=0,cMed2=0,3051&gt;nFilas),NA(),IF(AND(ISNUMBER(INDEX(rMed2,3051)),ISNUMBER(INDEX(rMed,3051))),INDEX(rMed2,3051),NA()))</f>
        <v>#N/A</v>
      </c>
      <c r="BY3053" t="e">
        <f>IF(OR(cMed=0,cMed2=0,3051&gt;nFilas),NA(),IF(AND(ISNUMBER(INDEX(rMed2,3051)),ISNUMBER(INDEX(rMed,3051))),INDEX(rMed,3051),NA()))</f>
        <v>#N/A</v>
      </c>
    </row>
    <row r="3054">
      <c r="BX3054" t="e">
        <f>IF(OR(cMed=0,cMed2=0,3052&gt;nFilas),NA(),IF(AND(ISNUMBER(INDEX(rMed2,3052)),ISNUMBER(INDEX(rMed,3052))),INDEX(rMed2,3052),NA()))</f>
        <v>#N/A</v>
      </c>
      <c r="BY3054" t="e">
        <f>IF(OR(cMed=0,cMed2=0,3052&gt;nFilas),NA(),IF(AND(ISNUMBER(INDEX(rMed2,3052)),ISNUMBER(INDEX(rMed,3052))),INDEX(rMed,3052),NA()))</f>
        <v>#N/A</v>
      </c>
    </row>
    <row r="3055">
      <c r="BX3055" t="e">
        <f>IF(OR(cMed=0,cMed2=0,3053&gt;nFilas),NA(),IF(AND(ISNUMBER(INDEX(rMed2,3053)),ISNUMBER(INDEX(rMed,3053))),INDEX(rMed2,3053),NA()))</f>
        <v>#N/A</v>
      </c>
      <c r="BY3055" t="e">
        <f>IF(OR(cMed=0,cMed2=0,3053&gt;nFilas),NA(),IF(AND(ISNUMBER(INDEX(rMed2,3053)),ISNUMBER(INDEX(rMed,3053))),INDEX(rMed,3053),NA()))</f>
        <v>#N/A</v>
      </c>
    </row>
    <row r="3056">
      <c r="BX3056" t="e">
        <f>IF(OR(cMed=0,cMed2=0,3054&gt;nFilas),NA(),IF(AND(ISNUMBER(INDEX(rMed2,3054)),ISNUMBER(INDEX(rMed,3054))),INDEX(rMed2,3054),NA()))</f>
        <v>#N/A</v>
      </c>
      <c r="BY3056" t="e">
        <f>IF(OR(cMed=0,cMed2=0,3054&gt;nFilas),NA(),IF(AND(ISNUMBER(INDEX(rMed2,3054)),ISNUMBER(INDEX(rMed,3054))),INDEX(rMed,3054),NA()))</f>
        <v>#N/A</v>
      </c>
    </row>
    <row r="3057">
      <c r="BX3057" t="e">
        <f>IF(OR(cMed=0,cMed2=0,3055&gt;nFilas),NA(),IF(AND(ISNUMBER(INDEX(rMed2,3055)),ISNUMBER(INDEX(rMed,3055))),INDEX(rMed2,3055),NA()))</f>
        <v>#N/A</v>
      </c>
      <c r="BY3057" t="e">
        <f>IF(OR(cMed=0,cMed2=0,3055&gt;nFilas),NA(),IF(AND(ISNUMBER(INDEX(rMed2,3055)),ISNUMBER(INDEX(rMed,3055))),INDEX(rMed,3055),NA()))</f>
        <v>#N/A</v>
      </c>
    </row>
    <row r="3058">
      <c r="BX3058" t="e">
        <f>IF(OR(cMed=0,cMed2=0,3056&gt;nFilas),NA(),IF(AND(ISNUMBER(INDEX(rMed2,3056)),ISNUMBER(INDEX(rMed,3056))),INDEX(rMed2,3056),NA()))</f>
        <v>#N/A</v>
      </c>
      <c r="BY3058" t="e">
        <f>IF(OR(cMed=0,cMed2=0,3056&gt;nFilas),NA(),IF(AND(ISNUMBER(INDEX(rMed2,3056)),ISNUMBER(INDEX(rMed,3056))),INDEX(rMed,3056),NA()))</f>
        <v>#N/A</v>
      </c>
    </row>
    <row r="3059">
      <c r="BX3059" t="e">
        <f>IF(OR(cMed=0,cMed2=0,3057&gt;nFilas),NA(),IF(AND(ISNUMBER(INDEX(rMed2,3057)),ISNUMBER(INDEX(rMed,3057))),INDEX(rMed2,3057),NA()))</f>
        <v>#N/A</v>
      </c>
      <c r="BY3059" t="e">
        <f>IF(OR(cMed=0,cMed2=0,3057&gt;nFilas),NA(),IF(AND(ISNUMBER(INDEX(rMed2,3057)),ISNUMBER(INDEX(rMed,3057))),INDEX(rMed,3057),NA()))</f>
        <v>#N/A</v>
      </c>
    </row>
    <row r="3060">
      <c r="BX3060" t="e">
        <f>IF(OR(cMed=0,cMed2=0,3058&gt;nFilas),NA(),IF(AND(ISNUMBER(INDEX(rMed2,3058)),ISNUMBER(INDEX(rMed,3058))),INDEX(rMed2,3058),NA()))</f>
        <v>#N/A</v>
      </c>
      <c r="BY3060" t="e">
        <f>IF(OR(cMed=0,cMed2=0,3058&gt;nFilas),NA(),IF(AND(ISNUMBER(INDEX(rMed2,3058)),ISNUMBER(INDEX(rMed,3058))),INDEX(rMed,3058),NA()))</f>
        <v>#N/A</v>
      </c>
    </row>
    <row r="3061">
      <c r="BX3061" t="e">
        <f>IF(OR(cMed=0,cMed2=0,3059&gt;nFilas),NA(),IF(AND(ISNUMBER(INDEX(rMed2,3059)),ISNUMBER(INDEX(rMed,3059))),INDEX(rMed2,3059),NA()))</f>
        <v>#N/A</v>
      </c>
      <c r="BY3061" t="e">
        <f>IF(OR(cMed=0,cMed2=0,3059&gt;nFilas),NA(),IF(AND(ISNUMBER(INDEX(rMed2,3059)),ISNUMBER(INDEX(rMed,3059))),INDEX(rMed,3059),NA()))</f>
        <v>#N/A</v>
      </c>
    </row>
    <row r="3062">
      <c r="BX3062" t="e">
        <f>IF(OR(cMed=0,cMed2=0,3060&gt;nFilas),NA(),IF(AND(ISNUMBER(INDEX(rMed2,3060)),ISNUMBER(INDEX(rMed,3060))),INDEX(rMed2,3060),NA()))</f>
        <v>#N/A</v>
      </c>
      <c r="BY3062" t="e">
        <f>IF(OR(cMed=0,cMed2=0,3060&gt;nFilas),NA(),IF(AND(ISNUMBER(INDEX(rMed2,3060)),ISNUMBER(INDEX(rMed,3060))),INDEX(rMed,3060),NA()))</f>
        <v>#N/A</v>
      </c>
    </row>
    <row r="3063">
      <c r="BX3063" t="e">
        <f>IF(OR(cMed=0,cMed2=0,3061&gt;nFilas),NA(),IF(AND(ISNUMBER(INDEX(rMed2,3061)),ISNUMBER(INDEX(rMed,3061))),INDEX(rMed2,3061),NA()))</f>
        <v>#N/A</v>
      </c>
      <c r="BY3063" t="e">
        <f>IF(OR(cMed=0,cMed2=0,3061&gt;nFilas),NA(),IF(AND(ISNUMBER(INDEX(rMed2,3061)),ISNUMBER(INDEX(rMed,3061))),INDEX(rMed,3061),NA()))</f>
        <v>#N/A</v>
      </c>
    </row>
    <row r="3064">
      <c r="BX3064" t="e">
        <f>IF(OR(cMed=0,cMed2=0,3062&gt;nFilas),NA(),IF(AND(ISNUMBER(INDEX(rMed2,3062)),ISNUMBER(INDEX(rMed,3062))),INDEX(rMed2,3062),NA()))</f>
        <v>#N/A</v>
      </c>
      <c r="BY3064" t="e">
        <f>IF(OR(cMed=0,cMed2=0,3062&gt;nFilas),NA(),IF(AND(ISNUMBER(INDEX(rMed2,3062)),ISNUMBER(INDEX(rMed,3062))),INDEX(rMed,3062),NA()))</f>
        <v>#N/A</v>
      </c>
    </row>
    <row r="3065">
      <c r="BX3065" t="e">
        <f>IF(OR(cMed=0,cMed2=0,3063&gt;nFilas),NA(),IF(AND(ISNUMBER(INDEX(rMed2,3063)),ISNUMBER(INDEX(rMed,3063))),INDEX(rMed2,3063),NA()))</f>
        <v>#N/A</v>
      </c>
      <c r="BY3065" t="e">
        <f>IF(OR(cMed=0,cMed2=0,3063&gt;nFilas),NA(),IF(AND(ISNUMBER(INDEX(rMed2,3063)),ISNUMBER(INDEX(rMed,3063))),INDEX(rMed,3063),NA()))</f>
        <v>#N/A</v>
      </c>
    </row>
    <row r="3066">
      <c r="BX3066" t="e">
        <f>IF(OR(cMed=0,cMed2=0,3064&gt;nFilas),NA(),IF(AND(ISNUMBER(INDEX(rMed2,3064)),ISNUMBER(INDEX(rMed,3064))),INDEX(rMed2,3064),NA()))</f>
        <v>#N/A</v>
      </c>
      <c r="BY3066" t="e">
        <f>IF(OR(cMed=0,cMed2=0,3064&gt;nFilas),NA(),IF(AND(ISNUMBER(INDEX(rMed2,3064)),ISNUMBER(INDEX(rMed,3064))),INDEX(rMed,3064),NA()))</f>
        <v>#N/A</v>
      </c>
    </row>
    <row r="3067">
      <c r="BX3067" t="e">
        <f>IF(OR(cMed=0,cMed2=0,3065&gt;nFilas),NA(),IF(AND(ISNUMBER(INDEX(rMed2,3065)),ISNUMBER(INDEX(rMed,3065))),INDEX(rMed2,3065),NA()))</f>
        <v>#N/A</v>
      </c>
      <c r="BY3067" t="e">
        <f>IF(OR(cMed=0,cMed2=0,3065&gt;nFilas),NA(),IF(AND(ISNUMBER(INDEX(rMed2,3065)),ISNUMBER(INDEX(rMed,3065))),INDEX(rMed,3065),NA()))</f>
        <v>#N/A</v>
      </c>
    </row>
    <row r="3068">
      <c r="BX3068" t="e">
        <f>IF(OR(cMed=0,cMed2=0,3066&gt;nFilas),NA(),IF(AND(ISNUMBER(INDEX(rMed2,3066)),ISNUMBER(INDEX(rMed,3066))),INDEX(rMed2,3066),NA()))</f>
        <v>#N/A</v>
      </c>
      <c r="BY3068" t="e">
        <f>IF(OR(cMed=0,cMed2=0,3066&gt;nFilas),NA(),IF(AND(ISNUMBER(INDEX(rMed2,3066)),ISNUMBER(INDEX(rMed,3066))),INDEX(rMed,3066),NA()))</f>
        <v>#N/A</v>
      </c>
    </row>
    <row r="3069">
      <c r="BX3069" t="e">
        <f>IF(OR(cMed=0,cMed2=0,3067&gt;nFilas),NA(),IF(AND(ISNUMBER(INDEX(rMed2,3067)),ISNUMBER(INDEX(rMed,3067))),INDEX(rMed2,3067),NA()))</f>
        <v>#N/A</v>
      </c>
      <c r="BY3069" t="e">
        <f>IF(OR(cMed=0,cMed2=0,3067&gt;nFilas),NA(),IF(AND(ISNUMBER(INDEX(rMed2,3067)),ISNUMBER(INDEX(rMed,3067))),INDEX(rMed,3067),NA()))</f>
        <v>#N/A</v>
      </c>
    </row>
    <row r="3070">
      <c r="BX3070" t="e">
        <f>IF(OR(cMed=0,cMed2=0,3068&gt;nFilas),NA(),IF(AND(ISNUMBER(INDEX(rMed2,3068)),ISNUMBER(INDEX(rMed,3068))),INDEX(rMed2,3068),NA()))</f>
        <v>#N/A</v>
      </c>
      <c r="BY3070" t="e">
        <f>IF(OR(cMed=0,cMed2=0,3068&gt;nFilas),NA(),IF(AND(ISNUMBER(INDEX(rMed2,3068)),ISNUMBER(INDEX(rMed,3068))),INDEX(rMed,3068),NA()))</f>
        <v>#N/A</v>
      </c>
    </row>
    <row r="3071">
      <c r="BX3071" t="e">
        <f>IF(OR(cMed=0,cMed2=0,3069&gt;nFilas),NA(),IF(AND(ISNUMBER(INDEX(rMed2,3069)),ISNUMBER(INDEX(rMed,3069))),INDEX(rMed2,3069),NA()))</f>
        <v>#N/A</v>
      </c>
      <c r="BY3071" t="e">
        <f>IF(OR(cMed=0,cMed2=0,3069&gt;nFilas),NA(),IF(AND(ISNUMBER(INDEX(rMed2,3069)),ISNUMBER(INDEX(rMed,3069))),INDEX(rMed,3069),NA()))</f>
        <v>#N/A</v>
      </c>
    </row>
    <row r="3072">
      <c r="BX3072" t="e">
        <f>IF(OR(cMed=0,cMed2=0,3070&gt;nFilas),NA(),IF(AND(ISNUMBER(INDEX(rMed2,3070)),ISNUMBER(INDEX(rMed,3070))),INDEX(rMed2,3070),NA()))</f>
        <v>#N/A</v>
      </c>
      <c r="BY3072" t="e">
        <f>IF(OR(cMed=0,cMed2=0,3070&gt;nFilas),NA(),IF(AND(ISNUMBER(INDEX(rMed2,3070)),ISNUMBER(INDEX(rMed,3070))),INDEX(rMed,3070),NA()))</f>
        <v>#N/A</v>
      </c>
    </row>
    <row r="3073">
      <c r="BX3073" t="e">
        <f>IF(OR(cMed=0,cMed2=0,3071&gt;nFilas),NA(),IF(AND(ISNUMBER(INDEX(rMed2,3071)),ISNUMBER(INDEX(rMed,3071))),INDEX(rMed2,3071),NA()))</f>
        <v>#N/A</v>
      </c>
      <c r="BY3073" t="e">
        <f>IF(OR(cMed=0,cMed2=0,3071&gt;nFilas),NA(),IF(AND(ISNUMBER(INDEX(rMed2,3071)),ISNUMBER(INDEX(rMed,3071))),INDEX(rMed,3071),NA()))</f>
        <v>#N/A</v>
      </c>
    </row>
    <row r="3074">
      <c r="BX3074" t="e">
        <f>IF(OR(cMed=0,cMed2=0,3072&gt;nFilas),NA(),IF(AND(ISNUMBER(INDEX(rMed2,3072)),ISNUMBER(INDEX(rMed,3072))),INDEX(rMed2,3072),NA()))</f>
        <v>#N/A</v>
      </c>
      <c r="BY3074" t="e">
        <f>IF(OR(cMed=0,cMed2=0,3072&gt;nFilas),NA(),IF(AND(ISNUMBER(INDEX(rMed2,3072)),ISNUMBER(INDEX(rMed,3072))),INDEX(rMed,3072),NA()))</f>
        <v>#N/A</v>
      </c>
    </row>
    <row r="3075">
      <c r="BX3075" t="e">
        <f>IF(OR(cMed=0,cMed2=0,3073&gt;nFilas),NA(),IF(AND(ISNUMBER(INDEX(rMed2,3073)),ISNUMBER(INDEX(rMed,3073))),INDEX(rMed2,3073),NA()))</f>
        <v>#N/A</v>
      </c>
      <c r="BY3075" t="e">
        <f>IF(OR(cMed=0,cMed2=0,3073&gt;nFilas),NA(),IF(AND(ISNUMBER(INDEX(rMed2,3073)),ISNUMBER(INDEX(rMed,3073))),INDEX(rMed,3073),NA()))</f>
        <v>#N/A</v>
      </c>
    </row>
    <row r="3076">
      <c r="BX3076" t="e">
        <f>IF(OR(cMed=0,cMed2=0,3074&gt;nFilas),NA(),IF(AND(ISNUMBER(INDEX(rMed2,3074)),ISNUMBER(INDEX(rMed,3074))),INDEX(rMed2,3074),NA()))</f>
        <v>#N/A</v>
      </c>
      <c r="BY3076" t="e">
        <f>IF(OR(cMed=0,cMed2=0,3074&gt;nFilas),NA(),IF(AND(ISNUMBER(INDEX(rMed2,3074)),ISNUMBER(INDEX(rMed,3074))),INDEX(rMed,3074),NA()))</f>
        <v>#N/A</v>
      </c>
    </row>
    <row r="3077">
      <c r="BX3077" t="e">
        <f>IF(OR(cMed=0,cMed2=0,3075&gt;nFilas),NA(),IF(AND(ISNUMBER(INDEX(rMed2,3075)),ISNUMBER(INDEX(rMed,3075))),INDEX(rMed2,3075),NA()))</f>
        <v>#N/A</v>
      </c>
      <c r="BY3077" t="e">
        <f>IF(OR(cMed=0,cMed2=0,3075&gt;nFilas),NA(),IF(AND(ISNUMBER(INDEX(rMed2,3075)),ISNUMBER(INDEX(rMed,3075))),INDEX(rMed,3075),NA()))</f>
        <v>#N/A</v>
      </c>
    </row>
    <row r="3078">
      <c r="BX3078" t="e">
        <f>IF(OR(cMed=0,cMed2=0,3076&gt;nFilas),NA(),IF(AND(ISNUMBER(INDEX(rMed2,3076)),ISNUMBER(INDEX(rMed,3076))),INDEX(rMed2,3076),NA()))</f>
        <v>#N/A</v>
      </c>
      <c r="BY3078" t="e">
        <f>IF(OR(cMed=0,cMed2=0,3076&gt;nFilas),NA(),IF(AND(ISNUMBER(INDEX(rMed2,3076)),ISNUMBER(INDEX(rMed,3076))),INDEX(rMed,3076),NA()))</f>
        <v>#N/A</v>
      </c>
    </row>
    <row r="3079">
      <c r="BX3079" t="e">
        <f>IF(OR(cMed=0,cMed2=0,3077&gt;nFilas),NA(),IF(AND(ISNUMBER(INDEX(rMed2,3077)),ISNUMBER(INDEX(rMed,3077))),INDEX(rMed2,3077),NA()))</f>
        <v>#N/A</v>
      </c>
      <c r="BY3079" t="e">
        <f>IF(OR(cMed=0,cMed2=0,3077&gt;nFilas),NA(),IF(AND(ISNUMBER(INDEX(rMed2,3077)),ISNUMBER(INDEX(rMed,3077))),INDEX(rMed,3077),NA()))</f>
        <v>#N/A</v>
      </c>
    </row>
    <row r="3080">
      <c r="BX3080" t="e">
        <f>IF(OR(cMed=0,cMed2=0,3078&gt;nFilas),NA(),IF(AND(ISNUMBER(INDEX(rMed2,3078)),ISNUMBER(INDEX(rMed,3078))),INDEX(rMed2,3078),NA()))</f>
        <v>#N/A</v>
      </c>
      <c r="BY3080" t="e">
        <f>IF(OR(cMed=0,cMed2=0,3078&gt;nFilas),NA(),IF(AND(ISNUMBER(INDEX(rMed2,3078)),ISNUMBER(INDEX(rMed,3078))),INDEX(rMed,3078),NA()))</f>
        <v>#N/A</v>
      </c>
    </row>
    <row r="3081">
      <c r="BX3081" t="e">
        <f>IF(OR(cMed=0,cMed2=0,3079&gt;nFilas),NA(),IF(AND(ISNUMBER(INDEX(rMed2,3079)),ISNUMBER(INDEX(rMed,3079))),INDEX(rMed2,3079),NA()))</f>
        <v>#N/A</v>
      </c>
      <c r="BY3081" t="e">
        <f>IF(OR(cMed=0,cMed2=0,3079&gt;nFilas),NA(),IF(AND(ISNUMBER(INDEX(rMed2,3079)),ISNUMBER(INDEX(rMed,3079))),INDEX(rMed,3079),NA()))</f>
        <v>#N/A</v>
      </c>
    </row>
    <row r="3082">
      <c r="BX3082" t="e">
        <f>IF(OR(cMed=0,cMed2=0,3080&gt;nFilas),NA(),IF(AND(ISNUMBER(INDEX(rMed2,3080)),ISNUMBER(INDEX(rMed,3080))),INDEX(rMed2,3080),NA()))</f>
        <v>#N/A</v>
      </c>
      <c r="BY3082" t="e">
        <f>IF(OR(cMed=0,cMed2=0,3080&gt;nFilas),NA(),IF(AND(ISNUMBER(INDEX(rMed2,3080)),ISNUMBER(INDEX(rMed,3080))),INDEX(rMed,3080),NA()))</f>
        <v>#N/A</v>
      </c>
    </row>
    <row r="3083">
      <c r="BX3083" t="e">
        <f>IF(OR(cMed=0,cMed2=0,3081&gt;nFilas),NA(),IF(AND(ISNUMBER(INDEX(rMed2,3081)),ISNUMBER(INDEX(rMed,3081))),INDEX(rMed2,3081),NA()))</f>
        <v>#N/A</v>
      </c>
      <c r="BY3083" t="e">
        <f>IF(OR(cMed=0,cMed2=0,3081&gt;nFilas),NA(),IF(AND(ISNUMBER(INDEX(rMed2,3081)),ISNUMBER(INDEX(rMed,3081))),INDEX(rMed,3081),NA()))</f>
        <v>#N/A</v>
      </c>
    </row>
    <row r="3084">
      <c r="BX3084" t="e">
        <f>IF(OR(cMed=0,cMed2=0,3082&gt;nFilas),NA(),IF(AND(ISNUMBER(INDEX(rMed2,3082)),ISNUMBER(INDEX(rMed,3082))),INDEX(rMed2,3082),NA()))</f>
        <v>#N/A</v>
      </c>
      <c r="BY3084" t="e">
        <f>IF(OR(cMed=0,cMed2=0,3082&gt;nFilas),NA(),IF(AND(ISNUMBER(INDEX(rMed2,3082)),ISNUMBER(INDEX(rMed,3082))),INDEX(rMed,3082),NA()))</f>
        <v>#N/A</v>
      </c>
    </row>
    <row r="3085">
      <c r="BX3085" t="e">
        <f>IF(OR(cMed=0,cMed2=0,3083&gt;nFilas),NA(),IF(AND(ISNUMBER(INDEX(rMed2,3083)),ISNUMBER(INDEX(rMed,3083))),INDEX(rMed2,3083),NA()))</f>
        <v>#N/A</v>
      </c>
      <c r="BY3085" t="e">
        <f>IF(OR(cMed=0,cMed2=0,3083&gt;nFilas),NA(),IF(AND(ISNUMBER(INDEX(rMed2,3083)),ISNUMBER(INDEX(rMed,3083))),INDEX(rMed,3083),NA()))</f>
        <v>#N/A</v>
      </c>
    </row>
    <row r="3086">
      <c r="BX3086" t="e">
        <f>IF(OR(cMed=0,cMed2=0,3084&gt;nFilas),NA(),IF(AND(ISNUMBER(INDEX(rMed2,3084)),ISNUMBER(INDEX(rMed,3084))),INDEX(rMed2,3084),NA()))</f>
        <v>#N/A</v>
      </c>
      <c r="BY3086" t="e">
        <f>IF(OR(cMed=0,cMed2=0,3084&gt;nFilas),NA(),IF(AND(ISNUMBER(INDEX(rMed2,3084)),ISNUMBER(INDEX(rMed,3084))),INDEX(rMed,3084),NA()))</f>
        <v>#N/A</v>
      </c>
    </row>
    <row r="3087">
      <c r="BX3087" t="e">
        <f>IF(OR(cMed=0,cMed2=0,3085&gt;nFilas),NA(),IF(AND(ISNUMBER(INDEX(rMed2,3085)),ISNUMBER(INDEX(rMed,3085))),INDEX(rMed2,3085),NA()))</f>
        <v>#N/A</v>
      </c>
      <c r="BY3087" t="e">
        <f>IF(OR(cMed=0,cMed2=0,3085&gt;nFilas),NA(),IF(AND(ISNUMBER(INDEX(rMed2,3085)),ISNUMBER(INDEX(rMed,3085))),INDEX(rMed,3085),NA()))</f>
        <v>#N/A</v>
      </c>
    </row>
    <row r="3088">
      <c r="BX3088" t="e">
        <f>IF(OR(cMed=0,cMed2=0,3086&gt;nFilas),NA(),IF(AND(ISNUMBER(INDEX(rMed2,3086)),ISNUMBER(INDEX(rMed,3086))),INDEX(rMed2,3086),NA()))</f>
        <v>#N/A</v>
      </c>
      <c r="BY3088" t="e">
        <f>IF(OR(cMed=0,cMed2=0,3086&gt;nFilas),NA(),IF(AND(ISNUMBER(INDEX(rMed2,3086)),ISNUMBER(INDEX(rMed,3086))),INDEX(rMed,3086),NA()))</f>
        <v>#N/A</v>
      </c>
    </row>
    <row r="3089">
      <c r="BX3089" t="e">
        <f>IF(OR(cMed=0,cMed2=0,3087&gt;nFilas),NA(),IF(AND(ISNUMBER(INDEX(rMed2,3087)),ISNUMBER(INDEX(rMed,3087))),INDEX(rMed2,3087),NA()))</f>
        <v>#N/A</v>
      </c>
      <c r="BY3089" t="e">
        <f>IF(OR(cMed=0,cMed2=0,3087&gt;nFilas),NA(),IF(AND(ISNUMBER(INDEX(rMed2,3087)),ISNUMBER(INDEX(rMed,3087))),INDEX(rMed,3087),NA()))</f>
        <v>#N/A</v>
      </c>
    </row>
    <row r="3090">
      <c r="BX3090" t="e">
        <f>IF(OR(cMed=0,cMed2=0,3088&gt;nFilas),NA(),IF(AND(ISNUMBER(INDEX(rMed2,3088)),ISNUMBER(INDEX(rMed,3088))),INDEX(rMed2,3088),NA()))</f>
        <v>#N/A</v>
      </c>
      <c r="BY3090" t="e">
        <f>IF(OR(cMed=0,cMed2=0,3088&gt;nFilas),NA(),IF(AND(ISNUMBER(INDEX(rMed2,3088)),ISNUMBER(INDEX(rMed,3088))),INDEX(rMed,3088),NA()))</f>
        <v>#N/A</v>
      </c>
    </row>
    <row r="3091">
      <c r="BX3091" t="e">
        <f>IF(OR(cMed=0,cMed2=0,3089&gt;nFilas),NA(),IF(AND(ISNUMBER(INDEX(rMed2,3089)),ISNUMBER(INDEX(rMed,3089))),INDEX(rMed2,3089),NA()))</f>
        <v>#N/A</v>
      </c>
      <c r="BY3091" t="e">
        <f>IF(OR(cMed=0,cMed2=0,3089&gt;nFilas),NA(),IF(AND(ISNUMBER(INDEX(rMed2,3089)),ISNUMBER(INDEX(rMed,3089))),INDEX(rMed,3089),NA()))</f>
        <v>#N/A</v>
      </c>
    </row>
    <row r="3092">
      <c r="BX3092" t="e">
        <f>IF(OR(cMed=0,cMed2=0,3090&gt;nFilas),NA(),IF(AND(ISNUMBER(INDEX(rMed2,3090)),ISNUMBER(INDEX(rMed,3090))),INDEX(rMed2,3090),NA()))</f>
        <v>#N/A</v>
      </c>
      <c r="BY3092" t="e">
        <f>IF(OR(cMed=0,cMed2=0,3090&gt;nFilas),NA(),IF(AND(ISNUMBER(INDEX(rMed2,3090)),ISNUMBER(INDEX(rMed,3090))),INDEX(rMed,3090),NA()))</f>
        <v>#N/A</v>
      </c>
    </row>
    <row r="3093">
      <c r="BX3093" t="e">
        <f>IF(OR(cMed=0,cMed2=0,3091&gt;nFilas),NA(),IF(AND(ISNUMBER(INDEX(rMed2,3091)),ISNUMBER(INDEX(rMed,3091))),INDEX(rMed2,3091),NA()))</f>
        <v>#N/A</v>
      </c>
      <c r="BY3093" t="e">
        <f>IF(OR(cMed=0,cMed2=0,3091&gt;nFilas),NA(),IF(AND(ISNUMBER(INDEX(rMed2,3091)),ISNUMBER(INDEX(rMed,3091))),INDEX(rMed,3091),NA()))</f>
        <v>#N/A</v>
      </c>
    </row>
    <row r="3094">
      <c r="BX3094" t="e">
        <f>IF(OR(cMed=0,cMed2=0,3092&gt;nFilas),NA(),IF(AND(ISNUMBER(INDEX(rMed2,3092)),ISNUMBER(INDEX(rMed,3092))),INDEX(rMed2,3092),NA()))</f>
        <v>#N/A</v>
      </c>
      <c r="BY3094" t="e">
        <f>IF(OR(cMed=0,cMed2=0,3092&gt;nFilas),NA(),IF(AND(ISNUMBER(INDEX(rMed2,3092)),ISNUMBER(INDEX(rMed,3092))),INDEX(rMed,3092),NA()))</f>
        <v>#N/A</v>
      </c>
    </row>
    <row r="3095">
      <c r="BX3095" t="e">
        <f>IF(OR(cMed=0,cMed2=0,3093&gt;nFilas),NA(),IF(AND(ISNUMBER(INDEX(rMed2,3093)),ISNUMBER(INDEX(rMed,3093))),INDEX(rMed2,3093),NA()))</f>
        <v>#N/A</v>
      </c>
      <c r="BY3095" t="e">
        <f>IF(OR(cMed=0,cMed2=0,3093&gt;nFilas),NA(),IF(AND(ISNUMBER(INDEX(rMed2,3093)),ISNUMBER(INDEX(rMed,3093))),INDEX(rMed,3093),NA()))</f>
        <v>#N/A</v>
      </c>
    </row>
    <row r="3096">
      <c r="BX3096" t="e">
        <f>IF(OR(cMed=0,cMed2=0,3094&gt;nFilas),NA(),IF(AND(ISNUMBER(INDEX(rMed2,3094)),ISNUMBER(INDEX(rMed,3094))),INDEX(rMed2,3094),NA()))</f>
        <v>#N/A</v>
      </c>
      <c r="BY3096" t="e">
        <f>IF(OR(cMed=0,cMed2=0,3094&gt;nFilas),NA(),IF(AND(ISNUMBER(INDEX(rMed2,3094)),ISNUMBER(INDEX(rMed,3094))),INDEX(rMed,3094),NA()))</f>
        <v>#N/A</v>
      </c>
    </row>
    <row r="3097">
      <c r="BX3097" t="e">
        <f>IF(OR(cMed=0,cMed2=0,3095&gt;nFilas),NA(),IF(AND(ISNUMBER(INDEX(rMed2,3095)),ISNUMBER(INDEX(rMed,3095))),INDEX(rMed2,3095),NA()))</f>
        <v>#N/A</v>
      </c>
      <c r="BY3097" t="e">
        <f>IF(OR(cMed=0,cMed2=0,3095&gt;nFilas),NA(),IF(AND(ISNUMBER(INDEX(rMed2,3095)),ISNUMBER(INDEX(rMed,3095))),INDEX(rMed,3095),NA()))</f>
        <v>#N/A</v>
      </c>
    </row>
    <row r="3098">
      <c r="BX3098" t="e">
        <f>IF(OR(cMed=0,cMed2=0,3096&gt;nFilas),NA(),IF(AND(ISNUMBER(INDEX(rMed2,3096)),ISNUMBER(INDEX(rMed,3096))),INDEX(rMed2,3096),NA()))</f>
        <v>#N/A</v>
      </c>
      <c r="BY3098" t="e">
        <f>IF(OR(cMed=0,cMed2=0,3096&gt;nFilas),NA(),IF(AND(ISNUMBER(INDEX(rMed2,3096)),ISNUMBER(INDEX(rMed,3096))),INDEX(rMed,3096),NA()))</f>
        <v>#N/A</v>
      </c>
    </row>
    <row r="3099">
      <c r="BX3099" t="e">
        <f>IF(OR(cMed=0,cMed2=0,3097&gt;nFilas),NA(),IF(AND(ISNUMBER(INDEX(rMed2,3097)),ISNUMBER(INDEX(rMed,3097))),INDEX(rMed2,3097),NA()))</f>
        <v>#N/A</v>
      </c>
      <c r="BY3099" t="e">
        <f>IF(OR(cMed=0,cMed2=0,3097&gt;nFilas),NA(),IF(AND(ISNUMBER(INDEX(rMed2,3097)),ISNUMBER(INDEX(rMed,3097))),INDEX(rMed,3097),NA()))</f>
        <v>#N/A</v>
      </c>
    </row>
    <row r="3100">
      <c r="BX3100" t="e">
        <f>IF(OR(cMed=0,cMed2=0,3098&gt;nFilas),NA(),IF(AND(ISNUMBER(INDEX(rMed2,3098)),ISNUMBER(INDEX(rMed,3098))),INDEX(rMed2,3098),NA()))</f>
        <v>#N/A</v>
      </c>
      <c r="BY3100" t="e">
        <f>IF(OR(cMed=0,cMed2=0,3098&gt;nFilas),NA(),IF(AND(ISNUMBER(INDEX(rMed2,3098)),ISNUMBER(INDEX(rMed,3098))),INDEX(rMed,3098),NA()))</f>
        <v>#N/A</v>
      </c>
    </row>
    <row r="3101">
      <c r="BX3101" t="e">
        <f>IF(OR(cMed=0,cMed2=0,3099&gt;nFilas),NA(),IF(AND(ISNUMBER(INDEX(rMed2,3099)),ISNUMBER(INDEX(rMed,3099))),INDEX(rMed2,3099),NA()))</f>
        <v>#N/A</v>
      </c>
      <c r="BY3101" t="e">
        <f>IF(OR(cMed=0,cMed2=0,3099&gt;nFilas),NA(),IF(AND(ISNUMBER(INDEX(rMed2,3099)),ISNUMBER(INDEX(rMed,3099))),INDEX(rMed,3099),NA()))</f>
        <v>#N/A</v>
      </c>
    </row>
    <row r="3102">
      <c r="BX3102" t="e">
        <f>IF(OR(cMed=0,cMed2=0,3100&gt;nFilas),NA(),IF(AND(ISNUMBER(INDEX(rMed2,3100)),ISNUMBER(INDEX(rMed,3100))),INDEX(rMed2,3100),NA()))</f>
        <v>#N/A</v>
      </c>
      <c r="BY3102" t="e">
        <f>IF(OR(cMed=0,cMed2=0,3100&gt;nFilas),NA(),IF(AND(ISNUMBER(INDEX(rMed2,3100)),ISNUMBER(INDEX(rMed,3100))),INDEX(rMed,3100),NA()))</f>
        <v>#N/A</v>
      </c>
    </row>
    <row r="3103">
      <c r="BX3103" t="e">
        <f>IF(OR(cMed=0,cMed2=0,3101&gt;nFilas),NA(),IF(AND(ISNUMBER(INDEX(rMed2,3101)),ISNUMBER(INDEX(rMed,3101))),INDEX(rMed2,3101),NA()))</f>
        <v>#N/A</v>
      </c>
      <c r="BY3103" t="e">
        <f>IF(OR(cMed=0,cMed2=0,3101&gt;nFilas),NA(),IF(AND(ISNUMBER(INDEX(rMed2,3101)),ISNUMBER(INDEX(rMed,3101))),INDEX(rMed,3101),NA()))</f>
        <v>#N/A</v>
      </c>
    </row>
    <row r="3104">
      <c r="BX3104" t="e">
        <f>IF(OR(cMed=0,cMed2=0,3102&gt;nFilas),NA(),IF(AND(ISNUMBER(INDEX(rMed2,3102)),ISNUMBER(INDEX(rMed,3102))),INDEX(rMed2,3102),NA()))</f>
        <v>#N/A</v>
      </c>
      <c r="BY3104" t="e">
        <f>IF(OR(cMed=0,cMed2=0,3102&gt;nFilas),NA(),IF(AND(ISNUMBER(INDEX(rMed2,3102)),ISNUMBER(INDEX(rMed,3102))),INDEX(rMed,3102),NA()))</f>
        <v>#N/A</v>
      </c>
    </row>
    <row r="3105">
      <c r="BX3105" t="e">
        <f>IF(OR(cMed=0,cMed2=0,3103&gt;nFilas),NA(),IF(AND(ISNUMBER(INDEX(rMed2,3103)),ISNUMBER(INDEX(rMed,3103))),INDEX(rMed2,3103),NA()))</f>
        <v>#N/A</v>
      </c>
      <c r="BY3105" t="e">
        <f>IF(OR(cMed=0,cMed2=0,3103&gt;nFilas),NA(),IF(AND(ISNUMBER(INDEX(rMed2,3103)),ISNUMBER(INDEX(rMed,3103))),INDEX(rMed,3103),NA()))</f>
        <v>#N/A</v>
      </c>
    </row>
    <row r="3106">
      <c r="BX3106" t="e">
        <f>IF(OR(cMed=0,cMed2=0,3104&gt;nFilas),NA(),IF(AND(ISNUMBER(INDEX(rMed2,3104)),ISNUMBER(INDEX(rMed,3104))),INDEX(rMed2,3104),NA()))</f>
        <v>#N/A</v>
      </c>
      <c r="BY3106" t="e">
        <f>IF(OR(cMed=0,cMed2=0,3104&gt;nFilas),NA(),IF(AND(ISNUMBER(INDEX(rMed2,3104)),ISNUMBER(INDEX(rMed,3104))),INDEX(rMed,3104),NA()))</f>
        <v>#N/A</v>
      </c>
    </row>
    <row r="3107">
      <c r="BX3107" t="e">
        <f>IF(OR(cMed=0,cMed2=0,3105&gt;nFilas),NA(),IF(AND(ISNUMBER(INDEX(rMed2,3105)),ISNUMBER(INDEX(rMed,3105))),INDEX(rMed2,3105),NA()))</f>
        <v>#N/A</v>
      </c>
      <c r="BY3107" t="e">
        <f>IF(OR(cMed=0,cMed2=0,3105&gt;nFilas),NA(),IF(AND(ISNUMBER(INDEX(rMed2,3105)),ISNUMBER(INDEX(rMed,3105))),INDEX(rMed,3105),NA()))</f>
        <v>#N/A</v>
      </c>
    </row>
    <row r="3108">
      <c r="BX3108" t="e">
        <f>IF(OR(cMed=0,cMed2=0,3106&gt;nFilas),NA(),IF(AND(ISNUMBER(INDEX(rMed2,3106)),ISNUMBER(INDEX(rMed,3106))),INDEX(rMed2,3106),NA()))</f>
        <v>#N/A</v>
      </c>
      <c r="BY3108" t="e">
        <f>IF(OR(cMed=0,cMed2=0,3106&gt;nFilas),NA(),IF(AND(ISNUMBER(INDEX(rMed2,3106)),ISNUMBER(INDEX(rMed,3106))),INDEX(rMed,3106),NA()))</f>
        <v>#N/A</v>
      </c>
    </row>
    <row r="3109">
      <c r="BX3109" t="e">
        <f>IF(OR(cMed=0,cMed2=0,3107&gt;nFilas),NA(),IF(AND(ISNUMBER(INDEX(rMed2,3107)),ISNUMBER(INDEX(rMed,3107))),INDEX(rMed2,3107),NA()))</f>
        <v>#N/A</v>
      </c>
      <c r="BY3109" t="e">
        <f>IF(OR(cMed=0,cMed2=0,3107&gt;nFilas),NA(),IF(AND(ISNUMBER(INDEX(rMed2,3107)),ISNUMBER(INDEX(rMed,3107))),INDEX(rMed,3107),NA()))</f>
        <v>#N/A</v>
      </c>
    </row>
    <row r="3110">
      <c r="BX3110" t="e">
        <f>IF(OR(cMed=0,cMed2=0,3108&gt;nFilas),NA(),IF(AND(ISNUMBER(INDEX(rMed2,3108)),ISNUMBER(INDEX(rMed,3108))),INDEX(rMed2,3108),NA()))</f>
        <v>#N/A</v>
      </c>
      <c r="BY3110" t="e">
        <f>IF(OR(cMed=0,cMed2=0,3108&gt;nFilas),NA(),IF(AND(ISNUMBER(INDEX(rMed2,3108)),ISNUMBER(INDEX(rMed,3108))),INDEX(rMed,3108),NA()))</f>
        <v>#N/A</v>
      </c>
    </row>
    <row r="3111">
      <c r="BX3111" t="e">
        <f>IF(OR(cMed=0,cMed2=0,3109&gt;nFilas),NA(),IF(AND(ISNUMBER(INDEX(rMed2,3109)),ISNUMBER(INDEX(rMed,3109))),INDEX(rMed2,3109),NA()))</f>
        <v>#N/A</v>
      </c>
      <c r="BY3111" t="e">
        <f>IF(OR(cMed=0,cMed2=0,3109&gt;nFilas),NA(),IF(AND(ISNUMBER(INDEX(rMed2,3109)),ISNUMBER(INDEX(rMed,3109))),INDEX(rMed,3109),NA()))</f>
        <v>#N/A</v>
      </c>
    </row>
    <row r="3112">
      <c r="BX3112" t="e">
        <f>IF(OR(cMed=0,cMed2=0,3110&gt;nFilas),NA(),IF(AND(ISNUMBER(INDEX(rMed2,3110)),ISNUMBER(INDEX(rMed,3110))),INDEX(rMed2,3110),NA()))</f>
        <v>#N/A</v>
      </c>
      <c r="BY3112" t="e">
        <f>IF(OR(cMed=0,cMed2=0,3110&gt;nFilas),NA(),IF(AND(ISNUMBER(INDEX(rMed2,3110)),ISNUMBER(INDEX(rMed,3110))),INDEX(rMed,3110),NA()))</f>
        <v>#N/A</v>
      </c>
    </row>
    <row r="3113">
      <c r="BX3113" t="e">
        <f>IF(OR(cMed=0,cMed2=0,3111&gt;nFilas),NA(),IF(AND(ISNUMBER(INDEX(rMed2,3111)),ISNUMBER(INDEX(rMed,3111))),INDEX(rMed2,3111),NA()))</f>
        <v>#N/A</v>
      </c>
      <c r="BY3113" t="e">
        <f>IF(OR(cMed=0,cMed2=0,3111&gt;nFilas),NA(),IF(AND(ISNUMBER(INDEX(rMed2,3111)),ISNUMBER(INDEX(rMed,3111))),INDEX(rMed,3111),NA()))</f>
        <v>#N/A</v>
      </c>
    </row>
    <row r="3114">
      <c r="BX3114" t="e">
        <f>IF(OR(cMed=0,cMed2=0,3112&gt;nFilas),NA(),IF(AND(ISNUMBER(INDEX(rMed2,3112)),ISNUMBER(INDEX(rMed,3112))),INDEX(rMed2,3112),NA()))</f>
        <v>#N/A</v>
      </c>
      <c r="BY3114" t="e">
        <f>IF(OR(cMed=0,cMed2=0,3112&gt;nFilas),NA(),IF(AND(ISNUMBER(INDEX(rMed2,3112)),ISNUMBER(INDEX(rMed,3112))),INDEX(rMed,3112),NA()))</f>
        <v>#N/A</v>
      </c>
    </row>
    <row r="3115">
      <c r="BX3115" t="e">
        <f>IF(OR(cMed=0,cMed2=0,3113&gt;nFilas),NA(),IF(AND(ISNUMBER(INDEX(rMed2,3113)),ISNUMBER(INDEX(rMed,3113))),INDEX(rMed2,3113),NA()))</f>
        <v>#N/A</v>
      </c>
      <c r="BY3115" t="e">
        <f>IF(OR(cMed=0,cMed2=0,3113&gt;nFilas),NA(),IF(AND(ISNUMBER(INDEX(rMed2,3113)),ISNUMBER(INDEX(rMed,3113))),INDEX(rMed,3113),NA()))</f>
        <v>#N/A</v>
      </c>
    </row>
    <row r="3116">
      <c r="BX3116" t="e">
        <f>IF(OR(cMed=0,cMed2=0,3114&gt;nFilas),NA(),IF(AND(ISNUMBER(INDEX(rMed2,3114)),ISNUMBER(INDEX(rMed,3114))),INDEX(rMed2,3114),NA()))</f>
        <v>#N/A</v>
      </c>
      <c r="BY3116" t="e">
        <f>IF(OR(cMed=0,cMed2=0,3114&gt;nFilas),NA(),IF(AND(ISNUMBER(INDEX(rMed2,3114)),ISNUMBER(INDEX(rMed,3114))),INDEX(rMed,3114),NA()))</f>
        <v>#N/A</v>
      </c>
    </row>
    <row r="3117">
      <c r="BX3117" t="e">
        <f>IF(OR(cMed=0,cMed2=0,3115&gt;nFilas),NA(),IF(AND(ISNUMBER(INDEX(rMed2,3115)),ISNUMBER(INDEX(rMed,3115))),INDEX(rMed2,3115),NA()))</f>
        <v>#N/A</v>
      </c>
      <c r="BY3117" t="e">
        <f>IF(OR(cMed=0,cMed2=0,3115&gt;nFilas),NA(),IF(AND(ISNUMBER(INDEX(rMed2,3115)),ISNUMBER(INDEX(rMed,3115))),INDEX(rMed,3115),NA()))</f>
        <v>#N/A</v>
      </c>
    </row>
    <row r="3118">
      <c r="BX3118" t="e">
        <f>IF(OR(cMed=0,cMed2=0,3116&gt;nFilas),NA(),IF(AND(ISNUMBER(INDEX(rMed2,3116)),ISNUMBER(INDEX(rMed,3116))),INDEX(rMed2,3116),NA()))</f>
        <v>#N/A</v>
      </c>
      <c r="BY3118" t="e">
        <f>IF(OR(cMed=0,cMed2=0,3116&gt;nFilas),NA(),IF(AND(ISNUMBER(INDEX(rMed2,3116)),ISNUMBER(INDEX(rMed,3116))),INDEX(rMed,3116),NA()))</f>
        <v>#N/A</v>
      </c>
    </row>
    <row r="3119">
      <c r="BX3119" t="e">
        <f>IF(OR(cMed=0,cMed2=0,3117&gt;nFilas),NA(),IF(AND(ISNUMBER(INDEX(rMed2,3117)),ISNUMBER(INDEX(rMed,3117))),INDEX(rMed2,3117),NA()))</f>
        <v>#N/A</v>
      </c>
      <c r="BY3119" t="e">
        <f>IF(OR(cMed=0,cMed2=0,3117&gt;nFilas),NA(),IF(AND(ISNUMBER(INDEX(rMed2,3117)),ISNUMBER(INDEX(rMed,3117))),INDEX(rMed,3117),NA()))</f>
        <v>#N/A</v>
      </c>
    </row>
    <row r="3120">
      <c r="BX3120" t="e">
        <f>IF(OR(cMed=0,cMed2=0,3118&gt;nFilas),NA(),IF(AND(ISNUMBER(INDEX(rMed2,3118)),ISNUMBER(INDEX(rMed,3118))),INDEX(rMed2,3118),NA()))</f>
        <v>#N/A</v>
      </c>
      <c r="BY3120" t="e">
        <f>IF(OR(cMed=0,cMed2=0,3118&gt;nFilas),NA(),IF(AND(ISNUMBER(INDEX(rMed2,3118)),ISNUMBER(INDEX(rMed,3118))),INDEX(rMed,3118),NA()))</f>
        <v>#N/A</v>
      </c>
    </row>
    <row r="3121">
      <c r="BX3121" t="e">
        <f>IF(OR(cMed=0,cMed2=0,3119&gt;nFilas),NA(),IF(AND(ISNUMBER(INDEX(rMed2,3119)),ISNUMBER(INDEX(rMed,3119))),INDEX(rMed2,3119),NA()))</f>
        <v>#N/A</v>
      </c>
      <c r="BY3121" t="e">
        <f>IF(OR(cMed=0,cMed2=0,3119&gt;nFilas),NA(),IF(AND(ISNUMBER(INDEX(rMed2,3119)),ISNUMBER(INDEX(rMed,3119))),INDEX(rMed,3119),NA()))</f>
        <v>#N/A</v>
      </c>
    </row>
    <row r="3122">
      <c r="BX3122" t="e">
        <f>IF(OR(cMed=0,cMed2=0,3120&gt;nFilas),NA(),IF(AND(ISNUMBER(INDEX(rMed2,3120)),ISNUMBER(INDEX(rMed,3120))),INDEX(rMed2,3120),NA()))</f>
        <v>#N/A</v>
      </c>
      <c r="BY3122" t="e">
        <f>IF(OR(cMed=0,cMed2=0,3120&gt;nFilas),NA(),IF(AND(ISNUMBER(INDEX(rMed2,3120)),ISNUMBER(INDEX(rMed,3120))),INDEX(rMed,3120),NA()))</f>
        <v>#N/A</v>
      </c>
    </row>
    <row r="3123">
      <c r="BX3123" t="e">
        <f>IF(OR(cMed=0,cMed2=0,3121&gt;nFilas),NA(),IF(AND(ISNUMBER(INDEX(rMed2,3121)),ISNUMBER(INDEX(rMed,3121))),INDEX(rMed2,3121),NA()))</f>
        <v>#N/A</v>
      </c>
      <c r="BY3123" t="e">
        <f>IF(OR(cMed=0,cMed2=0,3121&gt;nFilas),NA(),IF(AND(ISNUMBER(INDEX(rMed2,3121)),ISNUMBER(INDEX(rMed,3121))),INDEX(rMed,3121),NA()))</f>
        <v>#N/A</v>
      </c>
    </row>
    <row r="3124">
      <c r="BX3124" t="e">
        <f>IF(OR(cMed=0,cMed2=0,3122&gt;nFilas),NA(),IF(AND(ISNUMBER(INDEX(rMed2,3122)),ISNUMBER(INDEX(rMed,3122))),INDEX(rMed2,3122),NA()))</f>
        <v>#N/A</v>
      </c>
      <c r="BY3124" t="e">
        <f>IF(OR(cMed=0,cMed2=0,3122&gt;nFilas),NA(),IF(AND(ISNUMBER(INDEX(rMed2,3122)),ISNUMBER(INDEX(rMed,3122))),INDEX(rMed,3122),NA()))</f>
        <v>#N/A</v>
      </c>
    </row>
    <row r="3125">
      <c r="BX3125" t="e">
        <f>IF(OR(cMed=0,cMed2=0,3123&gt;nFilas),NA(),IF(AND(ISNUMBER(INDEX(rMed2,3123)),ISNUMBER(INDEX(rMed,3123))),INDEX(rMed2,3123),NA()))</f>
        <v>#N/A</v>
      </c>
      <c r="BY3125" t="e">
        <f>IF(OR(cMed=0,cMed2=0,3123&gt;nFilas),NA(),IF(AND(ISNUMBER(INDEX(rMed2,3123)),ISNUMBER(INDEX(rMed,3123))),INDEX(rMed,3123),NA()))</f>
        <v>#N/A</v>
      </c>
    </row>
    <row r="3126">
      <c r="BX3126" t="e">
        <f>IF(OR(cMed=0,cMed2=0,3124&gt;nFilas),NA(),IF(AND(ISNUMBER(INDEX(rMed2,3124)),ISNUMBER(INDEX(rMed,3124))),INDEX(rMed2,3124),NA()))</f>
        <v>#N/A</v>
      </c>
      <c r="BY3126" t="e">
        <f>IF(OR(cMed=0,cMed2=0,3124&gt;nFilas),NA(),IF(AND(ISNUMBER(INDEX(rMed2,3124)),ISNUMBER(INDEX(rMed,3124))),INDEX(rMed,3124),NA()))</f>
        <v>#N/A</v>
      </c>
    </row>
    <row r="3127">
      <c r="BX3127" t="e">
        <f>IF(OR(cMed=0,cMed2=0,3125&gt;nFilas),NA(),IF(AND(ISNUMBER(INDEX(rMed2,3125)),ISNUMBER(INDEX(rMed,3125))),INDEX(rMed2,3125),NA()))</f>
        <v>#N/A</v>
      </c>
      <c r="BY3127" t="e">
        <f>IF(OR(cMed=0,cMed2=0,3125&gt;nFilas),NA(),IF(AND(ISNUMBER(INDEX(rMed2,3125)),ISNUMBER(INDEX(rMed,3125))),INDEX(rMed,3125),NA()))</f>
        <v>#N/A</v>
      </c>
    </row>
    <row r="3128">
      <c r="BX3128" t="e">
        <f>IF(OR(cMed=0,cMed2=0,3126&gt;nFilas),NA(),IF(AND(ISNUMBER(INDEX(rMed2,3126)),ISNUMBER(INDEX(rMed,3126))),INDEX(rMed2,3126),NA()))</f>
        <v>#N/A</v>
      </c>
      <c r="BY3128" t="e">
        <f>IF(OR(cMed=0,cMed2=0,3126&gt;nFilas),NA(),IF(AND(ISNUMBER(INDEX(rMed2,3126)),ISNUMBER(INDEX(rMed,3126))),INDEX(rMed,3126),NA()))</f>
        <v>#N/A</v>
      </c>
    </row>
    <row r="3129">
      <c r="BX3129" t="e">
        <f>IF(OR(cMed=0,cMed2=0,3127&gt;nFilas),NA(),IF(AND(ISNUMBER(INDEX(rMed2,3127)),ISNUMBER(INDEX(rMed,3127))),INDEX(rMed2,3127),NA()))</f>
        <v>#N/A</v>
      </c>
      <c r="BY3129" t="e">
        <f>IF(OR(cMed=0,cMed2=0,3127&gt;nFilas),NA(),IF(AND(ISNUMBER(INDEX(rMed2,3127)),ISNUMBER(INDEX(rMed,3127))),INDEX(rMed,3127),NA()))</f>
        <v>#N/A</v>
      </c>
    </row>
    <row r="3130">
      <c r="BX3130" t="e">
        <f>IF(OR(cMed=0,cMed2=0,3128&gt;nFilas),NA(),IF(AND(ISNUMBER(INDEX(rMed2,3128)),ISNUMBER(INDEX(rMed,3128))),INDEX(rMed2,3128),NA()))</f>
        <v>#N/A</v>
      </c>
      <c r="BY3130" t="e">
        <f>IF(OR(cMed=0,cMed2=0,3128&gt;nFilas),NA(),IF(AND(ISNUMBER(INDEX(rMed2,3128)),ISNUMBER(INDEX(rMed,3128))),INDEX(rMed,3128),NA()))</f>
        <v>#N/A</v>
      </c>
    </row>
    <row r="3131">
      <c r="BX3131" t="e">
        <f>IF(OR(cMed=0,cMed2=0,3129&gt;nFilas),NA(),IF(AND(ISNUMBER(INDEX(rMed2,3129)),ISNUMBER(INDEX(rMed,3129))),INDEX(rMed2,3129),NA()))</f>
        <v>#N/A</v>
      </c>
      <c r="BY3131" t="e">
        <f>IF(OR(cMed=0,cMed2=0,3129&gt;nFilas),NA(),IF(AND(ISNUMBER(INDEX(rMed2,3129)),ISNUMBER(INDEX(rMed,3129))),INDEX(rMed,3129),NA()))</f>
        <v>#N/A</v>
      </c>
    </row>
    <row r="3132">
      <c r="BX3132" t="e">
        <f>IF(OR(cMed=0,cMed2=0,3130&gt;nFilas),NA(),IF(AND(ISNUMBER(INDEX(rMed2,3130)),ISNUMBER(INDEX(rMed,3130))),INDEX(rMed2,3130),NA()))</f>
        <v>#N/A</v>
      </c>
      <c r="BY3132" t="e">
        <f>IF(OR(cMed=0,cMed2=0,3130&gt;nFilas),NA(),IF(AND(ISNUMBER(INDEX(rMed2,3130)),ISNUMBER(INDEX(rMed,3130))),INDEX(rMed,3130),NA()))</f>
        <v>#N/A</v>
      </c>
    </row>
    <row r="3133">
      <c r="BX3133" t="e">
        <f>IF(OR(cMed=0,cMed2=0,3131&gt;nFilas),NA(),IF(AND(ISNUMBER(INDEX(rMed2,3131)),ISNUMBER(INDEX(rMed,3131))),INDEX(rMed2,3131),NA()))</f>
        <v>#N/A</v>
      </c>
      <c r="BY3133" t="e">
        <f>IF(OR(cMed=0,cMed2=0,3131&gt;nFilas),NA(),IF(AND(ISNUMBER(INDEX(rMed2,3131)),ISNUMBER(INDEX(rMed,3131))),INDEX(rMed,3131),NA()))</f>
        <v>#N/A</v>
      </c>
    </row>
    <row r="3134">
      <c r="BX3134" t="e">
        <f>IF(OR(cMed=0,cMed2=0,3132&gt;nFilas),NA(),IF(AND(ISNUMBER(INDEX(rMed2,3132)),ISNUMBER(INDEX(rMed,3132))),INDEX(rMed2,3132),NA()))</f>
        <v>#N/A</v>
      </c>
      <c r="BY3134" t="e">
        <f>IF(OR(cMed=0,cMed2=0,3132&gt;nFilas),NA(),IF(AND(ISNUMBER(INDEX(rMed2,3132)),ISNUMBER(INDEX(rMed,3132))),INDEX(rMed,3132),NA()))</f>
        <v>#N/A</v>
      </c>
    </row>
    <row r="3135">
      <c r="BX3135" t="e">
        <f>IF(OR(cMed=0,cMed2=0,3133&gt;nFilas),NA(),IF(AND(ISNUMBER(INDEX(rMed2,3133)),ISNUMBER(INDEX(rMed,3133))),INDEX(rMed2,3133),NA()))</f>
        <v>#N/A</v>
      </c>
      <c r="BY3135" t="e">
        <f>IF(OR(cMed=0,cMed2=0,3133&gt;nFilas),NA(),IF(AND(ISNUMBER(INDEX(rMed2,3133)),ISNUMBER(INDEX(rMed,3133))),INDEX(rMed,3133),NA()))</f>
        <v>#N/A</v>
      </c>
    </row>
    <row r="3136">
      <c r="BX3136" t="e">
        <f>IF(OR(cMed=0,cMed2=0,3134&gt;nFilas),NA(),IF(AND(ISNUMBER(INDEX(rMed2,3134)),ISNUMBER(INDEX(rMed,3134))),INDEX(rMed2,3134),NA()))</f>
        <v>#N/A</v>
      </c>
      <c r="BY3136" t="e">
        <f>IF(OR(cMed=0,cMed2=0,3134&gt;nFilas),NA(),IF(AND(ISNUMBER(INDEX(rMed2,3134)),ISNUMBER(INDEX(rMed,3134))),INDEX(rMed,3134),NA()))</f>
        <v>#N/A</v>
      </c>
    </row>
    <row r="3137">
      <c r="BX3137" t="e">
        <f>IF(OR(cMed=0,cMed2=0,3135&gt;nFilas),NA(),IF(AND(ISNUMBER(INDEX(rMed2,3135)),ISNUMBER(INDEX(rMed,3135))),INDEX(rMed2,3135),NA()))</f>
        <v>#N/A</v>
      </c>
      <c r="BY3137" t="e">
        <f>IF(OR(cMed=0,cMed2=0,3135&gt;nFilas),NA(),IF(AND(ISNUMBER(INDEX(rMed2,3135)),ISNUMBER(INDEX(rMed,3135))),INDEX(rMed,3135),NA()))</f>
        <v>#N/A</v>
      </c>
    </row>
    <row r="3138">
      <c r="BX3138" t="e">
        <f>IF(OR(cMed=0,cMed2=0,3136&gt;nFilas),NA(),IF(AND(ISNUMBER(INDEX(rMed2,3136)),ISNUMBER(INDEX(rMed,3136))),INDEX(rMed2,3136),NA()))</f>
        <v>#N/A</v>
      </c>
      <c r="BY3138" t="e">
        <f>IF(OR(cMed=0,cMed2=0,3136&gt;nFilas),NA(),IF(AND(ISNUMBER(INDEX(rMed2,3136)),ISNUMBER(INDEX(rMed,3136))),INDEX(rMed,3136),NA()))</f>
        <v>#N/A</v>
      </c>
    </row>
    <row r="3139">
      <c r="BX3139" t="e">
        <f>IF(OR(cMed=0,cMed2=0,3137&gt;nFilas),NA(),IF(AND(ISNUMBER(INDEX(rMed2,3137)),ISNUMBER(INDEX(rMed,3137))),INDEX(rMed2,3137),NA()))</f>
        <v>#N/A</v>
      </c>
      <c r="BY3139" t="e">
        <f>IF(OR(cMed=0,cMed2=0,3137&gt;nFilas),NA(),IF(AND(ISNUMBER(INDEX(rMed2,3137)),ISNUMBER(INDEX(rMed,3137))),INDEX(rMed,3137),NA()))</f>
        <v>#N/A</v>
      </c>
    </row>
    <row r="3140">
      <c r="BX3140" t="e">
        <f>IF(OR(cMed=0,cMed2=0,3138&gt;nFilas),NA(),IF(AND(ISNUMBER(INDEX(rMed2,3138)),ISNUMBER(INDEX(rMed,3138))),INDEX(rMed2,3138),NA()))</f>
        <v>#N/A</v>
      </c>
      <c r="BY3140" t="e">
        <f>IF(OR(cMed=0,cMed2=0,3138&gt;nFilas),NA(),IF(AND(ISNUMBER(INDEX(rMed2,3138)),ISNUMBER(INDEX(rMed,3138))),INDEX(rMed,3138),NA()))</f>
        <v>#N/A</v>
      </c>
    </row>
    <row r="3141">
      <c r="BX3141" t="e">
        <f>IF(OR(cMed=0,cMed2=0,3139&gt;nFilas),NA(),IF(AND(ISNUMBER(INDEX(rMed2,3139)),ISNUMBER(INDEX(rMed,3139))),INDEX(rMed2,3139),NA()))</f>
        <v>#N/A</v>
      </c>
      <c r="BY3141" t="e">
        <f>IF(OR(cMed=0,cMed2=0,3139&gt;nFilas),NA(),IF(AND(ISNUMBER(INDEX(rMed2,3139)),ISNUMBER(INDEX(rMed,3139))),INDEX(rMed,3139),NA()))</f>
        <v>#N/A</v>
      </c>
    </row>
    <row r="3142">
      <c r="BX3142" t="e">
        <f>IF(OR(cMed=0,cMed2=0,3140&gt;nFilas),NA(),IF(AND(ISNUMBER(INDEX(rMed2,3140)),ISNUMBER(INDEX(rMed,3140))),INDEX(rMed2,3140),NA()))</f>
        <v>#N/A</v>
      </c>
      <c r="BY3142" t="e">
        <f>IF(OR(cMed=0,cMed2=0,3140&gt;nFilas),NA(),IF(AND(ISNUMBER(INDEX(rMed2,3140)),ISNUMBER(INDEX(rMed,3140))),INDEX(rMed,3140),NA()))</f>
        <v>#N/A</v>
      </c>
    </row>
    <row r="3143">
      <c r="BX3143" t="e">
        <f>IF(OR(cMed=0,cMed2=0,3141&gt;nFilas),NA(),IF(AND(ISNUMBER(INDEX(rMed2,3141)),ISNUMBER(INDEX(rMed,3141))),INDEX(rMed2,3141),NA()))</f>
        <v>#N/A</v>
      </c>
      <c r="BY3143" t="e">
        <f>IF(OR(cMed=0,cMed2=0,3141&gt;nFilas),NA(),IF(AND(ISNUMBER(INDEX(rMed2,3141)),ISNUMBER(INDEX(rMed,3141))),INDEX(rMed,3141),NA()))</f>
        <v>#N/A</v>
      </c>
    </row>
    <row r="3144">
      <c r="BX3144" t="e">
        <f>IF(OR(cMed=0,cMed2=0,3142&gt;nFilas),NA(),IF(AND(ISNUMBER(INDEX(rMed2,3142)),ISNUMBER(INDEX(rMed,3142))),INDEX(rMed2,3142),NA()))</f>
        <v>#N/A</v>
      </c>
      <c r="BY3144" t="e">
        <f>IF(OR(cMed=0,cMed2=0,3142&gt;nFilas),NA(),IF(AND(ISNUMBER(INDEX(rMed2,3142)),ISNUMBER(INDEX(rMed,3142))),INDEX(rMed,3142),NA()))</f>
        <v>#N/A</v>
      </c>
    </row>
    <row r="3145">
      <c r="BX3145" t="e">
        <f>IF(OR(cMed=0,cMed2=0,3143&gt;nFilas),NA(),IF(AND(ISNUMBER(INDEX(rMed2,3143)),ISNUMBER(INDEX(rMed,3143))),INDEX(rMed2,3143),NA()))</f>
        <v>#N/A</v>
      </c>
      <c r="BY3145" t="e">
        <f>IF(OR(cMed=0,cMed2=0,3143&gt;nFilas),NA(),IF(AND(ISNUMBER(INDEX(rMed2,3143)),ISNUMBER(INDEX(rMed,3143))),INDEX(rMed,3143),NA()))</f>
        <v>#N/A</v>
      </c>
    </row>
    <row r="3146">
      <c r="BX3146" t="e">
        <f>IF(OR(cMed=0,cMed2=0,3144&gt;nFilas),NA(),IF(AND(ISNUMBER(INDEX(rMed2,3144)),ISNUMBER(INDEX(rMed,3144))),INDEX(rMed2,3144),NA()))</f>
        <v>#N/A</v>
      </c>
      <c r="BY3146" t="e">
        <f>IF(OR(cMed=0,cMed2=0,3144&gt;nFilas),NA(),IF(AND(ISNUMBER(INDEX(rMed2,3144)),ISNUMBER(INDEX(rMed,3144))),INDEX(rMed,3144),NA()))</f>
        <v>#N/A</v>
      </c>
    </row>
    <row r="3147">
      <c r="BX3147" t="e">
        <f>IF(OR(cMed=0,cMed2=0,3145&gt;nFilas),NA(),IF(AND(ISNUMBER(INDEX(rMed2,3145)),ISNUMBER(INDEX(rMed,3145))),INDEX(rMed2,3145),NA()))</f>
        <v>#N/A</v>
      </c>
      <c r="BY3147" t="e">
        <f>IF(OR(cMed=0,cMed2=0,3145&gt;nFilas),NA(),IF(AND(ISNUMBER(INDEX(rMed2,3145)),ISNUMBER(INDEX(rMed,3145))),INDEX(rMed,3145),NA()))</f>
        <v>#N/A</v>
      </c>
    </row>
    <row r="3148">
      <c r="BX3148" t="e">
        <f>IF(OR(cMed=0,cMed2=0,3146&gt;nFilas),NA(),IF(AND(ISNUMBER(INDEX(rMed2,3146)),ISNUMBER(INDEX(rMed,3146))),INDEX(rMed2,3146),NA()))</f>
        <v>#N/A</v>
      </c>
      <c r="BY3148" t="e">
        <f>IF(OR(cMed=0,cMed2=0,3146&gt;nFilas),NA(),IF(AND(ISNUMBER(INDEX(rMed2,3146)),ISNUMBER(INDEX(rMed,3146))),INDEX(rMed,3146),NA()))</f>
        <v>#N/A</v>
      </c>
    </row>
    <row r="3149">
      <c r="BX3149" t="e">
        <f>IF(OR(cMed=0,cMed2=0,3147&gt;nFilas),NA(),IF(AND(ISNUMBER(INDEX(rMed2,3147)),ISNUMBER(INDEX(rMed,3147))),INDEX(rMed2,3147),NA()))</f>
        <v>#N/A</v>
      </c>
      <c r="BY3149" t="e">
        <f>IF(OR(cMed=0,cMed2=0,3147&gt;nFilas),NA(),IF(AND(ISNUMBER(INDEX(rMed2,3147)),ISNUMBER(INDEX(rMed,3147))),INDEX(rMed,3147),NA()))</f>
        <v>#N/A</v>
      </c>
    </row>
    <row r="3150">
      <c r="BX3150" t="e">
        <f>IF(OR(cMed=0,cMed2=0,3148&gt;nFilas),NA(),IF(AND(ISNUMBER(INDEX(rMed2,3148)),ISNUMBER(INDEX(rMed,3148))),INDEX(rMed2,3148),NA()))</f>
        <v>#N/A</v>
      </c>
      <c r="BY3150" t="e">
        <f>IF(OR(cMed=0,cMed2=0,3148&gt;nFilas),NA(),IF(AND(ISNUMBER(INDEX(rMed2,3148)),ISNUMBER(INDEX(rMed,3148))),INDEX(rMed,3148),NA()))</f>
        <v>#N/A</v>
      </c>
    </row>
    <row r="3151">
      <c r="BX3151" t="e">
        <f>IF(OR(cMed=0,cMed2=0,3149&gt;nFilas),NA(),IF(AND(ISNUMBER(INDEX(rMed2,3149)),ISNUMBER(INDEX(rMed,3149))),INDEX(rMed2,3149),NA()))</f>
        <v>#N/A</v>
      </c>
      <c r="BY3151" t="e">
        <f>IF(OR(cMed=0,cMed2=0,3149&gt;nFilas),NA(),IF(AND(ISNUMBER(INDEX(rMed2,3149)),ISNUMBER(INDEX(rMed,3149))),INDEX(rMed,3149),NA()))</f>
        <v>#N/A</v>
      </c>
    </row>
    <row r="3152">
      <c r="BX3152" t="e">
        <f>IF(OR(cMed=0,cMed2=0,3150&gt;nFilas),NA(),IF(AND(ISNUMBER(INDEX(rMed2,3150)),ISNUMBER(INDEX(rMed,3150))),INDEX(rMed2,3150),NA()))</f>
        <v>#N/A</v>
      </c>
      <c r="BY3152" t="e">
        <f>IF(OR(cMed=0,cMed2=0,3150&gt;nFilas),NA(),IF(AND(ISNUMBER(INDEX(rMed2,3150)),ISNUMBER(INDEX(rMed,3150))),INDEX(rMed,3150),NA()))</f>
        <v>#N/A</v>
      </c>
    </row>
    <row r="3153">
      <c r="BX3153" t="e">
        <f>IF(OR(cMed=0,cMed2=0,3151&gt;nFilas),NA(),IF(AND(ISNUMBER(INDEX(rMed2,3151)),ISNUMBER(INDEX(rMed,3151))),INDEX(rMed2,3151),NA()))</f>
        <v>#N/A</v>
      </c>
      <c r="BY3153" t="e">
        <f>IF(OR(cMed=0,cMed2=0,3151&gt;nFilas),NA(),IF(AND(ISNUMBER(INDEX(rMed2,3151)),ISNUMBER(INDEX(rMed,3151))),INDEX(rMed,3151),NA()))</f>
        <v>#N/A</v>
      </c>
    </row>
    <row r="3154">
      <c r="BX3154" t="e">
        <f>IF(OR(cMed=0,cMed2=0,3152&gt;nFilas),NA(),IF(AND(ISNUMBER(INDEX(rMed2,3152)),ISNUMBER(INDEX(rMed,3152))),INDEX(rMed2,3152),NA()))</f>
        <v>#N/A</v>
      </c>
      <c r="BY3154" t="e">
        <f>IF(OR(cMed=0,cMed2=0,3152&gt;nFilas),NA(),IF(AND(ISNUMBER(INDEX(rMed2,3152)),ISNUMBER(INDEX(rMed,3152))),INDEX(rMed,3152),NA()))</f>
        <v>#N/A</v>
      </c>
    </row>
    <row r="3155">
      <c r="BX3155" t="e">
        <f>IF(OR(cMed=0,cMed2=0,3153&gt;nFilas),NA(),IF(AND(ISNUMBER(INDEX(rMed2,3153)),ISNUMBER(INDEX(rMed,3153))),INDEX(rMed2,3153),NA()))</f>
        <v>#N/A</v>
      </c>
      <c r="BY3155" t="e">
        <f>IF(OR(cMed=0,cMed2=0,3153&gt;nFilas),NA(),IF(AND(ISNUMBER(INDEX(rMed2,3153)),ISNUMBER(INDEX(rMed,3153))),INDEX(rMed,3153),NA()))</f>
        <v>#N/A</v>
      </c>
    </row>
    <row r="3156">
      <c r="BX3156" t="e">
        <f>IF(OR(cMed=0,cMed2=0,3154&gt;nFilas),NA(),IF(AND(ISNUMBER(INDEX(rMed2,3154)),ISNUMBER(INDEX(rMed,3154))),INDEX(rMed2,3154),NA()))</f>
        <v>#N/A</v>
      </c>
      <c r="BY3156" t="e">
        <f>IF(OR(cMed=0,cMed2=0,3154&gt;nFilas),NA(),IF(AND(ISNUMBER(INDEX(rMed2,3154)),ISNUMBER(INDEX(rMed,3154))),INDEX(rMed,3154),NA()))</f>
        <v>#N/A</v>
      </c>
    </row>
    <row r="3157">
      <c r="BX3157" t="e">
        <f>IF(OR(cMed=0,cMed2=0,3155&gt;nFilas),NA(),IF(AND(ISNUMBER(INDEX(rMed2,3155)),ISNUMBER(INDEX(rMed,3155))),INDEX(rMed2,3155),NA()))</f>
        <v>#N/A</v>
      </c>
      <c r="BY3157" t="e">
        <f>IF(OR(cMed=0,cMed2=0,3155&gt;nFilas),NA(),IF(AND(ISNUMBER(INDEX(rMed2,3155)),ISNUMBER(INDEX(rMed,3155))),INDEX(rMed,3155),NA()))</f>
        <v>#N/A</v>
      </c>
    </row>
    <row r="3158">
      <c r="BX3158" t="e">
        <f>IF(OR(cMed=0,cMed2=0,3156&gt;nFilas),NA(),IF(AND(ISNUMBER(INDEX(rMed2,3156)),ISNUMBER(INDEX(rMed,3156))),INDEX(rMed2,3156),NA()))</f>
        <v>#N/A</v>
      </c>
      <c r="BY3158" t="e">
        <f>IF(OR(cMed=0,cMed2=0,3156&gt;nFilas),NA(),IF(AND(ISNUMBER(INDEX(rMed2,3156)),ISNUMBER(INDEX(rMed,3156))),INDEX(rMed,3156),NA()))</f>
        <v>#N/A</v>
      </c>
    </row>
    <row r="3159">
      <c r="BX3159" t="e">
        <f>IF(OR(cMed=0,cMed2=0,3157&gt;nFilas),NA(),IF(AND(ISNUMBER(INDEX(rMed2,3157)),ISNUMBER(INDEX(rMed,3157))),INDEX(rMed2,3157),NA()))</f>
        <v>#N/A</v>
      </c>
      <c r="BY3159" t="e">
        <f>IF(OR(cMed=0,cMed2=0,3157&gt;nFilas),NA(),IF(AND(ISNUMBER(INDEX(rMed2,3157)),ISNUMBER(INDEX(rMed,3157))),INDEX(rMed,3157),NA()))</f>
        <v>#N/A</v>
      </c>
    </row>
    <row r="3160">
      <c r="BX3160" t="e">
        <f>IF(OR(cMed=0,cMed2=0,3158&gt;nFilas),NA(),IF(AND(ISNUMBER(INDEX(rMed2,3158)),ISNUMBER(INDEX(rMed,3158))),INDEX(rMed2,3158),NA()))</f>
        <v>#N/A</v>
      </c>
      <c r="BY3160" t="e">
        <f>IF(OR(cMed=0,cMed2=0,3158&gt;nFilas),NA(),IF(AND(ISNUMBER(INDEX(rMed2,3158)),ISNUMBER(INDEX(rMed,3158))),INDEX(rMed,3158),NA()))</f>
        <v>#N/A</v>
      </c>
    </row>
    <row r="3161">
      <c r="BX3161" t="e">
        <f>IF(OR(cMed=0,cMed2=0,3159&gt;nFilas),NA(),IF(AND(ISNUMBER(INDEX(rMed2,3159)),ISNUMBER(INDEX(rMed,3159))),INDEX(rMed2,3159),NA()))</f>
        <v>#N/A</v>
      </c>
      <c r="BY3161" t="e">
        <f>IF(OR(cMed=0,cMed2=0,3159&gt;nFilas),NA(),IF(AND(ISNUMBER(INDEX(rMed2,3159)),ISNUMBER(INDEX(rMed,3159))),INDEX(rMed,3159),NA()))</f>
        <v>#N/A</v>
      </c>
    </row>
    <row r="3162">
      <c r="BX3162" t="e">
        <f>IF(OR(cMed=0,cMed2=0,3160&gt;nFilas),NA(),IF(AND(ISNUMBER(INDEX(rMed2,3160)),ISNUMBER(INDEX(rMed,3160))),INDEX(rMed2,3160),NA()))</f>
        <v>#N/A</v>
      </c>
      <c r="BY3162" t="e">
        <f>IF(OR(cMed=0,cMed2=0,3160&gt;nFilas),NA(),IF(AND(ISNUMBER(INDEX(rMed2,3160)),ISNUMBER(INDEX(rMed,3160))),INDEX(rMed,3160),NA()))</f>
        <v>#N/A</v>
      </c>
    </row>
    <row r="3163">
      <c r="BX3163" t="e">
        <f>IF(OR(cMed=0,cMed2=0,3161&gt;nFilas),NA(),IF(AND(ISNUMBER(INDEX(rMed2,3161)),ISNUMBER(INDEX(rMed,3161))),INDEX(rMed2,3161),NA()))</f>
        <v>#N/A</v>
      </c>
      <c r="BY3163" t="e">
        <f>IF(OR(cMed=0,cMed2=0,3161&gt;nFilas),NA(),IF(AND(ISNUMBER(INDEX(rMed2,3161)),ISNUMBER(INDEX(rMed,3161))),INDEX(rMed,3161),NA()))</f>
        <v>#N/A</v>
      </c>
    </row>
    <row r="3164">
      <c r="BX3164" t="e">
        <f>IF(OR(cMed=0,cMed2=0,3162&gt;nFilas),NA(),IF(AND(ISNUMBER(INDEX(rMed2,3162)),ISNUMBER(INDEX(rMed,3162))),INDEX(rMed2,3162),NA()))</f>
        <v>#N/A</v>
      </c>
      <c r="BY3164" t="e">
        <f>IF(OR(cMed=0,cMed2=0,3162&gt;nFilas),NA(),IF(AND(ISNUMBER(INDEX(rMed2,3162)),ISNUMBER(INDEX(rMed,3162))),INDEX(rMed,3162),NA()))</f>
        <v>#N/A</v>
      </c>
    </row>
    <row r="3165">
      <c r="BX3165" t="e">
        <f>IF(OR(cMed=0,cMed2=0,3163&gt;nFilas),NA(),IF(AND(ISNUMBER(INDEX(rMed2,3163)),ISNUMBER(INDEX(rMed,3163))),INDEX(rMed2,3163),NA()))</f>
        <v>#N/A</v>
      </c>
      <c r="BY3165" t="e">
        <f>IF(OR(cMed=0,cMed2=0,3163&gt;nFilas),NA(),IF(AND(ISNUMBER(INDEX(rMed2,3163)),ISNUMBER(INDEX(rMed,3163))),INDEX(rMed,3163),NA()))</f>
        <v>#N/A</v>
      </c>
    </row>
    <row r="3166">
      <c r="BX3166" t="e">
        <f>IF(OR(cMed=0,cMed2=0,3164&gt;nFilas),NA(),IF(AND(ISNUMBER(INDEX(rMed2,3164)),ISNUMBER(INDEX(rMed,3164))),INDEX(rMed2,3164),NA()))</f>
        <v>#N/A</v>
      </c>
      <c r="BY3166" t="e">
        <f>IF(OR(cMed=0,cMed2=0,3164&gt;nFilas),NA(),IF(AND(ISNUMBER(INDEX(rMed2,3164)),ISNUMBER(INDEX(rMed,3164))),INDEX(rMed,3164),NA()))</f>
        <v>#N/A</v>
      </c>
    </row>
    <row r="3167">
      <c r="BX3167" t="e">
        <f>IF(OR(cMed=0,cMed2=0,3165&gt;nFilas),NA(),IF(AND(ISNUMBER(INDEX(rMed2,3165)),ISNUMBER(INDEX(rMed,3165))),INDEX(rMed2,3165),NA()))</f>
        <v>#N/A</v>
      </c>
      <c r="BY3167" t="e">
        <f>IF(OR(cMed=0,cMed2=0,3165&gt;nFilas),NA(),IF(AND(ISNUMBER(INDEX(rMed2,3165)),ISNUMBER(INDEX(rMed,3165))),INDEX(rMed,3165),NA()))</f>
        <v>#N/A</v>
      </c>
    </row>
    <row r="3168">
      <c r="BX3168" t="e">
        <f>IF(OR(cMed=0,cMed2=0,3166&gt;nFilas),NA(),IF(AND(ISNUMBER(INDEX(rMed2,3166)),ISNUMBER(INDEX(rMed,3166))),INDEX(rMed2,3166),NA()))</f>
        <v>#N/A</v>
      </c>
      <c r="BY3168" t="e">
        <f>IF(OR(cMed=0,cMed2=0,3166&gt;nFilas),NA(),IF(AND(ISNUMBER(INDEX(rMed2,3166)),ISNUMBER(INDEX(rMed,3166))),INDEX(rMed,3166),NA()))</f>
        <v>#N/A</v>
      </c>
    </row>
    <row r="3169">
      <c r="BX3169" t="e">
        <f>IF(OR(cMed=0,cMed2=0,3167&gt;nFilas),NA(),IF(AND(ISNUMBER(INDEX(rMed2,3167)),ISNUMBER(INDEX(rMed,3167))),INDEX(rMed2,3167),NA()))</f>
        <v>#N/A</v>
      </c>
      <c r="BY3169" t="e">
        <f>IF(OR(cMed=0,cMed2=0,3167&gt;nFilas),NA(),IF(AND(ISNUMBER(INDEX(rMed2,3167)),ISNUMBER(INDEX(rMed,3167))),INDEX(rMed,3167),NA()))</f>
        <v>#N/A</v>
      </c>
    </row>
    <row r="3170">
      <c r="BX3170" t="e">
        <f>IF(OR(cMed=0,cMed2=0,3168&gt;nFilas),NA(),IF(AND(ISNUMBER(INDEX(rMed2,3168)),ISNUMBER(INDEX(rMed,3168))),INDEX(rMed2,3168),NA()))</f>
        <v>#N/A</v>
      </c>
      <c r="BY3170" t="e">
        <f>IF(OR(cMed=0,cMed2=0,3168&gt;nFilas),NA(),IF(AND(ISNUMBER(INDEX(rMed2,3168)),ISNUMBER(INDEX(rMed,3168))),INDEX(rMed,3168),NA()))</f>
        <v>#N/A</v>
      </c>
    </row>
    <row r="3171">
      <c r="BX3171" t="e">
        <f>IF(OR(cMed=0,cMed2=0,3169&gt;nFilas),NA(),IF(AND(ISNUMBER(INDEX(rMed2,3169)),ISNUMBER(INDEX(rMed,3169))),INDEX(rMed2,3169),NA()))</f>
        <v>#N/A</v>
      </c>
      <c r="BY3171" t="e">
        <f>IF(OR(cMed=0,cMed2=0,3169&gt;nFilas),NA(),IF(AND(ISNUMBER(INDEX(rMed2,3169)),ISNUMBER(INDEX(rMed,3169))),INDEX(rMed,3169),NA()))</f>
        <v>#N/A</v>
      </c>
    </row>
    <row r="3172">
      <c r="BX3172" t="e">
        <f>IF(OR(cMed=0,cMed2=0,3170&gt;nFilas),NA(),IF(AND(ISNUMBER(INDEX(rMed2,3170)),ISNUMBER(INDEX(rMed,3170))),INDEX(rMed2,3170),NA()))</f>
        <v>#N/A</v>
      </c>
      <c r="BY3172" t="e">
        <f>IF(OR(cMed=0,cMed2=0,3170&gt;nFilas),NA(),IF(AND(ISNUMBER(INDEX(rMed2,3170)),ISNUMBER(INDEX(rMed,3170))),INDEX(rMed,3170),NA()))</f>
        <v>#N/A</v>
      </c>
    </row>
    <row r="3173">
      <c r="BX3173" t="e">
        <f>IF(OR(cMed=0,cMed2=0,3171&gt;nFilas),NA(),IF(AND(ISNUMBER(INDEX(rMed2,3171)),ISNUMBER(INDEX(rMed,3171))),INDEX(rMed2,3171),NA()))</f>
        <v>#N/A</v>
      </c>
      <c r="BY3173" t="e">
        <f>IF(OR(cMed=0,cMed2=0,3171&gt;nFilas),NA(),IF(AND(ISNUMBER(INDEX(rMed2,3171)),ISNUMBER(INDEX(rMed,3171))),INDEX(rMed,3171),NA()))</f>
        <v>#N/A</v>
      </c>
    </row>
    <row r="3174">
      <c r="BX3174" t="e">
        <f>IF(OR(cMed=0,cMed2=0,3172&gt;nFilas),NA(),IF(AND(ISNUMBER(INDEX(rMed2,3172)),ISNUMBER(INDEX(rMed,3172))),INDEX(rMed2,3172),NA()))</f>
        <v>#N/A</v>
      </c>
      <c r="BY3174" t="e">
        <f>IF(OR(cMed=0,cMed2=0,3172&gt;nFilas),NA(),IF(AND(ISNUMBER(INDEX(rMed2,3172)),ISNUMBER(INDEX(rMed,3172))),INDEX(rMed,3172),NA()))</f>
        <v>#N/A</v>
      </c>
    </row>
    <row r="3175">
      <c r="BX3175" t="e">
        <f>IF(OR(cMed=0,cMed2=0,3173&gt;nFilas),NA(),IF(AND(ISNUMBER(INDEX(rMed2,3173)),ISNUMBER(INDEX(rMed,3173))),INDEX(rMed2,3173),NA()))</f>
        <v>#N/A</v>
      </c>
      <c r="BY3175" t="e">
        <f>IF(OR(cMed=0,cMed2=0,3173&gt;nFilas),NA(),IF(AND(ISNUMBER(INDEX(rMed2,3173)),ISNUMBER(INDEX(rMed,3173))),INDEX(rMed,3173),NA()))</f>
        <v>#N/A</v>
      </c>
    </row>
    <row r="3176">
      <c r="BX3176" t="e">
        <f>IF(OR(cMed=0,cMed2=0,3174&gt;nFilas),NA(),IF(AND(ISNUMBER(INDEX(rMed2,3174)),ISNUMBER(INDEX(rMed,3174))),INDEX(rMed2,3174),NA()))</f>
        <v>#N/A</v>
      </c>
      <c r="BY3176" t="e">
        <f>IF(OR(cMed=0,cMed2=0,3174&gt;nFilas),NA(),IF(AND(ISNUMBER(INDEX(rMed2,3174)),ISNUMBER(INDEX(rMed,3174))),INDEX(rMed,3174),NA()))</f>
        <v>#N/A</v>
      </c>
    </row>
    <row r="3177">
      <c r="BX3177" t="e">
        <f>IF(OR(cMed=0,cMed2=0,3175&gt;nFilas),NA(),IF(AND(ISNUMBER(INDEX(rMed2,3175)),ISNUMBER(INDEX(rMed,3175))),INDEX(rMed2,3175),NA()))</f>
        <v>#N/A</v>
      </c>
      <c r="BY3177" t="e">
        <f>IF(OR(cMed=0,cMed2=0,3175&gt;nFilas),NA(),IF(AND(ISNUMBER(INDEX(rMed2,3175)),ISNUMBER(INDEX(rMed,3175))),INDEX(rMed,3175),NA()))</f>
        <v>#N/A</v>
      </c>
    </row>
    <row r="3178">
      <c r="BX3178" t="e">
        <f>IF(OR(cMed=0,cMed2=0,3176&gt;nFilas),NA(),IF(AND(ISNUMBER(INDEX(rMed2,3176)),ISNUMBER(INDEX(rMed,3176))),INDEX(rMed2,3176),NA()))</f>
        <v>#N/A</v>
      </c>
      <c r="BY3178" t="e">
        <f>IF(OR(cMed=0,cMed2=0,3176&gt;nFilas),NA(),IF(AND(ISNUMBER(INDEX(rMed2,3176)),ISNUMBER(INDEX(rMed,3176))),INDEX(rMed,3176),NA()))</f>
        <v>#N/A</v>
      </c>
    </row>
    <row r="3179">
      <c r="BX3179" t="e">
        <f>IF(OR(cMed=0,cMed2=0,3177&gt;nFilas),NA(),IF(AND(ISNUMBER(INDEX(rMed2,3177)),ISNUMBER(INDEX(rMed,3177))),INDEX(rMed2,3177),NA()))</f>
        <v>#N/A</v>
      </c>
      <c r="BY3179" t="e">
        <f>IF(OR(cMed=0,cMed2=0,3177&gt;nFilas),NA(),IF(AND(ISNUMBER(INDEX(rMed2,3177)),ISNUMBER(INDEX(rMed,3177))),INDEX(rMed,3177),NA()))</f>
        <v>#N/A</v>
      </c>
    </row>
    <row r="3180">
      <c r="BX3180" t="e">
        <f>IF(OR(cMed=0,cMed2=0,3178&gt;nFilas),NA(),IF(AND(ISNUMBER(INDEX(rMed2,3178)),ISNUMBER(INDEX(rMed,3178))),INDEX(rMed2,3178),NA()))</f>
        <v>#N/A</v>
      </c>
      <c r="BY3180" t="e">
        <f>IF(OR(cMed=0,cMed2=0,3178&gt;nFilas),NA(),IF(AND(ISNUMBER(INDEX(rMed2,3178)),ISNUMBER(INDEX(rMed,3178))),INDEX(rMed,3178),NA()))</f>
        <v>#N/A</v>
      </c>
    </row>
    <row r="3181">
      <c r="BX3181" t="e">
        <f>IF(OR(cMed=0,cMed2=0,3179&gt;nFilas),NA(),IF(AND(ISNUMBER(INDEX(rMed2,3179)),ISNUMBER(INDEX(rMed,3179))),INDEX(rMed2,3179),NA()))</f>
        <v>#N/A</v>
      </c>
      <c r="BY3181" t="e">
        <f>IF(OR(cMed=0,cMed2=0,3179&gt;nFilas),NA(),IF(AND(ISNUMBER(INDEX(rMed2,3179)),ISNUMBER(INDEX(rMed,3179))),INDEX(rMed,3179),NA()))</f>
        <v>#N/A</v>
      </c>
    </row>
    <row r="3182">
      <c r="BX3182" t="e">
        <f>IF(OR(cMed=0,cMed2=0,3180&gt;nFilas),NA(),IF(AND(ISNUMBER(INDEX(rMed2,3180)),ISNUMBER(INDEX(rMed,3180))),INDEX(rMed2,3180),NA()))</f>
        <v>#N/A</v>
      </c>
      <c r="BY3182" t="e">
        <f>IF(OR(cMed=0,cMed2=0,3180&gt;nFilas),NA(),IF(AND(ISNUMBER(INDEX(rMed2,3180)),ISNUMBER(INDEX(rMed,3180))),INDEX(rMed,3180),NA()))</f>
        <v>#N/A</v>
      </c>
    </row>
    <row r="3183">
      <c r="BX3183" t="e">
        <f>IF(OR(cMed=0,cMed2=0,3181&gt;nFilas),NA(),IF(AND(ISNUMBER(INDEX(rMed2,3181)),ISNUMBER(INDEX(rMed,3181))),INDEX(rMed2,3181),NA()))</f>
        <v>#N/A</v>
      </c>
      <c r="BY3183" t="e">
        <f>IF(OR(cMed=0,cMed2=0,3181&gt;nFilas),NA(),IF(AND(ISNUMBER(INDEX(rMed2,3181)),ISNUMBER(INDEX(rMed,3181))),INDEX(rMed,3181),NA()))</f>
        <v>#N/A</v>
      </c>
    </row>
    <row r="3184">
      <c r="BX3184" t="e">
        <f>IF(OR(cMed=0,cMed2=0,3182&gt;nFilas),NA(),IF(AND(ISNUMBER(INDEX(rMed2,3182)),ISNUMBER(INDEX(rMed,3182))),INDEX(rMed2,3182),NA()))</f>
        <v>#N/A</v>
      </c>
      <c r="BY3184" t="e">
        <f>IF(OR(cMed=0,cMed2=0,3182&gt;nFilas),NA(),IF(AND(ISNUMBER(INDEX(rMed2,3182)),ISNUMBER(INDEX(rMed,3182))),INDEX(rMed,3182),NA()))</f>
        <v>#N/A</v>
      </c>
    </row>
    <row r="3185">
      <c r="BX3185" t="e">
        <f>IF(OR(cMed=0,cMed2=0,3183&gt;nFilas),NA(),IF(AND(ISNUMBER(INDEX(rMed2,3183)),ISNUMBER(INDEX(rMed,3183))),INDEX(rMed2,3183),NA()))</f>
        <v>#N/A</v>
      </c>
      <c r="BY3185" t="e">
        <f>IF(OR(cMed=0,cMed2=0,3183&gt;nFilas),NA(),IF(AND(ISNUMBER(INDEX(rMed2,3183)),ISNUMBER(INDEX(rMed,3183))),INDEX(rMed,3183),NA()))</f>
        <v>#N/A</v>
      </c>
    </row>
    <row r="3186">
      <c r="BX3186" t="e">
        <f>IF(OR(cMed=0,cMed2=0,3184&gt;nFilas),NA(),IF(AND(ISNUMBER(INDEX(rMed2,3184)),ISNUMBER(INDEX(rMed,3184))),INDEX(rMed2,3184),NA()))</f>
        <v>#N/A</v>
      </c>
      <c r="BY3186" t="e">
        <f>IF(OR(cMed=0,cMed2=0,3184&gt;nFilas),NA(),IF(AND(ISNUMBER(INDEX(rMed2,3184)),ISNUMBER(INDEX(rMed,3184))),INDEX(rMed,3184),NA()))</f>
        <v>#N/A</v>
      </c>
    </row>
    <row r="3187">
      <c r="BX3187" t="e">
        <f>IF(OR(cMed=0,cMed2=0,3185&gt;nFilas),NA(),IF(AND(ISNUMBER(INDEX(rMed2,3185)),ISNUMBER(INDEX(rMed,3185))),INDEX(rMed2,3185),NA()))</f>
        <v>#N/A</v>
      </c>
      <c r="BY3187" t="e">
        <f>IF(OR(cMed=0,cMed2=0,3185&gt;nFilas),NA(),IF(AND(ISNUMBER(INDEX(rMed2,3185)),ISNUMBER(INDEX(rMed,3185))),INDEX(rMed,3185),NA()))</f>
        <v>#N/A</v>
      </c>
    </row>
    <row r="3188">
      <c r="BX3188" t="e">
        <f>IF(OR(cMed=0,cMed2=0,3186&gt;nFilas),NA(),IF(AND(ISNUMBER(INDEX(rMed2,3186)),ISNUMBER(INDEX(rMed,3186))),INDEX(rMed2,3186),NA()))</f>
        <v>#N/A</v>
      </c>
      <c r="BY3188" t="e">
        <f>IF(OR(cMed=0,cMed2=0,3186&gt;nFilas),NA(),IF(AND(ISNUMBER(INDEX(rMed2,3186)),ISNUMBER(INDEX(rMed,3186))),INDEX(rMed,3186),NA()))</f>
        <v>#N/A</v>
      </c>
    </row>
    <row r="3189">
      <c r="BX3189" t="e">
        <f>IF(OR(cMed=0,cMed2=0,3187&gt;nFilas),NA(),IF(AND(ISNUMBER(INDEX(rMed2,3187)),ISNUMBER(INDEX(rMed,3187))),INDEX(rMed2,3187),NA()))</f>
        <v>#N/A</v>
      </c>
      <c r="BY3189" t="e">
        <f>IF(OR(cMed=0,cMed2=0,3187&gt;nFilas),NA(),IF(AND(ISNUMBER(INDEX(rMed2,3187)),ISNUMBER(INDEX(rMed,3187))),INDEX(rMed,3187),NA()))</f>
        <v>#N/A</v>
      </c>
    </row>
    <row r="3190">
      <c r="BX3190" t="e">
        <f>IF(OR(cMed=0,cMed2=0,3188&gt;nFilas),NA(),IF(AND(ISNUMBER(INDEX(rMed2,3188)),ISNUMBER(INDEX(rMed,3188))),INDEX(rMed2,3188),NA()))</f>
        <v>#N/A</v>
      </c>
      <c r="BY3190" t="e">
        <f>IF(OR(cMed=0,cMed2=0,3188&gt;nFilas),NA(),IF(AND(ISNUMBER(INDEX(rMed2,3188)),ISNUMBER(INDEX(rMed,3188))),INDEX(rMed,3188),NA()))</f>
        <v>#N/A</v>
      </c>
    </row>
    <row r="3191">
      <c r="BX3191" t="e">
        <f>IF(OR(cMed=0,cMed2=0,3189&gt;nFilas),NA(),IF(AND(ISNUMBER(INDEX(rMed2,3189)),ISNUMBER(INDEX(rMed,3189))),INDEX(rMed2,3189),NA()))</f>
        <v>#N/A</v>
      </c>
      <c r="BY3191" t="e">
        <f>IF(OR(cMed=0,cMed2=0,3189&gt;nFilas),NA(),IF(AND(ISNUMBER(INDEX(rMed2,3189)),ISNUMBER(INDEX(rMed,3189))),INDEX(rMed,3189),NA()))</f>
        <v>#N/A</v>
      </c>
    </row>
    <row r="3192">
      <c r="BX3192" t="e">
        <f>IF(OR(cMed=0,cMed2=0,3190&gt;nFilas),NA(),IF(AND(ISNUMBER(INDEX(rMed2,3190)),ISNUMBER(INDEX(rMed,3190))),INDEX(rMed2,3190),NA()))</f>
        <v>#N/A</v>
      </c>
      <c r="BY3192" t="e">
        <f>IF(OR(cMed=0,cMed2=0,3190&gt;nFilas),NA(),IF(AND(ISNUMBER(INDEX(rMed2,3190)),ISNUMBER(INDEX(rMed,3190))),INDEX(rMed,3190),NA()))</f>
        <v>#N/A</v>
      </c>
    </row>
    <row r="3193">
      <c r="BX3193" t="e">
        <f>IF(OR(cMed=0,cMed2=0,3191&gt;nFilas),NA(),IF(AND(ISNUMBER(INDEX(rMed2,3191)),ISNUMBER(INDEX(rMed,3191))),INDEX(rMed2,3191),NA()))</f>
        <v>#N/A</v>
      </c>
      <c r="BY3193" t="e">
        <f>IF(OR(cMed=0,cMed2=0,3191&gt;nFilas),NA(),IF(AND(ISNUMBER(INDEX(rMed2,3191)),ISNUMBER(INDEX(rMed,3191))),INDEX(rMed,3191),NA()))</f>
        <v>#N/A</v>
      </c>
    </row>
    <row r="3194">
      <c r="BX3194" t="e">
        <f>IF(OR(cMed=0,cMed2=0,3192&gt;nFilas),NA(),IF(AND(ISNUMBER(INDEX(rMed2,3192)),ISNUMBER(INDEX(rMed,3192))),INDEX(rMed2,3192),NA()))</f>
        <v>#N/A</v>
      </c>
      <c r="BY3194" t="e">
        <f>IF(OR(cMed=0,cMed2=0,3192&gt;nFilas),NA(),IF(AND(ISNUMBER(INDEX(rMed2,3192)),ISNUMBER(INDEX(rMed,3192))),INDEX(rMed,3192),NA()))</f>
        <v>#N/A</v>
      </c>
    </row>
    <row r="3195">
      <c r="BX3195" t="e">
        <f>IF(OR(cMed=0,cMed2=0,3193&gt;nFilas),NA(),IF(AND(ISNUMBER(INDEX(rMed2,3193)),ISNUMBER(INDEX(rMed,3193))),INDEX(rMed2,3193),NA()))</f>
        <v>#N/A</v>
      </c>
      <c r="BY3195" t="e">
        <f>IF(OR(cMed=0,cMed2=0,3193&gt;nFilas),NA(),IF(AND(ISNUMBER(INDEX(rMed2,3193)),ISNUMBER(INDEX(rMed,3193))),INDEX(rMed,3193),NA()))</f>
        <v>#N/A</v>
      </c>
    </row>
    <row r="3196">
      <c r="BX3196" t="e">
        <f>IF(OR(cMed=0,cMed2=0,3194&gt;nFilas),NA(),IF(AND(ISNUMBER(INDEX(rMed2,3194)),ISNUMBER(INDEX(rMed,3194))),INDEX(rMed2,3194),NA()))</f>
        <v>#N/A</v>
      </c>
      <c r="BY3196" t="e">
        <f>IF(OR(cMed=0,cMed2=0,3194&gt;nFilas),NA(),IF(AND(ISNUMBER(INDEX(rMed2,3194)),ISNUMBER(INDEX(rMed,3194))),INDEX(rMed,3194),NA()))</f>
        <v>#N/A</v>
      </c>
    </row>
    <row r="3197">
      <c r="BX3197" t="e">
        <f>IF(OR(cMed=0,cMed2=0,3195&gt;nFilas),NA(),IF(AND(ISNUMBER(INDEX(rMed2,3195)),ISNUMBER(INDEX(rMed,3195))),INDEX(rMed2,3195),NA()))</f>
        <v>#N/A</v>
      </c>
      <c r="BY3197" t="e">
        <f>IF(OR(cMed=0,cMed2=0,3195&gt;nFilas),NA(),IF(AND(ISNUMBER(INDEX(rMed2,3195)),ISNUMBER(INDEX(rMed,3195))),INDEX(rMed,3195),NA()))</f>
        <v>#N/A</v>
      </c>
    </row>
    <row r="3198">
      <c r="BX3198" t="e">
        <f>IF(OR(cMed=0,cMed2=0,3196&gt;nFilas),NA(),IF(AND(ISNUMBER(INDEX(rMed2,3196)),ISNUMBER(INDEX(rMed,3196))),INDEX(rMed2,3196),NA()))</f>
        <v>#N/A</v>
      </c>
      <c r="BY3198" t="e">
        <f>IF(OR(cMed=0,cMed2=0,3196&gt;nFilas),NA(),IF(AND(ISNUMBER(INDEX(rMed2,3196)),ISNUMBER(INDEX(rMed,3196))),INDEX(rMed,3196),NA()))</f>
        <v>#N/A</v>
      </c>
    </row>
    <row r="3199">
      <c r="BX3199" t="e">
        <f>IF(OR(cMed=0,cMed2=0,3197&gt;nFilas),NA(),IF(AND(ISNUMBER(INDEX(rMed2,3197)),ISNUMBER(INDEX(rMed,3197))),INDEX(rMed2,3197),NA()))</f>
        <v>#N/A</v>
      </c>
      <c r="BY3199" t="e">
        <f>IF(OR(cMed=0,cMed2=0,3197&gt;nFilas),NA(),IF(AND(ISNUMBER(INDEX(rMed2,3197)),ISNUMBER(INDEX(rMed,3197))),INDEX(rMed,3197),NA()))</f>
        <v>#N/A</v>
      </c>
    </row>
    <row r="3200">
      <c r="BX3200" t="e">
        <f>IF(OR(cMed=0,cMed2=0,3198&gt;nFilas),NA(),IF(AND(ISNUMBER(INDEX(rMed2,3198)),ISNUMBER(INDEX(rMed,3198))),INDEX(rMed2,3198),NA()))</f>
        <v>#N/A</v>
      </c>
      <c r="BY3200" t="e">
        <f>IF(OR(cMed=0,cMed2=0,3198&gt;nFilas),NA(),IF(AND(ISNUMBER(INDEX(rMed2,3198)),ISNUMBER(INDEX(rMed,3198))),INDEX(rMed,3198),NA()))</f>
        <v>#N/A</v>
      </c>
    </row>
    <row r="3201">
      <c r="BX3201" t="e">
        <f>IF(OR(cMed=0,cMed2=0,3199&gt;nFilas),NA(),IF(AND(ISNUMBER(INDEX(rMed2,3199)),ISNUMBER(INDEX(rMed,3199))),INDEX(rMed2,3199),NA()))</f>
        <v>#N/A</v>
      </c>
      <c r="BY3201" t="e">
        <f>IF(OR(cMed=0,cMed2=0,3199&gt;nFilas),NA(),IF(AND(ISNUMBER(INDEX(rMed2,3199)),ISNUMBER(INDEX(rMed,3199))),INDEX(rMed,3199),NA()))</f>
        <v>#N/A</v>
      </c>
    </row>
    <row r="3202">
      <c r="BX3202" t="e">
        <f>IF(OR(cMed=0,cMed2=0,3200&gt;nFilas),NA(),IF(AND(ISNUMBER(INDEX(rMed2,3200)),ISNUMBER(INDEX(rMed,3200))),INDEX(rMed2,3200),NA()))</f>
        <v>#N/A</v>
      </c>
      <c r="BY3202" t="e">
        <f>IF(OR(cMed=0,cMed2=0,3200&gt;nFilas),NA(),IF(AND(ISNUMBER(INDEX(rMed2,3200)),ISNUMBER(INDEX(rMed,3200))),INDEX(rMed,3200),NA()))</f>
        <v>#N/A</v>
      </c>
    </row>
    <row r="3203">
      <c r="BX3203" t="e">
        <f>IF(OR(cMed=0,cMed2=0,3201&gt;nFilas),NA(),IF(AND(ISNUMBER(INDEX(rMed2,3201)),ISNUMBER(INDEX(rMed,3201))),INDEX(rMed2,3201),NA()))</f>
        <v>#N/A</v>
      </c>
      <c r="BY3203" t="e">
        <f>IF(OR(cMed=0,cMed2=0,3201&gt;nFilas),NA(),IF(AND(ISNUMBER(INDEX(rMed2,3201)),ISNUMBER(INDEX(rMed,3201))),INDEX(rMed,3201),NA()))</f>
        <v>#N/A</v>
      </c>
    </row>
    <row r="3204">
      <c r="BX3204" t="e">
        <f>IF(OR(cMed=0,cMed2=0,3202&gt;nFilas),NA(),IF(AND(ISNUMBER(INDEX(rMed2,3202)),ISNUMBER(INDEX(rMed,3202))),INDEX(rMed2,3202),NA()))</f>
        <v>#N/A</v>
      </c>
      <c r="BY3204" t="e">
        <f>IF(OR(cMed=0,cMed2=0,3202&gt;nFilas),NA(),IF(AND(ISNUMBER(INDEX(rMed2,3202)),ISNUMBER(INDEX(rMed,3202))),INDEX(rMed,3202),NA()))</f>
        <v>#N/A</v>
      </c>
    </row>
    <row r="3205">
      <c r="BX3205" t="e">
        <f>IF(OR(cMed=0,cMed2=0,3203&gt;nFilas),NA(),IF(AND(ISNUMBER(INDEX(rMed2,3203)),ISNUMBER(INDEX(rMed,3203))),INDEX(rMed2,3203),NA()))</f>
        <v>#N/A</v>
      </c>
      <c r="BY3205" t="e">
        <f>IF(OR(cMed=0,cMed2=0,3203&gt;nFilas),NA(),IF(AND(ISNUMBER(INDEX(rMed2,3203)),ISNUMBER(INDEX(rMed,3203))),INDEX(rMed,3203),NA()))</f>
        <v>#N/A</v>
      </c>
    </row>
    <row r="3206">
      <c r="BX3206" t="e">
        <f>IF(OR(cMed=0,cMed2=0,3204&gt;nFilas),NA(),IF(AND(ISNUMBER(INDEX(rMed2,3204)),ISNUMBER(INDEX(rMed,3204))),INDEX(rMed2,3204),NA()))</f>
        <v>#N/A</v>
      </c>
      <c r="BY3206" t="e">
        <f>IF(OR(cMed=0,cMed2=0,3204&gt;nFilas),NA(),IF(AND(ISNUMBER(INDEX(rMed2,3204)),ISNUMBER(INDEX(rMed,3204))),INDEX(rMed,3204),NA()))</f>
        <v>#N/A</v>
      </c>
    </row>
    <row r="3207">
      <c r="BX3207" t="e">
        <f>IF(OR(cMed=0,cMed2=0,3205&gt;nFilas),NA(),IF(AND(ISNUMBER(INDEX(rMed2,3205)),ISNUMBER(INDEX(rMed,3205))),INDEX(rMed2,3205),NA()))</f>
        <v>#N/A</v>
      </c>
      <c r="BY3207" t="e">
        <f>IF(OR(cMed=0,cMed2=0,3205&gt;nFilas),NA(),IF(AND(ISNUMBER(INDEX(rMed2,3205)),ISNUMBER(INDEX(rMed,3205))),INDEX(rMed,3205),NA()))</f>
        <v>#N/A</v>
      </c>
    </row>
    <row r="3208">
      <c r="BX3208" t="e">
        <f>IF(OR(cMed=0,cMed2=0,3206&gt;nFilas),NA(),IF(AND(ISNUMBER(INDEX(rMed2,3206)),ISNUMBER(INDEX(rMed,3206))),INDEX(rMed2,3206),NA()))</f>
        <v>#N/A</v>
      </c>
      <c r="BY3208" t="e">
        <f>IF(OR(cMed=0,cMed2=0,3206&gt;nFilas),NA(),IF(AND(ISNUMBER(INDEX(rMed2,3206)),ISNUMBER(INDEX(rMed,3206))),INDEX(rMed,3206),NA()))</f>
        <v>#N/A</v>
      </c>
    </row>
    <row r="3209">
      <c r="BX3209" t="e">
        <f>IF(OR(cMed=0,cMed2=0,3207&gt;nFilas),NA(),IF(AND(ISNUMBER(INDEX(rMed2,3207)),ISNUMBER(INDEX(rMed,3207))),INDEX(rMed2,3207),NA()))</f>
        <v>#N/A</v>
      </c>
      <c r="BY3209" t="e">
        <f>IF(OR(cMed=0,cMed2=0,3207&gt;nFilas),NA(),IF(AND(ISNUMBER(INDEX(rMed2,3207)),ISNUMBER(INDEX(rMed,3207))),INDEX(rMed,3207),NA()))</f>
        <v>#N/A</v>
      </c>
    </row>
    <row r="3210">
      <c r="BX3210" t="e">
        <f>IF(OR(cMed=0,cMed2=0,3208&gt;nFilas),NA(),IF(AND(ISNUMBER(INDEX(rMed2,3208)),ISNUMBER(INDEX(rMed,3208))),INDEX(rMed2,3208),NA()))</f>
        <v>#N/A</v>
      </c>
      <c r="BY3210" t="e">
        <f>IF(OR(cMed=0,cMed2=0,3208&gt;nFilas),NA(),IF(AND(ISNUMBER(INDEX(rMed2,3208)),ISNUMBER(INDEX(rMed,3208))),INDEX(rMed,3208),NA()))</f>
        <v>#N/A</v>
      </c>
    </row>
    <row r="3211">
      <c r="BX3211" t="e">
        <f>IF(OR(cMed=0,cMed2=0,3209&gt;nFilas),NA(),IF(AND(ISNUMBER(INDEX(rMed2,3209)),ISNUMBER(INDEX(rMed,3209))),INDEX(rMed2,3209),NA()))</f>
        <v>#N/A</v>
      </c>
      <c r="BY3211" t="e">
        <f>IF(OR(cMed=0,cMed2=0,3209&gt;nFilas),NA(),IF(AND(ISNUMBER(INDEX(rMed2,3209)),ISNUMBER(INDEX(rMed,3209))),INDEX(rMed,3209),NA()))</f>
        <v>#N/A</v>
      </c>
    </row>
    <row r="3212">
      <c r="BX3212" t="e">
        <f>IF(OR(cMed=0,cMed2=0,3210&gt;nFilas),NA(),IF(AND(ISNUMBER(INDEX(rMed2,3210)),ISNUMBER(INDEX(rMed,3210))),INDEX(rMed2,3210),NA()))</f>
        <v>#N/A</v>
      </c>
      <c r="BY3212" t="e">
        <f>IF(OR(cMed=0,cMed2=0,3210&gt;nFilas),NA(),IF(AND(ISNUMBER(INDEX(rMed2,3210)),ISNUMBER(INDEX(rMed,3210))),INDEX(rMed,3210),NA()))</f>
        <v>#N/A</v>
      </c>
    </row>
    <row r="3213">
      <c r="BX3213" t="e">
        <f>IF(OR(cMed=0,cMed2=0,3211&gt;nFilas),NA(),IF(AND(ISNUMBER(INDEX(rMed2,3211)),ISNUMBER(INDEX(rMed,3211))),INDEX(rMed2,3211),NA()))</f>
        <v>#N/A</v>
      </c>
      <c r="BY3213" t="e">
        <f>IF(OR(cMed=0,cMed2=0,3211&gt;nFilas),NA(),IF(AND(ISNUMBER(INDEX(rMed2,3211)),ISNUMBER(INDEX(rMed,3211))),INDEX(rMed,3211),NA()))</f>
        <v>#N/A</v>
      </c>
    </row>
    <row r="3214">
      <c r="BX3214" t="e">
        <f>IF(OR(cMed=0,cMed2=0,3212&gt;nFilas),NA(),IF(AND(ISNUMBER(INDEX(rMed2,3212)),ISNUMBER(INDEX(rMed,3212))),INDEX(rMed2,3212),NA()))</f>
        <v>#N/A</v>
      </c>
      <c r="BY3214" t="e">
        <f>IF(OR(cMed=0,cMed2=0,3212&gt;nFilas),NA(),IF(AND(ISNUMBER(INDEX(rMed2,3212)),ISNUMBER(INDEX(rMed,3212))),INDEX(rMed,3212),NA()))</f>
        <v>#N/A</v>
      </c>
    </row>
    <row r="3215">
      <c r="BX3215" t="e">
        <f>IF(OR(cMed=0,cMed2=0,3213&gt;nFilas),NA(),IF(AND(ISNUMBER(INDEX(rMed2,3213)),ISNUMBER(INDEX(rMed,3213))),INDEX(rMed2,3213),NA()))</f>
        <v>#N/A</v>
      </c>
      <c r="BY3215" t="e">
        <f>IF(OR(cMed=0,cMed2=0,3213&gt;nFilas),NA(),IF(AND(ISNUMBER(INDEX(rMed2,3213)),ISNUMBER(INDEX(rMed,3213))),INDEX(rMed,3213),NA()))</f>
        <v>#N/A</v>
      </c>
    </row>
    <row r="3216">
      <c r="BX3216" t="e">
        <f>IF(OR(cMed=0,cMed2=0,3214&gt;nFilas),NA(),IF(AND(ISNUMBER(INDEX(rMed2,3214)),ISNUMBER(INDEX(rMed,3214))),INDEX(rMed2,3214),NA()))</f>
        <v>#N/A</v>
      </c>
      <c r="BY3216" t="e">
        <f>IF(OR(cMed=0,cMed2=0,3214&gt;nFilas),NA(),IF(AND(ISNUMBER(INDEX(rMed2,3214)),ISNUMBER(INDEX(rMed,3214))),INDEX(rMed,3214),NA()))</f>
        <v>#N/A</v>
      </c>
    </row>
    <row r="3217">
      <c r="BX3217" t="e">
        <f>IF(OR(cMed=0,cMed2=0,3215&gt;nFilas),NA(),IF(AND(ISNUMBER(INDEX(rMed2,3215)),ISNUMBER(INDEX(rMed,3215))),INDEX(rMed2,3215),NA()))</f>
        <v>#N/A</v>
      </c>
      <c r="BY3217" t="e">
        <f>IF(OR(cMed=0,cMed2=0,3215&gt;nFilas),NA(),IF(AND(ISNUMBER(INDEX(rMed2,3215)),ISNUMBER(INDEX(rMed,3215))),INDEX(rMed,3215),NA()))</f>
        <v>#N/A</v>
      </c>
    </row>
    <row r="3218">
      <c r="BX3218" t="e">
        <f>IF(OR(cMed=0,cMed2=0,3216&gt;nFilas),NA(),IF(AND(ISNUMBER(INDEX(rMed2,3216)),ISNUMBER(INDEX(rMed,3216))),INDEX(rMed2,3216),NA()))</f>
        <v>#N/A</v>
      </c>
      <c r="BY3218" t="e">
        <f>IF(OR(cMed=0,cMed2=0,3216&gt;nFilas),NA(),IF(AND(ISNUMBER(INDEX(rMed2,3216)),ISNUMBER(INDEX(rMed,3216))),INDEX(rMed,3216),NA()))</f>
        <v>#N/A</v>
      </c>
    </row>
    <row r="3219">
      <c r="BX3219" t="e">
        <f>IF(OR(cMed=0,cMed2=0,3217&gt;nFilas),NA(),IF(AND(ISNUMBER(INDEX(rMed2,3217)),ISNUMBER(INDEX(rMed,3217))),INDEX(rMed2,3217),NA()))</f>
        <v>#N/A</v>
      </c>
      <c r="BY3219" t="e">
        <f>IF(OR(cMed=0,cMed2=0,3217&gt;nFilas),NA(),IF(AND(ISNUMBER(INDEX(rMed2,3217)),ISNUMBER(INDEX(rMed,3217))),INDEX(rMed,3217),NA()))</f>
        <v>#N/A</v>
      </c>
    </row>
    <row r="3220">
      <c r="BX3220" t="e">
        <f>IF(OR(cMed=0,cMed2=0,3218&gt;nFilas),NA(),IF(AND(ISNUMBER(INDEX(rMed2,3218)),ISNUMBER(INDEX(rMed,3218))),INDEX(rMed2,3218),NA()))</f>
        <v>#N/A</v>
      </c>
      <c r="BY3220" t="e">
        <f>IF(OR(cMed=0,cMed2=0,3218&gt;nFilas),NA(),IF(AND(ISNUMBER(INDEX(rMed2,3218)),ISNUMBER(INDEX(rMed,3218))),INDEX(rMed,3218),NA()))</f>
        <v>#N/A</v>
      </c>
    </row>
    <row r="3221">
      <c r="BX3221" t="e">
        <f>IF(OR(cMed=0,cMed2=0,3219&gt;nFilas),NA(),IF(AND(ISNUMBER(INDEX(rMed2,3219)),ISNUMBER(INDEX(rMed,3219))),INDEX(rMed2,3219),NA()))</f>
        <v>#N/A</v>
      </c>
      <c r="BY3221" t="e">
        <f>IF(OR(cMed=0,cMed2=0,3219&gt;nFilas),NA(),IF(AND(ISNUMBER(INDEX(rMed2,3219)),ISNUMBER(INDEX(rMed,3219))),INDEX(rMed,3219),NA()))</f>
        <v>#N/A</v>
      </c>
    </row>
    <row r="3222">
      <c r="BX3222" t="e">
        <f>IF(OR(cMed=0,cMed2=0,3220&gt;nFilas),NA(),IF(AND(ISNUMBER(INDEX(rMed2,3220)),ISNUMBER(INDEX(rMed,3220))),INDEX(rMed2,3220),NA()))</f>
        <v>#N/A</v>
      </c>
      <c r="BY3222" t="e">
        <f>IF(OR(cMed=0,cMed2=0,3220&gt;nFilas),NA(),IF(AND(ISNUMBER(INDEX(rMed2,3220)),ISNUMBER(INDEX(rMed,3220))),INDEX(rMed,3220),NA()))</f>
        <v>#N/A</v>
      </c>
    </row>
    <row r="3223">
      <c r="BX3223" t="e">
        <f>IF(OR(cMed=0,cMed2=0,3221&gt;nFilas),NA(),IF(AND(ISNUMBER(INDEX(rMed2,3221)),ISNUMBER(INDEX(rMed,3221))),INDEX(rMed2,3221),NA()))</f>
        <v>#N/A</v>
      </c>
      <c r="BY3223" t="e">
        <f>IF(OR(cMed=0,cMed2=0,3221&gt;nFilas),NA(),IF(AND(ISNUMBER(INDEX(rMed2,3221)),ISNUMBER(INDEX(rMed,3221))),INDEX(rMed,3221),NA()))</f>
        <v>#N/A</v>
      </c>
    </row>
    <row r="3224">
      <c r="BX3224" t="e">
        <f>IF(OR(cMed=0,cMed2=0,3222&gt;nFilas),NA(),IF(AND(ISNUMBER(INDEX(rMed2,3222)),ISNUMBER(INDEX(rMed,3222))),INDEX(rMed2,3222),NA()))</f>
        <v>#N/A</v>
      </c>
      <c r="BY3224" t="e">
        <f>IF(OR(cMed=0,cMed2=0,3222&gt;nFilas),NA(),IF(AND(ISNUMBER(INDEX(rMed2,3222)),ISNUMBER(INDEX(rMed,3222))),INDEX(rMed,3222),NA()))</f>
        <v>#N/A</v>
      </c>
    </row>
    <row r="3225">
      <c r="BX3225" t="e">
        <f>IF(OR(cMed=0,cMed2=0,3223&gt;nFilas),NA(),IF(AND(ISNUMBER(INDEX(rMed2,3223)),ISNUMBER(INDEX(rMed,3223))),INDEX(rMed2,3223),NA()))</f>
        <v>#N/A</v>
      </c>
      <c r="BY3225" t="e">
        <f>IF(OR(cMed=0,cMed2=0,3223&gt;nFilas),NA(),IF(AND(ISNUMBER(INDEX(rMed2,3223)),ISNUMBER(INDEX(rMed,3223))),INDEX(rMed,3223),NA()))</f>
        <v>#N/A</v>
      </c>
    </row>
    <row r="3226">
      <c r="BX3226" t="e">
        <f>IF(OR(cMed=0,cMed2=0,3224&gt;nFilas),NA(),IF(AND(ISNUMBER(INDEX(rMed2,3224)),ISNUMBER(INDEX(rMed,3224))),INDEX(rMed2,3224),NA()))</f>
        <v>#N/A</v>
      </c>
      <c r="BY3226" t="e">
        <f>IF(OR(cMed=0,cMed2=0,3224&gt;nFilas),NA(),IF(AND(ISNUMBER(INDEX(rMed2,3224)),ISNUMBER(INDEX(rMed,3224))),INDEX(rMed,3224),NA()))</f>
        <v>#N/A</v>
      </c>
    </row>
    <row r="3227">
      <c r="BX3227" t="e">
        <f>IF(OR(cMed=0,cMed2=0,3225&gt;nFilas),NA(),IF(AND(ISNUMBER(INDEX(rMed2,3225)),ISNUMBER(INDEX(rMed,3225))),INDEX(rMed2,3225),NA()))</f>
        <v>#N/A</v>
      </c>
      <c r="BY3227" t="e">
        <f>IF(OR(cMed=0,cMed2=0,3225&gt;nFilas),NA(),IF(AND(ISNUMBER(INDEX(rMed2,3225)),ISNUMBER(INDEX(rMed,3225))),INDEX(rMed,3225),NA()))</f>
        <v>#N/A</v>
      </c>
    </row>
    <row r="3228">
      <c r="BX3228" t="e">
        <f>IF(OR(cMed=0,cMed2=0,3226&gt;nFilas),NA(),IF(AND(ISNUMBER(INDEX(rMed2,3226)),ISNUMBER(INDEX(rMed,3226))),INDEX(rMed2,3226),NA()))</f>
        <v>#N/A</v>
      </c>
      <c r="BY3228" t="e">
        <f>IF(OR(cMed=0,cMed2=0,3226&gt;nFilas),NA(),IF(AND(ISNUMBER(INDEX(rMed2,3226)),ISNUMBER(INDEX(rMed,3226))),INDEX(rMed,3226),NA()))</f>
        <v>#N/A</v>
      </c>
    </row>
    <row r="3229">
      <c r="BX3229" t="e">
        <f>IF(OR(cMed=0,cMed2=0,3227&gt;nFilas),NA(),IF(AND(ISNUMBER(INDEX(rMed2,3227)),ISNUMBER(INDEX(rMed,3227))),INDEX(rMed2,3227),NA()))</f>
        <v>#N/A</v>
      </c>
      <c r="BY3229" t="e">
        <f>IF(OR(cMed=0,cMed2=0,3227&gt;nFilas),NA(),IF(AND(ISNUMBER(INDEX(rMed2,3227)),ISNUMBER(INDEX(rMed,3227))),INDEX(rMed,3227),NA()))</f>
        <v>#N/A</v>
      </c>
    </row>
    <row r="3230">
      <c r="BX3230" t="e">
        <f>IF(OR(cMed=0,cMed2=0,3228&gt;nFilas),NA(),IF(AND(ISNUMBER(INDEX(rMed2,3228)),ISNUMBER(INDEX(rMed,3228))),INDEX(rMed2,3228),NA()))</f>
        <v>#N/A</v>
      </c>
      <c r="BY3230" t="e">
        <f>IF(OR(cMed=0,cMed2=0,3228&gt;nFilas),NA(),IF(AND(ISNUMBER(INDEX(rMed2,3228)),ISNUMBER(INDEX(rMed,3228))),INDEX(rMed,3228),NA()))</f>
        <v>#N/A</v>
      </c>
    </row>
    <row r="3231">
      <c r="BX3231" t="e">
        <f>IF(OR(cMed=0,cMed2=0,3229&gt;nFilas),NA(),IF(AND(ISNUMBER(INDEX(rMed2,3229)),ISNUMBER(INDEX(rMed,3229))),INDEX(rMed2,3229),NA()))</f>
        <v>#N/A</v>
      </c>
      <c r="BY3231" t="e">
        <f>IF(OR(cMed=0,cMed2=0,3229&gt;nFilas),NA(),IF(AND(ISNUMBER(INDEX(rMed2,3229)),ISNUMBER(INDEX(rMed,3229))),INDEX(rMed,3229),NA()))</f>
        <v>#N/A</v>
      </c>
    </row>
    <row r="3232">
      <c r="BX3232" t="e">
        <f>IF(OR(cMed=0,cMed2=0,3230&gt;nFilas),NA(),IF(AND(ISNUMBER(INDEX(rMed2,3230)),ISNUMBER(INDEX(rMed,3230))),INDEX(rMed2,3230),NA()))</f>
        <v>#N/A</v>
      </c>
      <c r="BY3232" t="e">
        <f>IF(OR(cMed=0,cMed2=0,3230&gt;nFilas),NA(),IF(AND(ISNUMBER(INDEX(rMed2,3230)),ISNUMBER(INDEX(rMed,3230))),INDEX(rMed,3230),NA()))</f>
        <v>#N/A</v>
      </c>
    </row>
    <row r="3233">
      <c r="BX3233" t="e">
        <f>IF(OR(cMed=0,cMed2=0,3231&gt;nFilas),NA(),IF(AND(ISNUMBER(INDEX(rMed2,3231)),ISNUMBER(INDEX(rMed,3231))),INDEX(rMed2,3231),NA()))</f>
        <v>#N/A</v>
      </c>
      <c r="BY3233" t="e">
        <f>IF(OR(cMed=0,cMed2=0,3231&gt;nFilas),NA(),IF(AND(ISNUMBER(INDEX(rMed2,3231)),ISNUMBER(INDEX(rMed,3231))),INDEX(rMed,3231),NA()))</f>
        <v>#N/A</v>
      </c>
    </row>
    <row r="3234">
      <c r="BX3234" t="e">
        <f>IF(OR(cMed=0,cMed2=0,3232&gt;nFilas),NA(),IF(AND(ISNUMBER(INDEX(rMed2,3232)),ISNUMBER(INDEX(rMed,3232))),INDEX(rMed2,3232),NA()))</f>
        <v>#N/A</v>
      </c>
      <c r="BY3234" t="e">
        <f>IF(OR(cMed=0,cMed2=0,3232&gt;nFilas),NA(),IF(AND(ISNUMBER(INDEX(rMed2,3232)),ISNUMBER(INDEX(rMed,3232))),INDEX(rMed,3232),NA()))</f>
        <v>#N/A</v>
      </c>
    </row>
    <row r="3235">
      <c r="BX3235" t="e">
        <f>IF(OR(cMed=0,cMed2=0,3233&gt;nFilas),NA(),IF(AND(ISNUMBER(INDEX(rMed2,3233)),ISNUMBER(INDEX(rMed,3233))),INDEX(rMed2,3233),NA()))</f>
        <v>#N/A</v>
      </c>
      <c r="BY3235" t="e">
        <f>IF(OR(cMed=0,cMed2=0,3233&gt;nFilas),NA(),IF(AND(ISNUMBER(INDEX(rMed2,3233)),ISNUMBER(INDEX(rMed,3233))),INDEX(rMed,3233),NA()))</f>
        <v>#N/A</v>
      </c>
    </row>
    <row r="3236">
      <c r="BX3236" t="e">
        <f>IF(OR(cMed=0,cMed2=0,3234&gt;nFilas),NA(),IF(AND(ISNUMBER(INDEX(rMed2,3234)),ISNUMBER(INDEX(rMed,3234))),INDEX(rMed2,3234),NA()))</f>
        <v>#N/A</v>
      </c>
      <c r="BY3236" t="e">
        <f>IF(OR(cMed=0,cMed2=0,3234&gt;nFilas),NA(),IF(AND(ISNUMBER(INDEX(rMed2,3234)),ISNUMBER(INDEX(rMed,3234))),INDEX(rMed,3234),NA()))</f>
        <v>#N/A</v>
      </c>
    </row>
    <row r="3237">
      <c r="BX3237" t="e">
        <f>IF(OR(cMed=0,cMed2=0,3235&gt;nFilas),NA(),IF(AND(ISNUMBER(INDEX(rMed2,3235)),ISNUMBER(INDEX(rMed,3235))),INDEX(rMed2,3235),NA()))</f>
        <v>#N/A</v>
      </c>
      <c r="BY3237" t="e">
        <f>IF(OR(cMed=0,cMed2=0,3235&gt;nFilas),NA(),IF(AND(ISNUMBER(INDEX(rMed2,3235)),ISNUMBER(INDEX(rMed,3235))),INDEX(rMed,3235),NA()))</f>
        <v>#N/A</v>
      </c>
    </row>
    <row r="3238">
      <c r="BX3238" t="e">
        <f>IF(OR(cMed=0,cMed2=0,3236&gt;nFilas),NA(),IF(AND(ISNUMBER(INDEX(rMed2,3236)),ISNUMBER(INDEX(rMed,3236))),INDEX(rMed2,3236),NA()))</f>
        <v>#N/A</v>
      </c>
      <c r="BY3238" t="e">
        <f>IF(OR(cMed=0,cMed2=0,3236&gt;nFilas),NA(),IF(AND(ISNUMBER(INDEX(rMed2,3236)),ISNUMBER(INDEX(rMed,3236))),INDEX(rMed,3236),NA()))</f>
        <v>#N/A</v>
      </c>
    </row>
    <row r="3239">
      <c r="BX3239" t="e">
        <f>IF(OR(cMed=0,cMed2=0,3237&gt;nFilas),NA(),IF(AND(ISNUMBER(INDEX(rMed2,3237)),ISNUMBER(INDEX(rMed,3237))),INDEX(rMed2,3237),NA()))</f>
        <v>#N/A</v>
      </c>
      <c r="BY3239" t="e">
        <f>IF(OR(cMed=0,cMed2=0,3237&gt;nFilas),NA(),IF(AND(ISNUMBER(INDEX(rMed2,3237)),ISNUMBER(INDEX(rMed,3237))),INDEX(rMed,3237),NA()))</f>
        <v>#N/A</v>
      </c>
    </row>
    <row r="3240">
      <c r="BX3240" t="e">
        <f>IF(OR(cMed=0,cMed2=0,3238&gt;nFilas),NA(),IF(AND(ISNUMBER(INDEX(rMed2,3238)),ISNUMBER(INDEX(rMed,3238))),INDEX(rMed2,3238),NA()))</f>
        <v>#N/A</v>
      </c>
      <c r="BY3240" t="e">
        <f>IF(OR(cMed=0,cMed2=0,3238&gt;nFilas),NA(),IF(AND(ISNUMBER(INDEX(rMed2,3238)),ISNUMBER(INDEX(rMed,3238))),INDEX(rMed,3238),NA()))</f>
        <v>#N/A</v>
      </c>
    </row>
    <row r="3241">
      <c r="BX3241" t="e">
        <f>IF(OR(cMed=0,cMed2=0,3239&gt;nFilas),NA(),IF(AND(ISNUMBER(INDEX(rMed2,3239)),ISNUMBER(INDEX(rMed,3239))),INDEX(rMed2,3239),NA()))</f>
        <v>#N/A</v>
      </c>
      <c r="BY3241" t="e">
        <f>IF(OR(cMed=0,cMed2=0,3239&gt;nFilas),NA(),IF(AND(ISNUMBER(INDEX(rMed2,3239)),ISNUMBER(INDEX(rMed,3239))),INDEX(rMed,3239),NA()))</f>
        <v>#N/A</v>
      </c>
    </row>
    <row r="3242">
      <c r="BX3242" t="e">
        <f>IF(OR(cMed=0,cMed2=0,3240&gt;nFilas),NA(),IF(AND(ISNUMBER(INDEX(rMed2,3240)),ISNUMBER(INDEX(rMed,3240))),INDEX(rMed2,3240),NA()))</f>
        <v>#N/A</v>
      </c>
      <c r="BY3242" t="e">
        <f>IF(OR(cMed=0,cMed2=0,3240&gt;nFilas),NA(),IF(AND(ISNUMBER(INDEX(rMed2,3240)),ISNUMBER(INDEX(rMed,3240))),INDEX(rMed,3240),NA()))</f>
        <v>#N/A</v>
      </c>
    </row>
    <row r="3243">
      <c r="BX3243" t="e">
        <f>IF(OR(cMed=0,cMed2=0,3241&gt;nFilas),NA(),IF(AND(ISNUMBER(INDEX(rMed2,3241)),ISNUMBER(INDEX(rMed,3241))),INDEX(rMed2,3241),NA()))</f>
        <v>#N/A</v>
      </c>
      <c r="BY3243" t="e">
        <f>IF(OR(cMed=0,cMed2=0,3241&gt;nFilas),NA(),IF(AND(ISNUMBER(INDEX(rMed2,3241)),ISNUMBER(INDEX(rMed,3241))),INDEX(rMed,3241),NA()))</f>
        <v>#N/A</v>
      </c>
    </row>
    <row r="3244">
      <c r="BX3244" t="e">
        <f>IF(OR(cMed=0,cMed2=0,3242&gt;nFilas),NA(),IF(AND(ISNUMBER(INDEX(rMed2,3242)),ISNUMBER(INDEX(rMed,3242))),INDEX(rMed2,3242),NA()))</f>
        <v>#N/A</v>
      </c>
      <c r="BY3244" t="e">
        <f>IF(OR(cMed=0,cMed2=0,3242&gt;nFilas),NA(),IF(AND(ISNUMBER(INDEX(rMed2,3242)),ISNUMBER(INDEX(rMed,3242))),INDEX(rMed,3242),NA()))</f>
        <v>#N/A</v>
      </c>
    </row>
    <row r="3245">
      <c r="BX3245" t="e">
        <f>IF(OR(cMed=0,cMed2=0,3243&gt;nFilas),NA(),IF(AND(ISNUMBER(INDEX(rMed2,3243)),ISNUMBER(INDEX(rMed,3243))),INDEX(rMed2,3243),NA()))</f>
        <v>#N/A</v>
      </c>
      <c r="BY3245" t="e">
        <f>IF(OR(cMed=0,cMed2=0,3243&gt;nFilas),NA(),IF(AND(ISNUMBER(INDEX(rMed2,3243)),ISNUMBER(INDEX(rMed,3243))),INDEX(rMed,3243),NA()))</f>
        <v>#N/A</v>
      </c>
    </row>
    <row r="3246">
      <c r="BX3246" t="e">
        <f>IF(OR(cMed=0,cMed2=0,3244&gt;nFilas),NA(),IF(AND(ISNUMBER(INDEX(rMed2,3244)),ISNUMBER(INDEX(rMed,3244))),INDEX(rMed2,3244),NA()))</f>
        <v>#N/A</v>
      </c>
      <c r="BY3246" t="e">
        <f>IF(OR(cMed=0,cMed2=0,3244&gt;nFilas),NA(),IF(AND(ISNUMBER(INDEX(rMed2,3244)),ISNUMBER(INDEX(rMed,3244))),INDEX(rMed,3244),NA()))</f>
        <v>#N/A</v>
      </c>
    </row>
    <row r="3247">
      <c r="BX3247" t="e">
        <f>IF(OR(cMed=0,cMed2=0,3245&gt;nFilas),NA(),IF(AND(ISNUMBER(INDEX(rMed2,3245)),ISNUMBER(INDEX(rMed,3245))),INDEX(rMed2,3245),NA()))</f>
        <v>#N/A</v>
      </c>
      <c r="BY3247" t="e">
        <f>IF(OR(cMed=0,cMed2=0,3245&gt;nFilas),NA(),IF(AND(ISNUMBER(INDEX(rMed2,3245)),ISNUMBER(INDEX(rMed,3245))),INDEX(rMed,3245),NA()))</f>
        <v>#N/A</v>
      </c>
    </row>
    <row r="3248">
      <c r="BX3248" t="e">
        <f>IF(OR(cMed=0,cMed2=0,3246&gt;nFilas),NA(),IF(AND(ISNUMBER(INDEX(rMed2,3246)),ISNUMBER(INDEX(rMed,3246))),INDEX(rMed2,3246),NA()))</f>
        <v>#N/A</v>
      </c>
      <c r="BY3248" t="e">
        <f>IF(OR(cMed=0,cMed2=0,3246&gt;nFilas),NA(),IF(AND(ISNUMBER(INDEX(rMed2,3246)),ISNUMBER(INDEX(rMed,3246))),INDEX(rMed,3246),NA()))</f>
        <v>#N/A</v>
      </c>
    </row>
    <row r="3249">
      <c r="BX3249" t="e">
        <f>IF(OR(cMed=0,cMed2=0,3247&gt;nFilas),NA(),IF(AND(ISNUMBER(INDEX(rMed2,3247)),ISNUMBER(INDEX(rMed,3247))),INDEX(rMed2,3247),NA()))</f>
        <v>#N/A</v>
      </c>
      <c r="BY3249" t="e">
        <f>IF(OR(cMed=0,cMed2=0,3247&gt;nFilas),NA(),IF(AND(ISNUMBER(INDEX(rMed2,3247)),ISNUMBER(INDEX(rMed,3247))),INDEX(rMed,3247),NA()))</f>
        <v>#N/A</v>
      </c>
    </row>
    <row r="3250">
      <c r="BX3250" t="e">
        <f>IF(OR(cMed=0,cMed2=0,3248&gt;nFilas),NA(),IF(AND(ISNUMBER(INDEX(rMed2,3248)),ISNUMBER(INDEX(rMed,3248))),INDEX(rMed2,3248),NA()))</f>
        <v>#N/A</v>
      </c>
      <c r="BY3250" t="e">
        <f>IF(OR(cMed=0,cMed2=0,3248&gt;nFilas),NA(),IF(AND(ISNUMBER(INDEX(rMed2,3248)),ISNUMBER(INDEX(rMed,3248))),INDEX(rMed,3248),NA()))</f>
        <v>#N/A</v>
      </c>
    </row>
    <row r="3251">
      <c r="BX3251" t="e">
        <f>IF(OR(cMed=0,cMed2=0,3249&gt;nFilas),NA(),IF(AND(ISNUMBER(INDEX(rMed2,3249)),ISNUMBER(INDEX(rMed,3249))),INDEX(rMed2,3249),NA()))</f>
        <v>#N/A</v>
      </c>
      <c r="BY3251" t="e">
        <f>IF(OR(cMed=0,cMed2=0,3249&gt;nFilas),NA(),IF(AND(ISNUMBER(INDEX(rMed2,3249)),ISNUMBER(INDEX(rMed,3249))),INDEX(rMed,3249),NA()))</f>
        <v>#N/A</v>
      </c>
    </row>
    <row r="3252">
      <c r="BX3252" t="e">
        <f>IF(OR(cMed=0,cMed2=0,3250&gt;nFilas),NA(),IF(AND(ISNUMBER(INDEX(rMed2,3250)),ISNUMBER(INDEX(rMed,3250))),INDEX(rMed2,3250),NA()))</f>
        <v>#N/A</v>
      </c>
      <c r="BY3252" t="e">
        <f>IF(OR(cMed=0,cMed2=0,3250&gt;nFilas),NA(),IF(AND(ISNUMBER(INDEX(rMed2,3250)),ISNUMBER(INDEX(rMed,3250))),INDEX(rMed,3250),NA()))</f>
        <v>#N/A</v>
      </c>
    </row>
    <row r="3253">
      <c r="BX3253" t="e">
        <f>IF(OR(cMed=0,cMed2=0,3251&gt;nFilas),NA(),IF(AND(ISNUMBER(INDEX(rMed2,3251)),ISNUMBER(INDEX(rMed,3251))),INDEX(rMed2,3251),NA()))</f>
        <v>#N/A</v>
      </c>
      <c r="BY3253" t="e">
        <f>IF(OR(cMed=0,cMed2=0,3251&gt;nFilas),NA(),IF(AND(ISNUMBER(INDEX(rMed2,3251)),ISNUMBER(INDEX(rMed,3251))),INDEX(rMed,3251),NA()))</f>
        <v>#N/A</v>
      </c>
    </row>
    <row r="3254">
      <c r="BX3254" t="e">
        <f>IF(OR(cMed=0,cMed2=0,3252&gt;nFilas),NA(),IF(AND(ISNUMBER(INDEX(rMed2,3252)),ISNUMBER(INDEX(rMed,3252))),INDEX(rMed2,3252),NA()))</f>
        <v>#N/A</v>
      </c>
      <c r="BY3254" t="e">
        <f>IF(OR(cMed=0,cMed2=0,3252&gt;nFilas),NA(),IF(AND(ISNUMBER(INDEX(rMed2,3252)),ISNUMBER(INDEX(rMed,3252))),INDEX(rMed,3252),NA()))</f>
        <v>#N/A</v>
      </c>
    </row>
    <row r="3255">
      <c r="BX3255" t="e">
        <f>IF(OR(cMed=0,cMed2=0,3253&gt;nFilas),NA(),IF(AND(ISNUMBER(INDEX(rMed2,3253)),ISNUMBER(INDEX(rMed,3253))),INDEX(rMed2,3253),NA()))</f>
        <v>#N/A</v>
      </c>
      <c r="BY3255" t="e">
        <f>IF(OR(cMed=0,cMed2=0,3253&gt;nFilas),NA(),IF(AND(ISNUMBER(INDEX(rMed2,3253)),ISNUMBER(INDEX(rMed,3253))),INDEX(rMed,3253),NA()))</f>
        <v>#N/A</v>
      </c>
    </row>
    <row r="3256">
      <c r="BX3256" t="e">
        <f>IF(OR(cMed=0,cMed2=0,3254&gt;nFilas),NA(),IF(AND(ISNUMBER(INDEX(rMed2,3254)),ISNUMBER(INDEX(rMed,3254))),INDEX(rMed2,3254),NA()))</f>
        <v>#N/A</v>
      </c>
      <c r="BY3256" t="e">
        <f>IF(OR(cMed=0,cMed2=0,3254&gt;nFilas),NA(),IF(AND(ISNUMBER(INDEX(rMed2,3254)),ISNUMBER(INDEX(rMed,3254))),INDEX(rMed,3254),NA()))</f>
        <v>#N/A</v>
      </c>
    </row>
    <row r="3257">
      <c r="BX3257" t="e">
        <f>IF(OR(cMed=0,cMed2=0,3255&gt;nFilas),NA(),IF(AND(ISNUMBER(INDEX(rMed2,3255)),ISNUMBER(INDEX(rMed,3255))),INDEX(rMed2,3255),NA()))</f>
        <v>#N/A</v>
      </c>
      <c r="BY3257" t="e">
        <f>IF(OR(cMed=0,cMed2=0,3255&gt;nFilas),NA(),IF(AND(ISNUMBER(INDEX(rMed2,3255)),ISNUMBER(INDEX(rMed,3255))),INDEX(rMed,3255),NA()))</f>
        <v>#N/A</v>
      </c>
    </row>
    <row r="3258">
      <c r="BX3258" t="e">
        <f>IF(OR(cMed=0,cMed2=0,3256&gt;nFilas),NA(),IF(AND(ISNUMBER(INDEX(rMed2,3256)),ISNUMBER(INDEX(rMed,3256))),INDEX(rMed2,3256),NA()))</f>
        <v>#N/A</v>
      </c>
      <c r="BY3258" t="e">
        <f>IF(OR(cMed=0,cMed2=0,3256&gt;nFilas),NA(),IF(AND(ISNUMBER(INDEX(rMed2,3256)),ISNUMBER(INDEX(rMed,3256))),INDEX(rMed,3256),NA()))</f>
        <v>#N/A</v>
      </c>
    </row>
    <row r="3259">
      <c r="BX3259" t="e">
        <f>IF(OR(cMed=0,cMed2=0,3257&gt;nFilas),NA(),IF(AND(ISNUMBER(INDEX(rMed2,3257)),ISNUMBER(INDEX(rMed,3257))),INDEX(rMed2,3257),NA()))</f>
        <v>#N/A</v>
      </c>
      <c r="BY3259" t="e">
        <f>IF(OR(cMed=0,cMed2=0,3257&gt;nFilas),NA(),IF(AND(ISNUMBER(INDEX(rMed2,3257)),ISNUMBER(INDEX(rMed,3257))),INDEX(rMed,3257),NA()))</f>
        <v>#N/A</v>
      </c>
    </row>
    <row r="3260">
      <c r="BX3260" t="e">
        <f>IF(OR(cMed=0,cMed2=0,3258&gt;nFilas),NA(),IF(AND(ISNUMBER(INDEX(rMed2,3258)),ISNUMBER(INDEX(rMed,3258))),INDEX(rMed2,3258),NA()))</f>
        <v>#N/A</v>
      </c>
      <c r="BY3260" t="e">
        <f>IF(OR(cMed=0,cMed2=0,3258&gt;nFilas),NA(),IF(AND(ISNUMBER(INDEX(rMed2,3258)),ISNUMBER(INDEX(rMed,3258))),INDEX(rMed,3258),NA()))</f>
        <v>#N/A</v>
      </c>
    </row>
    <row r="3261">
      <c r="BX3261" t="e">
        <f>IF(OR(cMed=0,cMed2=0,3259&gt;nFilas),NA(),IF(AND(ISNUMBER(INDEX(rMed2,3259)),ISNUMBER(INDEX(rMed,3259))),INDEX(rMed2,3259),NA()))</f>
        <v>#N/A</v>
      </c>
      <c r="BY3261" t="e">
        <f>IF(OR(cMed=0,cMed2=0,3259&gt;nFilas),NA(),IF(AND(ISNUMBER(INDEX(rMed2,3259)),ISNUMBER(INDEX(rMed,3259))),INDEX(rMed,3259),NA()))</f>
        <v>#N/A</v>
      </c>
    </row>
    <row r="3262">
      <c r="BX3262" t="e">
        <f>IF(OR(cMed=0,cMed2=0,3260&gt;nFilas),NA(),IF(AND(ISNUMBER(INDEX(rMed2,3260)),ISNUMBER(INDEX(rMed,3260))),INDEX(rMed2,3260),NA()))</f>
        <v>#N/A</v>
      </c>
      <c r="BY3262" t="e">
        <f>IF(OR(cMed=0,cMed2=0,3260&gt;nFilas),NA(),IF(AND(ISNUMBER(INDEX(rMed2,3260)),ISNUMBER(INDEX(rMed,3260))),INDEX(rMed,3260),NA()))</f>
        <v>#N/A</v>
      </c>
    </row>
    <row r="3263">
      <c r="BX3263" t="e">
        <f>IF(OR(cMed=0,cMed2=0,3261&gt;nFilas),NA(),IF(AND(ISNUMBER(INDEX(rMed2,3261)),ISNUMBER(INDEX(rMed,3261))),INDEX(rMed2,3261),NA()))</f>
        <v>#N/A</v>
      </c>
      <c r="BY3263" t="e">
        <f>IF(OR(cMed=0,cMed2=0,3261&gt;nFilas),NA(),IF(AND(ISNUMBER(INDEX(rMed2,3261)),ISNUMBER(INDEX(rMed,3261))),INDEX(rMed,3261),NA()))</f>
        <v>#N/A</v>
      </c>
    </row>
    <row r="3264">
      <c r="BX3264" t="e">
        <f>IF(OR(cMed=0,cMed2=0,3262&gt;nFilas),NA(),IF(AND(ISNUMBER(INDEX(rMed2,3262)),ISNUMBER(INDEX(rMed,3262))),INDEX(rMed2,3262),NA()))</f>
        <v>#N/A</v>
      </c>
      <c r="BY3264" t="e">
        <f>IF(OR(cMed=0,cMed2=0,3262&gt;nFilas),NA(),IF(AND(ISNUMBER(INDEX(rMed2,3262)),ISNUMBER(INDEX(rMed,3262))),INDEX(rMed,3262),NA()))</f>
        <v>#N/A</v>
      </c>
    </row>
    <row r="3265">
      <c r="BX3265" t="e">
        <f>IF(OR(cMed=0,cMed2=0,3263&gt;nFilas),NA(),IF(AND(ISNUMBER(INDEX(rMed2,3263)),ISNUMBER(INDEX(rMed,3263))),INDEX(rMed2,3263),NA()))</f>
        <v>#N/A</v>
      </c>
      <c r="BY3265" t="e">
        <f>IF(OR(cMed=0,cMed2=0,3263&gt;nFilas),NA(),IF(AND(ISNUMBER(INDEX(rMed2,3263)),ISNUMBER(INDEX(rMed,3263))),INDEX(rMed,3263),NA()))</f>
        <v>#N/A</v>
      </c>
    </row>
    <row r="3266">
      <c r="BX3266" t="e">
        <f>IF(OR(cMed=0,cMed2=0,3264&gt;nFilas),NA(),IF(AND(ISNUMBER(INDEX(rMed2,3264)),ISNUMBER(INDEX(rMed,3264))),INDEX(rMed2,3264),NA()))</f>
        <v>#N/A</v>
      </c>
      <c r="BY3266" t="e">
        <f>IF(OR(cMed=0,cMed2=0,3264&gt;nFilas),NA(),IF(AND(ISNUMBER(INDEX(rMed2,3264)),ISNUMBER(INDEX(rMed,3264))),INDEX(rMed,3264),NA()))</f>
        <v>#N/A</v>
      </c>
    </row>
    <row r="3267">
      <c r="BX3267" t="e">
        <f>IF(OR(cMed=0,cMed2=0,3265&gt;nFilas),NA(),IF(AND(ISNUMBER(INDEX(rMed2,3265)),ISNUMBER(INDEX(rMed,3265))),INDEX(rMed2,3265),NA()))</f>
        <v>#N/A</v>
      </c>
      <c r="BY3267" t="e">
        <f>IF(OR(cMed=0,cMed2=0,3265&gt;nFilas),NA(),IF(AND(ISNUMBER(INDEX(rMed2,3265)),ISNUMBER(INDEX(rMed,3265))),INDEX(rMed,3265),NA()))</f>
        <v>#N/A</v>
      </c>
    </row>
    <row r="3268">
      <c r="BX3268" t="e">
        <f>IF(OR(cMed=0,cMed2=0,3266&gt;nFilas),NA(),IF(AND(ISNUMBER(INDEX(rMed2,3266)),ISNUMBER(INDEX(rMed,3266))),INDEX(rMed2,3266),NA()))</f>
        <v>#N/A</v>
      </c>
      <c r="BY3268" t="e">
        <f>IF(OR(cMed=0,cMed2=0,3266&gt;nFilas),NA(),IF(AND(ISNUMBER(INDEX(rMed2,3266)),ISNUMBER(INDEX(rMed,3266))),INDEX(rMed,3266),NA()))</f>
        <v>#N/A</v>
      </c>
    </row>
    <row r="3269">
      <c r="BX3269" t="e">
        <f>IF(OR(cMed=0,cMed2=0,3267&gt;nFilas),NA(),IF(AND(ISNUMBER(INDEX(rMed2,3267)),ISNUMBER(INDEX(rMed,3267))),INDEX(rMed2,3267),NA()))</f>
        <v>#N/A</v>
      </c>
      <c r="BY3269" t="e">
        <f>IF(OR(cMed=0,cMed2=0,3267&gt;nFilas),NA(),IF(AND(ISNUMBER(INDEX(rMed2,3267)),ISNUMBER(INDEX(rMed,3267))),INDEX(rMed,3267),NA()))</f>
        <v>#N/A</v>
      </c>
    </row>
    <row r="3270">
      <c r="BX3270" t="e">
        <f>IF(OR(cMed=0,cMed2=0,3268&gt;nFilas),NA(),IF(AND(ISNUMBER(INDEX(rMed2,3268)),ISNUMBER(INDEX(rMed,3268))),INDEX(rMed2,3268),NA()))</f>
        <v>#N/A</v>
      </c>
      <c r="BY3270" t="e">
        <f>IF(OR(cMed=0,cMed2=0,3268&gt;nFilas),NA(),IF(AND(ISNUMBER(INDEX(rMed2,3268)),ISNUMBER(INDEX(rMed,3268))),INDEX(rMed,3268),NA()))</f>
        <v>#N/A</v>
      </c>
    </row>
    <row r="3271">
      <c r="BX3271" t="e">
        <f>IF(OR(cMed=0,cMed2=0,3269&gt;nFilas),NA(),IF(AND(ISNUMBER(INDEX(rMed2,3269)),ISNUMBER(INDEX(rMed,3269))),INDEX(rMed2,3269),NA()))</f>
        <v>#N/A</v>
      </c>
      <c r="BY3271" t="e">
        <f>IF(OR(cMed=0,cMed2=0,3269&gt;nFilas),NA(),IF(AND(ISNUMBER(INDEX(rMed2,3269)),ISNUMBER(INDEX(rMed,3269))),INDEX(rMed,3269),NA()))</f>
        <v>#N/A</v>
      </c>
    </row>
    <row r="3272">
      <c r="BX3272" t="e">
        <f>IF(OR(cMed=0,cMed2=0,3270&gt;nFilas),NA(),IF(AND(ISNUMBER(INDEX(rMed2,3270)),ISNUMBER(INDEX(rMed,3270))),INDEX(rMed2,3270),NA()))</f>
        <v>#N/A</v>
      </c>
      <c r="BY3272" t="e">
        <f>IF(OR(cMed=0,cMed2=0,3270&gt;nFilas),NA(),IF(AND(ISNUMBER(INDEX(rMed2,3270)),ISNUMBER(INDEX(rMed,3270))),INDEX(rMed,3270),NA()))</f>
        <v>#N/A</v>
      </c>
    </row>
    <row r="3273">
      <c r="BX3273" t="e">
        <f>IF(OR(cMed=0,cMed2=0,3271&gt;nFilas),NA(),IF(AND(ISNUMBER(INDEX(rMed2,3271)),ISNUMBER(INDEX(rMed,3271))),INDEX(rMed2,3271),NA()))</f>
        <v>#N/A</v>
      </c>
      <c r="BY3273" t="e">
        <f>IF(OR(cMed=0,cMed2=0,3271&gt;nFilas),NA(),IF(AND(ISNUMBER(INDEX(rMed2,3271)),ISNUMBER(INDEX(rMed,3271))),INDEX(rMed,3271),NA()))</f>
        <v>#N/A</v>
      </c>
    </row>
    <row r="3274">
      <c r="BX3274" t="e">
        <f>IF(OR(cMed=0,cMed2=0,3272&gt;nFilas),NA(),IF(AND(ISNUMBER(INDEX(rMed2,3272)),ISNUMBER(INDEX(rMed,3272))),INDEX(rMed2,3272),NA()))</f>
        <v>#N/A</v>
      </c>
      <c r="BY3274" t="e">
        <f>IF(OR(cMed=0,cMed2=0,3272&gt;nFilas),NA(),IF(AND(ISNUMBER(INDEX(rMed2,3272)),ISNUMBER(INDEX(rMed,3272))),INDEX(rMed,3272),NA()))</f>
        <v>#N/A</v>
      </c>
    </row>
    <row r="3275">
      <c r="BX3275" t="e">
        <f>IF(OR(cMed=0,cMed2=0,3273&gt;nFilas),NA(),IF(AND(ISNUMBER(INDEX(rMed2,3273)),ISNUMBER(INDEX(rMed,3273))),INDEX(rMed2,3273),NA()))</f>
        <v>#N/A</v>
      </c>
      <c r="BY3275" t="e">
        <f>IF(OR(cMed=0,cMed2=0,3273&gt;nFilas),NA(),IF(AND(ISNUMBER(INDEX(rMed2,3273)),ISNUMBER(INDEX(rMed,3273))),INDEX(rMed,3273),NA()))</f>
        <v>#N/A</v>
      </c>
    </row>
    <row r="3276">
      <c r="BX3276" t="e">
        <f>IF(OR(cMed=0,cMed2=0,3274&gt;nFilas),NA(),IF(AND(ISNUMBER(INDEX(rMed2,3274)),ISNUMBER(INDEX(rMed,3274))),INDEX(rMed2,3274),NA()))</f>
        <v>#N/A</v>
      </c>
      <c r="BY3276" t="e">
        <f>IF(OR(cMed=0,cMed2=0,3274&gt;nFilas),NA(),IF(AND(ISNUMBER(INDEX(rMed2,3274)),ISNUMBER(INDEX(rMed,3274))),INDEX(rMed,3274),NA()))</f>
        <v>#N/A</v>
      </c>
    </row>
    <row r="3277">
      <c r="BX3277" t="e">
        <f>IF(OR(cMed=0,cMed2=0,3275&gt;nFilas),NA(),IF(AND(ISNUMBER(INDEX(rMed2,3275)),ISNUMBER(INDEX(rMed,3275))),INDEX(rMed2,3275),NA()))</f>
        <v>#N/A</v>
      </c>
      <c r="BY3277" t="e">
        <f>IF(OR(cMed=0,cMed2=0,3275&gt;nFilas),NA(),IF(AND(ISNUMBER(INDEX(rMed2,3275)),ISNUMBER(INDEX(rMed,3275))),INDEX(rMed,3275),NA()))</f>
        <v>#N/A</v>
      </c>
    </row>
    <row r="3278">
      <c r="BX3278" t="e">
        <f>IF(OR(cMed=0,cMed2=0,3276&gt;nFilas),NA(),IF(AND(ISNUMBER(INDEX(rMed2,3276)),ISNUMBER(INDEX(rMed,3276))),INDEX(rMed2,3276),NA()))</f>
        <v>#N/A</v>
      </c>
      <c r="BY3278" t="e">
        <f>IF(OR(cMed=0,cMed2=0,3276&gt;nFilas),NA(),IF(AND(ISNUMBER(INDEX(rMed2,3276)),ISNUMBER(INDEX(rMed,3276))),INDEX(rMed,3276),NA()))</f>
        <v>#N/A</v>
      </c>
    </row>
    <row r="3279">
      <c r="BX3279" t="e">
        <f>IF(OR(cMed=0,cMed2=0,3277&gt;nFilas),NA(),IF(AND(ISNUMBER(INDEX(rMed2,3277)),ISNUMBER(INDEX(rMed,3277))),INDEX(rMed2,3277),NA()))</f>
        <v>#N/A</v>
      </c>
      <c r="BY3279" t="e">
        <f>IF(OR(cMed=0,cMed2=0,3277&gt;nFilas),NA(),IF(AND(ISNUMBER(INDEX(rMed2,3277)),ISNUMBER(INDEX(rMed,3277))),INDEX(rMed,3277),NA()))</f>
        <v>#N/A</v>
      </c>
    </row>
    <row r="3280">
      <c r="BX3280" t="e">
        <f>IF(OR(cMed=0,cMed2=0,3278&gt;nFilas),NA(),IF(AND(ISNUMBER(INDEX(rMed2,3278)),ISNUMBER(INDEX(rMed,3278))),INDEX(rMed2,3278),NA()))</f>
        <v>#N/A</v>
      </c>
      <c r="BY3280" t="e">
        <f>IF(OR(cMed=0,cMed2=0,3278&gt;nFilas),NA(),IF(AND(ISNUMBER(INDEX(rMed2,3278)),ISNUMBER(INDEX(rMed,3278))),INDEX(rMed,3278),NA()))</f>
        <v>#N/A</v>
      </c>
    </row>
    <row r="3281">
      <c r="BX3281" t="e">
        <f>IF(OR(cMed=0,cMed2=0,3279&gt;nFilas),NA(),IF(AND(ISNUMBER(INDEX(rMed2,3279)),ISNUMBER(INDEX(rMed,3279))),INDEX(rMed2,3279),NA()))</f>
        <v>#N/A</v>
      </c>
      <c r="BY3281" t="e">
        <f>IF(OR(cMed=0,cMed2=0,3279&gt;nFilas),NA(),IF(AND(ISNUMBER(INDEX(rMed2,3279)),ISNUMBER(INDEX(rMed,3279))),INDEX(rMed,3279),NA()))</f>
        <v>#N/A</v>
      </c>
    </row>
    <row r="3282">
      <c r="BX3282" t="e">
        <f>IF(OR(cMed=0,cMed2=0,3280&gt;nFilas),NA(),IF(AND(ISNUMBER(INDEX(rMed2,3280)),ISNUMBER(INDEX(rMed,3280))),INDEX(rMed2,3280),NA()))</f>
        <v>#N/A</v>
      </c>
      <c r="BY3282" t="e">
        <f>IF(OR(cMed=0,cMed2=0,3280&gt;nFilas),NA(),IF(AND(ISNUMBER(INDEX(rMed2,3280)),ISNUMBER(INDEX(rMed,3280))),INDEX(rMed,3280),NA()))</f>
        <v>#N/A</v>
      </c>
    </row>
    <row r="3283">
      <c r="BX3283" t="e">
        <f>IF(OR(cMed=0,cMed2=0,3281&gt;nFilas),NA(),IF(AND(ISNUMBER(INDEX(rMed2,3281)),ISNUMBER(INDEX(rMed,3281))),INDEX(rMed2,3281),NA()))</f>
        <v>#N/A</v>
      </c>
      <c r="BY3283" t="e">
        <f>IF(OR(cMed=0,cMed2=0,3281&gt;nFilas),NA(),IF(AND(ISNUMBER(INDEX(rMed2,3281)),ISNUMBER(INDEX(rMed,3281))),INDEX(rMed,3281),NA()))</f>
        <v>#N/A</v>
      </c>
    </row>
    <row r="3284">
      <c r="BX3284" t="e">
        <f>IF(OR(cMed=0,cMed2=0,3282&gt;nFilas),NA(),IF(AND(ISNUMBER(INDEX(rMed2,3282)),ISNUMBER(INDEX(rMed,3282))),INDEX(rMed2,3282),NA()))</f>
        <v>#N/A</v>
      </c>
      <c r="BY3284" t="e">
        <f>IF(OR(cMed=0,cMed2=0,3282&gt;nFilas),NA(),IF(AND(ISNUMBER(INDEX(rMed2,3282)),ISNUMBER(INDEX(rMed,3282))),INDEX(rMed,3282),NA()))</f>
        <v>#N/A</v>
      </c>
    </row>
    <row r="3285">
      <c r="BX3285" t="e">
        <f>IF(OR(cMed=0,cMed2=0,3283&gt;nFilas),NA(),IF(AND(ISNUMBER(INDEX(rMed2,3283)),ISNUMBER(INDEX(rMed,3283))),INDEX(rMed2,3283),NA()))</f>
        <v>#N/A</v>
      </c>
      <c r="BY3285" t="e">
        <f>IF(OR(cMed=0,cMed2=0,3283&gt;nFilas),NA(),IF(AND(ISNUMBER(INDEX(rMed2,3283)),ISNUMBER(INDEX(rMed,3283))),INDEX(rMed,3283),NA()))</f>
        <v>#N/A</v>
      </c>
    </row>
    <row r="3286">
      <c r="BX3286" t="e">
        <f>IF(OR(cMed=0,cMed2=0,3284&gt;nFilas),NA(),IF(AND(ISNUMBER(INDEX(rMed2,3284)),ISNUMBER(INDEX(rMed,3284))),INDEX(rMed2,3284),NA()))</f>
        <v>#N/A</v>
      </c>
      <c r="BY3286" t="e">
        <f>IF(OR(cMed=0,cMed2=0,3284&gt;nFilas),NA(),IF(AND(ISNUMBER(INDEX(rMed2,3284)),ISNUMBER(INDEX(rMed,3284))),INDEX(rMed,3284),NA()))</f>
        <v>#N/A</v>
      </c>
    </row>
    <row r="3287">
      <c r="BX3287" t="e">
        <f>IF(OR(cMed=0,cMed2=0,3285&gt;nFilas),NA(),IF(AND(ISNUMBER(INDEX(rMed2,3285)),ISNUMBER(INDEX(rMed,3285))),INDEX(rMed2,3285),NA()))</f>
        <v>#N/A</v>
      </c>
      <c r="BY3287" t="e">
        <f>IF(OR(cMed=0,cMed2=0,3285&gt;nFilas),NA(),IF(AND(ISNUMBER(INDEX(rMed2,3285)),ISNUMBER(INDEX(rMed,3285))),INDEX(rMed,3285),NA()))</f>
        <v>#N/A</v>
      </c>
    </row>
    <row r="3288">
      <c r="BX3288" t="e">
        <f>IF(OR(cMed=0,cMed2=0,3286&gt;nFilas),NA(),IF(AND(ISNUMBER(INDEX(rMed2,3286)),ISNUMBER(INDEX(rMed,3286))),INDEX(rMed2,3286),NA()))</f>
        <v>#N/A</v>
      </c>
      <c r="BY3288" t="e">
        <f>IF(OR(cMed=0,cMed2=0,3286&gt;nFilas),NA(),IF(AND(ISNUMBER(INDEX(rMed2,3286)),ISNUMBER(INDEX(rMed,3286))),INDEX(rMed,3286),NA()))</f>
        <v>#N/A</v>
      </c>
    </row>
    <row r="3289">
      <c r="BX3289" t="e">
        <f>IF(OR(cMed=0,cMed2=0,3287&gt;nFilas),NA(),IF(AND(ISNUMBER(INDEX(rMed2,3287)),ISNUMBER(INDEX(rMed,3287))),INDEX(rMed2,3287),NA()))</f>
        <v>#N/A</v>
      </c>
      <c r="BY3289" t="e">
        <f>IF(OR(cMed=0,cMed2=0,3287&gt;nFilas),NA(),IF(AND(ISNUMBER(INDEX(rMed2,3287)),ISNUMBER(INDEX(rMed,3287))),INDEX(rMed,3287),NA()))</f>
        <v>#N/A</v>
      </c>
    </row>
    <row r="3290">
      <c r="BX3290" t="e">
        <f>IF(OR(cMed=0,cMed2=0,3288&gt;nFilas),NA(),IF(AND(ISNUMBER(INDEX(rMed2,3288)),ISNUMBER(INDEX(rMed,3288))),INDEX(rMed2,3288),NA()))</f>
        <v>#N/A</v>
      </c>
      <c r="BY3290" t="e">
        <f>IF(OR(cMed=0,cMed2=0,3288&gt;nFilas),NA(),IF(AND(ISNUMBER(INDEX(rMed2,3288)),ISNUMBER(INDEX(rMed,3288))),INDEX(rMed,3288),NA()))</f>
        <v>#N/A</v>
      </c>
    </row>
    <row r="3291">
      <c r="BX3291" t="e">
        <f>IF(OR(cMed=0,cMed2=0,3289&gt;nFilas),NA(),IF(AND(ISNUMBER(INDEX(rMed2,3289)),ISNUMBER(INDEX(rMed,3289))),INDEX(rMed2,3289),NA()))</f>
        <v>#N/A</v>
      </c>
      <c r="BY3291" t="e">
        <f>IF(OR(cMed=0,cMed2=0,3289&gt;nFilas),NA(),IF(AND(ISNUMBER(INDEX(rMed2,3289)),ISNUMBER(INDEX(rMed,3289))),INDEX(rMed,3289),NA()))</f>
        <v>#N/A</v>
      </c>
    </row>
    <row r="3292">
      <c r="BX3292" t="e">
        <f>IF(OR(cMed=0,cMed2=0,3290&gt;nFilas),NA(),IF(AND(ISNUMBER(INDEX(rMed2,3290)),ISNUMBER(INDEX(rMed,3290))),INDEX(rMed2,3290),NA()))</f>
        <v>#N/A</v>
      </c>
      <c r="BY3292" t="e">
        <f>IF(OR(cMed=0,cMed2=0,3290&gt;nFilas),NA(),IF(AND(ISNUMBER(INDEX(rMed2,3290)),ISNUMBER(INDEX(rMed,3290))),INDEX(rMed,3290),NA()))</f>
        <v>#N/A</v>
      </c>
    </row>
    <row r="3293">
      <c r="BX3293" t="e">
        <f>IF(OR(cMed=0,cMed2=0,3291&gt;nFilas),NA(),IF(AND(ISNUMBER(INDEX(rMed2,3291)),ISNUMBER(INDEX(rMed,3291))),INDEX(rMed2,3291),NA()))</f>
        <v>#N/A</v>
      </c>
      <c r="BY3293" t="e">
        <f>IF(OR(cMed=0,cMed2=0,3291&gt;nFilas),NA(),IF(AND(ISNUMBER(INDEX(rMed2,3291)),ISNUMBER(INDEX(rMed,3291))),INDEX(rMed,3291),NA()))</f>
        <v>#N/A</v>
      </c>
    </row>
    <row r="3294">
      <c r="BX3294" t="e">
        <f>IF(OR(cMed=0,cMed2=0,3292&gt;nFilas),NA(),IF(AND(ISNUMBER(INDEX(rMed2,3292)),ISNUMBER(INDEX(rMed,3292))),INDEX(rMed2,3292),NA()))</f>
        <v>#N/A</v>
      </c>
      <c r="BY3294" t="e">
        <f>IF(OR(cMed=0,cMed2=0,3292&gt;nFilas),NA(),IF(AND(ISNUMBER(INDEX(rMed2,3292)),ISNUMBER(INDEX(rMed,3292))),INDEX(rMed,3292),NA()))</f>
        <v>#N/A</v>
      </c>
    </row>
    <row r="3295">
      <c r="BX3295" t="e">
        <f>IF(OR(cMed=0,cMed2=0,3293&gt;nFilas),NA(),IF(AND(ISNUMBER(INDEX(rMed2,3293)),ISNUMBER(INDEX(rMed,3293))),INDEX(rMed2,3293),NA()))</f>
        <v>#N/A</v>
      </c>
      <c r="BY3295" t="e">
        <f>IF(OR(cMed=0,cMed2=0,3293&gt;nFilas),NA(),IF(AND(ISNUMBER(INDEX(rMed2,3293)),ISNUMBER(INDEX(rMed,3293))),INDEX(rMed,3293),NA()))</f>
        <v>#N/A</v>
      </c>
    </row>
    <row r="3296">
      <c r="BX3296" t="e">
        <f>IF(OR(cMed=0,cMed2=0,3294&gt;nFilas),NA(),IF(AND(ISNUMBER(INDEX(rMed2,3294)),ISNUMBER(INDEX(rMed,3294))),INDEX(rMed2,3294),NA()))</f>
        <v>#N/A</v>
      </c>
      <c r="BY3296" t="e">
        <f>IF(OR(cMed=0,cMed2=0,3294&gt;nFilas),NA(),IF(AND(ISNUMBER(INDEX(rMed2,3294)),ISNUMBER(INDEX(rMed,3294))),INDEX(rMed,3294),NA()))</f>
        <v>#N/A</v>
      </c>
    </row>
    <row r="3297">
      <c r="BX3297" t="e">
        <f>IF(OR(cMed=0,cMed2=0,3295&gt;nFilas),NA(),IF(AND(ISNUMBER(INDEX(rMed2,3295)),ISNUMBER(INDEX(rMed,3295))),INDEX(rMed2,3295),NA()))</f>
        <v>#N/A</v>
      </c>
      <c r="BY3297" t="e">
        <f>IF(OR(cMed=0,cMed2=0,3295&gt;nFilas),NA(),IF(AND(ISNUMBER(INDEX(rMed2,3295)),ISNUMBER(INDEX(rMed,3295))),INDEX(rMed,3295),NA()))</f>
        <v>#N/A</v>
      </c>
    </row>
    <row r="3298">
      <c r="BX3298" t="e">
        <f>IF(OR(cMed=0,cMed2=0,3296&gt;nFilas),NA(),IF(AND(ISNUMBER(INDEX(rMed2,3296)),ISNUMBER(INDEX(rMed,3296))),INDEX(rMed2,3296),NA()))</f>
        <v>#N/A</v>
      </c>
      <c r="BY3298" t="e">
        <f>IF(OR(cMed=0,cMed2=0,3296&gt;nFilas),NA(),IF(AND(ISNUMBER(INDEX(rMed2,3296)),ISNUMBER(INDEX(rMed,3296))),INDEX(rMed,3296),NA()))</f>
        <v>#N/A</v>
      </c>
    </row>
    <row r="3299">
      <c r="BX3299" t="e">
        <f>IF(OR(cMed=0,cMed2=0,3297&gt;nFilas),NA(),IF(AND(ISNUMBER(INDEX(rMed2,3297)),ISNUMBER(INDEX(rMed,3297))),INDEX(rMed2,3297),NA()))</f>
        <v>#N/A</v>
      </c>
      <c r="BY3299" t="e">
        <f>IF(OR(cMed=0,cMed2=0,3297&gt;nFilas),NA(),IF(AND(ISNUMBER(INDEX(rMed2,3297)),ISNUMBER(INDEX(rMed,3297))),INDEX(rMed,3297),NA()))</f>
        <v>#N/A</v>
      </c>
    </row>
    <row r="3300">
      <c r="BX3300" t="e">
        <f>IF(OR(cMed=0,cMed2=0,3298&gt;nFilas),NA(),IF(AND(ISNUMBER(INDEX(rMed2,3298)),ISNUMBER(INDEX(rMed,3298))),INDEX(rMed2,3298),NA()))</f>
        <v>#N/A</v>
      </c>
      <c r="BY3300" t="e">
        <f>IF(OR(cMed=0,cMed2=0,3298&gt;nFilas),NA(),IF(AND(ISNUMBER(INDEX(rMed2,3298)),ISNUMBER(INDEX(rMed,3298))),INDEX(rMed,3298),NA()))</f>
        <v>#N/A</v>
      </c>
    </row>
    <row r="3301">
      <c r="BX3301" t="e">
        <f>IF(OR(cMed=0,cMed2=0,3299&gt;nFilas),NA(),IF(AND(ISNUMBER(INDEX(rMed2,3299)),ISNUMBER(INDEX(rMed,3299))),INDEX(rMed2,3299),NA()))</f>
        <v>#N/A</v>
      </c>
      <c r="BY3301" t="e">
        <f>IF(OR(cMed=0,cMed2=0,3299&gt;nFilas),NA(),IF(AND(ISNUMBER(INDEX(rMed2,3299)),ISNUMBER(INDEX(rMed,3299))),INDEX(rMed,3299),NA()))</f>
        <v>#N/A</v>
      </c>
    </row>
    <row r="3302">
      <c r="BX3302" t="e">
        <f>IF(OR(cMed=0,cMed2=0,3300&gt;nFilas),NA(),IF(AND(ISNUMBER(INDEX(rMed2,3300)),ISNUMBER(INDEX(rMed,3300))),INDEX(rMed2,3300),NA()))</f>
        <v>#N/A</v>
      </c>
      <c r="BY3302" t="e">
        <f>IF(OR(cMed=0,cMed2=0,3300&gt;nFilas),NA(),IF(AND(ISNUMBER(INDEX(rMed2,3300)),ISNUMBER(INDEX(rMed,3300))),INDEX(rMed,3300),NA()))</f>
        <v>#N/A</v>
      </c>
    </row>
    <row r="3303">
      <c r="BX3303" t="e">
        <f>IF(OR(cMed=0,cMed2=0,3301&gt;nFilas),NA(),IF(AND(ISNUMBER(INDEX(rMed2,3301)),ISNUMBER(INDEX(rMed,3301))),INDEX(rMed2,3301),NA()))</f>
        <v>#N/A</v>
      </c>
      <c r="BY3303" t="e">
        <f>IF(OR(cMed=0,cMed2=0,3301&gt;nFilas),NA(),IF(AND(ISNUMBER(INDEX(rMed2,3301)),ISNUMBER(INDEX(rMed,3301))),INDEX(rMed,3301),NA()))</f>
        <v>#N/A</v>
      </c>
    </row>
    <row r="3304">
      <c r="BX3304" t="e">
        <f>IF(OR(cMed=0,cMed2=0,3302&gt;nFilas),NA(),IF(AND(ISNUMBER(INDEX(rMed2,3302)),ISNUMBER(INDEX(rMed,3302))),INDEX(rMed2,3302),NA()))</f>
        <v>#N/A</v>
      </c>
      <c r="BY3304" t="e">
        <f>IF(OR(cMed=0,cMed2=0,3302&gt;nFilas),NA(),IF(AND(ISNUMBER(INDEX(rMed2,3302)),ISNUMBER(INDEX(rMed,3302))),INDEX(rMed,3302),NA()))</f>
        <v>#N/A</v>
      </c>
    </row>
    <row r="3305">
      <c r="BX3305" t="e">
        <f>IF(OR(cMed=0,cMed2=0,3303&gt;nFilas),NA(),IF(AND(ISNUMBER(INDEX(rMed2,3303)),ISNUMBER(INDEX(rMed,3303))),INDEX(rMed2,3303),NA()))</f>
        <v>#N/A</v>
      </c>
      <c r="BY3305" t="e">
        <f>IF(OR(cMed=0,cMed2=0,3303&gt;nFilas),NA(),IF(AND(ISNUMBER(INDEX(rMed2,3303)),ISNUMBER(INDEX(rMed,3303))),INDEX(rMed,3303),NA()))</f>
        <v>#N/A</v>
      </c>
    </row>
    <row r="3306">
      <c r="BX3306" t="e">
        <f>IF(OR(cMed=0,cMed2=0,3304&gt;nFilas),NA(),IF(AND(ISNUMBER(INDEX(rMed2,3304)),ISNUMBER(INDEX(rMed,3304))),INDEX(rMed2,3304),NA()))</f>
        <v>#N/A</v>
      </c>
      <c r="BY3306" t="e">
        <f>IF(OR(cMed=0,cMed2=0,3304&gt;nFilas),NA(),IF(AND(ISNUMBER(INDEX(rMed2,3304)),ISNUMBER(INDEX(rMed,3304))),INDEX(rMed,3304),NA()))</f>
        <v>#N/A</v>
      </c>
    </row>
    <row r="3307">
      <c r="BX3307" t="e">
        <f>IF(OR(cMed=0,cMed2=0,3305&gt;nFilas),NA(),IF(AND(ISNUMBER(INDEX(rMed2,3305)),ISNUMBER(INDEX(rMed,3305))),INDEX(rMed2,3305),NA()))</f>
        <v>#N/A</v>
      </c>
      <c r="BY3307" t="e">
        <f>IF(OR(cMed=0,cMed2=0,3305&gt;nFilas),NA(),IF(AND(ISNUMBER(INDEX(rMed2,3305)),ISNUMBER(INDEX(rMed,3305))),INDEX(rMed,3305),NA()))</f>
        <v>#N/A</v>
      </c>
    </row>
    <row r="3308">
      <c r="BX3308" t="e">
        <f>IF(OR(cMed=0,cMed2=0,3306&gt;nFilas),NA(),IF(AND(ISNUMBER(INDEX(rMed2,3306)),ISNUMBER(INDEX(rMed,3306))),INDEX(rMed2,3306),NA()))</f>
        <v>#N/A</v>
      </c>
      <c r="BY3308" t="e">
        <f>IF(OR(cMed=0,cMed2=0,3306&gt;nFilas),NA(),IF(AND(ISNUMBER(INDEX(rMed2,3306)),ISNUMBER(INDEX(rMed,3306))),INDEX(rMed,3306),NA()))</f>
        <v>#N/A</v>
      </c>
    </row>
    <row r="3309">
      <c r="BX3309" t="e">
        <f>IF(OR(cMed=0,cMed2=0,3307&gt;nFilas),NA(),IF(AND(ISNUMBER(INDEX(rMed2,3307)),ISNUMBER(INDEX(rMed,3307))),INDEX(rMed2,3307),NA()))</f>
        <v>#N/A</v>
      </c>
      <c r="BY3309" t="e">
        <f>IF(OR(cMed=0,cMed2=0,3307&gt;nFilas),NA(),IF(AND(ISNUMBER(INDEX(rMed2,3307)),ISNUMBER(INDEX(rMed,3307))),INDEX(rMed,3307),NA()))</f>
        <v>#N/A</v>
      </c>
    </row>
    <row r="3310">
      <c r="BX3310" t="e">
        <f>IF(OR(cMed=0,cMed2=0,3308&gt;nFilas),NA(),IF(AND(ISNUMBER(INDEX(rMed2,3308)),ISNUMBER(INDEX(rMed,3308))),INDEX(rMed2,3308),NA()))</f>
        <v>#N/A</v>
      </c>
      <c r="BY3310" t="e">
        <f>IF(OR(cMed=0,cMed2=0,3308&gt;nFilas),NA(),IF(AND(ISNUMBER(INDEX(rMed2,3308)),ISNUMBER(INDEX(rMed,3308))),INDEX(rMed,3308),NA()))</f>
        <v>#N/A</v>
      </c>
    </row>
    <row r="3311">
      <c r="BX3311" t="e">
        <f>IF(OR(cMed=0,cMed2=0,3309&gt;nFilas),NA(),IF(AND(ISNUMBER(INDEX(rMed2,3309)),ISNUMBER(INDEX(rMed,3309))),INDEX(rMed2,3309),NA()))</f>
        <v>#N/A</v>
      </c>
      <c r="BY3311" t="e">
        <f>IF(OR(cMed=0,cMed2=0,3309&gt;nFilas),NA(),IF(AND(ISNUMBER(INDEX(rMed2,3309)),ISNUMBER(INDEX(rMed,3309))),INDEX(rMed,3309),NA()))</f>
        <v>#N/A</v>
      </c>
    </row>
    <row r="3312">
      <c r="BX3312" t="e">
        <f>IF(OR(cMed=0,cMed2=0,3310&gt;nFilas),NA(),IF(AND(ISNUMBER(INDEX(rMed2,3310)),ISNUMBER(INDEX(rMed,3310))),INDEX(rMed2,3310),NA()))</f>
        <v>#N/A</v>
      </c>
      <c r="BY3312" t="e">
        <f>IF(OR(cMed=0,cMed2=0,3310&gt;nFilas),NA(),IF(AND(ISNUMBER(INDEX(rMed2,3310)),ISNUMBER(INDEX(rMed,3310))),INDEX(rMed,3310),NA()))</f>
        <v>#N/A</v>
      </c>
    </row>
    <row r="3313">
      <c r="BX3313" t="e">
        <f>IF(OR(cMed=0,cMed2=0,3311&gt;nFilas),NA(),IF(AND(ISNUMBER(INDEX(rMed2,3311)),ISNUMBER(INDEX(rMed,3311))),INDEX(rMed2,3311),NA()))</f>
        <v>#N/A</v>
      </c>
      <c r="BY3313" t="e">
        <f>IF(OR(cMed=0,cMed2=0,3311&gt;nFilas),NA(),IF(AND(ISNUMBER(INDEX(rMed2,3311)),ISNUMBER(INDEX(rMed,3311))),INDEX(rMed,3311),NA()))</f>
        <v>#N/A</v>
      </c>
    </row>
    <row r="3314">
      <c r="BX3314" t="e">
        <f>IF(OR(cMed=0,cMed2=0,3312&gt;nFilas),NA(),IF(AND(ISNUMBER(INDEX(rMed2,3312)),ISNUMBER(INDEX(rMed,3312))),INDEX(rMed2,3312),NA()))</f>
        <v>#N/A</v>
      </c>
      <c r="BY3314" t="e">
        <f>IF(OR(cMed=0,cMed2=0,3312&gt;nFilas),NA(),IF(AND(ISNUMBER(INDEX(rMed2,3312)),ISNUMBER(INDEX(rMed,3312))),INDEX(rMed,3312),NA()))</f>
        <v>#N/A</v>
      </c>
    </row>
    <row r="3315">
      <c r="BX3315" t="e">
        <f>IF(OR(cMed=0,cMed2=0,3313&gt;nFilas),NA(),IF(AND(ISNUMBER(INDEX(rMed2,3313)),ISNUMBER(INDEX(rMed,3313))),INDEX(rMed2,3313),NA()))</f>
        <v>#N/A</v>
      </c>
      <c r="BY3315" t="e">
        <f>IF(OR(cMed=0,cMed2=0,3313&gt;nFilas),NA(),IF(AND(ISNUMBER(INDEX(rMed2,3313)),ISNUMBER(INDEX(rMed,3313))),INDEX(rMed,3313),NA()))</f>
        <v>#N/A</v>
      </c>
    </row>
    <row r="3316">
      <c r="BX3316" t="e">
        <f>IF(OR(cMed=0,cMed2=0,3314&gt;nFilas),NA(),IF(AND(ISNUMBER(INDEX(rMed2,3314)),ISNUMBER(INDEX(rMed,3314))),INDEX(rMed2,3314),NA()))</f>
        <v>#N/A</v>
      </c>
      <c r="BY3316" t="e">
        <f>IF(OR(cMed=0,cMed2=0,3314&gt;nFilas),NA(),IF(AND(ISNUMBER(INDEX(rMed2,3314)),ISNUMBER(INDEX(rMed,3314))),INDEX(rMed,3314),NA()))</f>
        <v>#N/A</v>
      </c>
    </row>
    <row r="3317">
      <c r="BX3317" t="e">
        <f>IF(OR(cMed=0,cMed2=0,3315&gt;nFilas),NA(),IF(AND(ISNUMBER(INDEX(rMed2,3315)),ISNUMBER(INDEX(rMed,3315))),INDEX(rMed2,3315),NA()))</f>
        <v>#N/A</v>
      </c>
      <c r="BY3317" t="e">
        <f>IF(OR(cMed=0,cMed2=0,3315&gt;nFilas),NA(),IF(AND(ISNUMBER(INDEX(rMed2,3315)),ISNUMBER(INDEX(rMed,3315))),INDEX(rMed,3315),NA()))</f>
        <v>#N/A</v>
      </c>
    </row>
    <row r="3318">
      <c r="BX3318" t="e">
        <f>IF(OR(cMed=0,cMed2=0,3316&gt;nFilas),NA(),IF(AND(ISNUMBER(INDEX(rMed2,3316)),ISNUMBER(INDEX(rMed,3316))),INDEX(rMed2,3316),NA()))</f>
        <v>#N/A</v>
      </c>
      <c r="BY3318" t="e">
        <f>IF(OR(cMed=0,cMed2=0,3316&gt;nFilas),NA(),IF(AND(ISNUMBER(INDEX(rMed2,3316)),ISNUMBER(INDEX(rMed,3316))),INDEX(rMed,3316),NA()))</f>
        <v>#N/A</v>
      </c>
    </row>
    <row r="3319">
      <c r="BX3319" t="e">
        <f>IF(OR(cMed=0,cMed2=0,3317&gt;nFilas),NA(),IF(AND(ISNUMBER(INDEX(rMed2,3317)),ISNUMBER(INDEX(rMed,3317))),INDEX(rMed2,3317),NA()))</f>
        <v>#N/A</v>
      </c>
      <c r="BY3319" t="e">
        <f>IF(OR(cMed=0,cMed2=0,3317&gt;nFilas),NA(),IF(AND(ISNUMBER(INDEX(rMed2,3317)),ISNUMBER(INDEX(rMed,3317))),INDEX(rMed,3317),NA()))</f>
        <v>#N/A</v>
      </c>
    </row>
    <row r="3320">
      <c r="BX3320" t="e">
        <f>IF(OR(cMed=0,cMed2=0,3318&gt;nFilas),NA(),IF(AND(ISNUMBER(INDEX(rMed2,3318)),ISNUMBER(INDEX(rMed,3318))),INDEX(rMed2,3318),NA()))</f>
        <v>#N/A</v>
      </c>
      <c r="BY3320" t="e">
        <f>IF(OR(cMed=0,cMed2=0,3318&gt;nFilas),NA(),IF(AND(ISNUMBER(INDEX(rMed2,3318)),ISNUMBER(INDEX(rMed,3318))),INDEX(rMed,3318),NA()))</f>
        <v>#N/A</v>
      </c>
    </row>
    <row r="3321">
      <c r="BX3321" t="e">
        <f>IF(OR(cMed=0,cMed2=0,3319&gt;nFilas),NA(),IF(AND(ISNUMBER(INDEX(rMed2,3319)),ISNUMBER(INDEX(rMed,3319))),INDEX(rMed2,3319),NA()))</f>
        <v>#N/A</v>
      </c>
      <c r="BY3321" t="e">
        <f>IF(OR(cMed=0,cMed2=0,3319&gt;nFilas),NA(),IF(AND(ISNUMBER(INDEX(rMed2,3319)),ISNUMBER(INDEX(rMed,3319))),INDEX(rMed,3319),NA()))</f>
        <v>#N/A</v>
      </c>
    </row>
    <row r="3322">
      <c r="BX3322" t="e">
        <f>IF(OR(cMed=0,cMed2=0,3320&gt;nFilas),NA(),IF(AND(ISNUMBER(INDEX(rMed2,3320)),ISNUMBER(INDEX(rMed,3320))),INDEX(rMed2,3320),NA()))</f>
        <v>#N/A</v>
      </c>
      <c r="BY3322" t="e">
        <f>IF(OR(cMed=0,cMed2=0,3320&gt;nFilas),NA(),IF(AND(ISNUMBER(INDEX(rMed2,3320)),ISNUMBER(INDEX(rMed,3320))),INDEX(rMed,3320),NA()))</f>
        <v>#N/A</v>
      </c>
    </row>
    <row r="3323">
      <c r="BX3323" t="e">
        <f>IF(OR(cMed=0,cMed2=0,3321&gt;nFilas),NA(),IF(AND(ISNUMBER(INDEX(rMed2,3321)),ISNUMBER(INDEX(rMed,3321))),INDEX(rMed2,3321),NA()))</f>
        <v>#N/A</v>
      </c>
      <c r="BY3323" t="e">
        <f>IF(OR(cMed=0,cMed2=0,3321&gt;nFilas),NA(),IF(AND(ISNUMBER(INDEX(rMed2,3321)),ISNUMBER(INDEX(rMed,3321))),INDEX(rMed,3321),NA()))</f>
        <v>#N/A</v>
      </c>
    </row>
    <row r="3324">
      <c r="BX3324" t="e">
        <f>IF(OR(cMed=0,cMed2=0,3322&gt;nFilas),NA(),IF(AND(ISNUMBER(INDEX(rMed2,3322)),ISNUMBER(INDEX(rMed,3322))),INDEX(rMed2,3322),NA()))</f>
        <v>#N/A</v>
      </c>
      <c r="BY3324" t="e">
        <f>IF(OR(cMed=0,cMed2=0,3322&gt;nFilas),NA(),IF(AND(ISNUMBER(INDEX(rMed2,3322)),ISNUMBER(INDEX(rMed,3322))),INDEX(rMed,3322),NA()))</f>
        <v>#N/A</v>
      </c>
    </row>
    <row r="3325">
      <c r="BX3325" t="e">
        <f>IF(OR(cMed=0,cMed2=0,3323&gt;nFilas),NA(),IF(AND(ISNUMBER(INDEX(rMed2,3323)),ISNUMBER(INDEX(rMed,3323))),INDEX(rMed2,3323),NA()))</f>
        <v>#N/A</v>
      </c>
      <c r="BY3325" t="e">
        <f>IF(OR(cMed=0,cMed2=0,3323&gt;nFilas),NA(),IF(AND(ISNUMBER(INDEX(rMed2,3323)),ISNUMBER(INDEX(rMed,3323))),INDEX(rMed,3323),NA()))</f>
        <v>#N/A</v>
      </c>
    </row>
    <row r="3326">
      <c r="BX3326" t="e">
        <f>IF(OR(cMed=0,cMed2=0,3324&gt;nFilas),NA(),IF(AND(ISNUMBER(INDEX(rMed2,3324)),ISNUMBER(INDEX(rMed,3324))),INDEX(rMed2,3324),NA()))</f>
        <v>#N/A</v>
      </c>
      <c r="BY3326" t="e">
        <f>IF(OR(cMed=0,cMed2=0,3324&gt;nFilas),NA(),IF(AND(ISNUMBER(INDEX(rMed2,3324)),ISNUMBER(INDEX(rMed,3324))),INDEX(rMed,3324),NA()))</f>
        <v>#N/A</v>
      </c>
    </row>
    <row r="3327">
      <c r="BX3327" t="e">
        <f>IF(OR(cMed=0,cMed2=0,3325&gt;nFilas),NA(),IF(AND(ISNUMBER(INDEX(rMed2,3325)),ISNUMBER(INDEX(rMed,3325))),INDEX(rMed2,3325),NA()))</f>
        <v>#N/A</v>
      </c>
      <c r="BY3327" t="e">
        <f>IF(OR(cMed=0,cMed2=0,3325&gt;nFilas),NA(),IF(AND(ISNUMBER(INDEX(rMed2,3325)),ISNUMBER(INDEX(rMed,3325))),INDEX(rMed,3325),NA()))</f>
        <v>#N/A</v>
      </c>
    </row>
    <row r="3328">
      <c r="BX3328" t="e">
        <f>IF(OR(cMed=0,cMed2=0,3326&gt;nFilas),NA(),IF(AND(ISNUMBER(INDEX(rMed2,3326)),ISNUMBER(INDEX(rMed,3326))),INDEX(rMed2,3326),NA()))</f>
        <v>#N/A</v>
      </c>
      <c r="BY3328" t="e">
        <f>IF(OR(cMed=0,cMed2=0,3326&gt;nFilas),NA(),IF(AND(ISNUMBER(INDEX(rMed2,3326)),ISNUMBER(INDEX(rMed,3326))),INDEX(rMed,3326),NA()))</f>
        <v>#N/A</v>
      </c>
    </row>
    <row r="3329">
      <c r="BX3329" t="e">
        <f>IF(OR(cMed=0,cMed2=0,3327&gt;nFilas),NA(),IF(AND(ISNUMBER(INDEX(rMed2,3327)),ISNUMBER(INDEX(rMed,3327))),INDEX(rMed2,3327),NA()))</f>
        <v>#N/A</v>
      </c>
      <c r="BY3329" t="e">
        <f>IF(OR(cMed=0,cMed2=0,3327&gt;nFilas),NA(),IF(AND(ISNUMBER(INDEX(rMed2,3327)),ISNUMBER(INDEX(rMed,3327))),INDEX(rMed,3327),NA()))</f>
        <v>#N/A</v>
      </c>
    </row>
    <row r="3330">
      <c r="BX3330" t="e">
        <f>IF(OR(cMed=0,cMed2=0,3328&gt;nFilas),NA(),IF(AND(ISNUMBER(INDEX(rMed2,3328)),ISNUMBER(INDEX(rMed,3328))),INDEX(rMed2,3328),NA()))</f>
        <v>#N/A</v>
      </c>
      <c r="BY3330" t="e">
        <f>IF(OR(cMed=0,cMed2=0,3328&gt;nFilas),NA(),IF(AND(ISNUMBER(INDEX(rMed2,3328)),ISNUMBER(INDEX(rMed,3328))),INDEX(rMed,3328),NA()))</f>
        <v>#N/A</v>
      </c>
    </row>
    <row r="3331">
      <c r="BX3331" t="e">
        <f>IF(OR(cMed=0,cMed2=0,3329&gt;nFilas),NA(),IF(AND(ISNUMBER(INDEX(rMed2,3329)),ISNUMBER(INDEX(rMed,3329))),INDEX(rMed2,3329),NA()))</f>
        <v>#N/A</v>
      </c>
      <c r="BY3331" t="e">
        <f>IF(OR(cMed=0,cMed2=0,3329&gt;nFilas),NA(),IF(AND(ISNUMBER(INDEX(rMed2,3329)),ISNUMBER(INDEX(rMed,3329))),INDEX(rMed,3329),NA()))</f>
        <v>#N/A</v>
      </c>
    </row>
    <row r="3332">
      <c r="BX3332" t="e">
        <f>IF(OR(cMed=0,cMed2=0,3330&gt;nFilas),NA(),IF(AND(ISNUMBER(INDEX(rMed2,3330)),ISNUMBER(INDEX(rMed,3330))),INDEX(rMed2,3330),NA()))</f>
        <v>#N/A</v>
      </c>
      <c r="BY3332" t="e">
        <f>IF(OR(cMed=0,cMed2=0,3330&gt;nFilas),NA(),IF(AND(ISNUMBER(INDEX(rMed2,3330)),ISNUMBER(INDEX(rMed,3330))),INDEX(rMed,3330),NA()))</f>
        <v>#N/A</v>
      </c>
    </row>
    <row r="3333">
      <c r="BX3333" t="e">
        <f>IF(OR(cMed=0,cMed2=0,3331&gt;nFilas),NA(),IF(AND(ISNUMBER(INDEX(rMed2,3331)),ISNUMBER(INDEX(rMed,3331))),INDEX(rMed2,3331),NA()))</f>
        <v>#N/A</v>
      </c>
      <c r="BY3333" t="e">
        <f>IF(OR(cMed=0,cMed2=0,3331&gt;nFilas),NA(),IF(AND(ISNUMBER(INDEX(rMed2,3331)),ISNUMBER(INDEX(rMed,3331))),INDEX(rMed,3331),NA()))</f>
        <v>#N/A</v>
      </c>
    </row>
    <row r="3334">
      <c r="BX3334" t="e">
        <f>IF(OR(cMed=0,cMed2=0,3332&gt;nFilas),NA(),IF(AND(ISNUMBER(INDEX(rMed2,3332)),ISNUMBER(INDEX(rMed,3332))),INDEX(rMed2,3332),NA()))</f>
        <v>#N/A</v>
      </c>
      <c r="BY3334" t="e">
        <f>IF(OR(cMed=0,cMed2=0,3332&gt;nFilas),NA(),IF(AND(ISNUMBER(INDEX(rMed2,3332)),ISNUMBER(INDEX(rMed,3332))),INDEX(rMed,3332),NA()))</f>
        <v>#N/A</v>
      </c>
    </row>
    <row r="3335">
      <c r="BX3335" t="e">
        <f>IF(OR(cMed=0,cMed2=0,3333&gt;nFilas),NA(),IF(AND(ISNUMBER(INDEX(rMed2,3333)),ISNUMBER(INDEX(rMed,3333))),INDEX(rMed2,3333),NA()))</f>
        <v>#N/A</v>
      </c>
      <c r="BY3335" t="e">
        <f>IF(OR(cMed=0,cMed2=0,3333&gt;nFilas),NA(),IF(AND(ISNUMBER(INDEX(rMed2,3333)),ISNUMBER(INDEX(rMed,3333))),INDEX(rMed,3333),NA()))</f>
        <v>#N/A</v>
      </c>
    </row>
    <row r="3336">
      <c r="BX3336" t="e">
        <f>IF(OR(cMed=0,cMed2=0,3334&gt;nFilas),NA(),IF(AND(ISNUMBER(INDEX(rMed2,3334)),ISNUMBER(INDEX(rMed,3334))),INDEX(rMed2,3334),NA()))</f>
        <v>#N/A</v>
      </c>
      <c r="BY3336" t="e">
        <f>IF(OR(cMed=0,cMed2=0,3334&gt;nFilas),NA(),IF(AND(ISNUMBER(INDEX(rMed2,3334)),ISNUMBER(INDEX(rMed,3334))),INDEX(rMed,3334),NA()))</f>
        <v>#N/A</v>
      </c>
    </row>
    <row r="3337">
      <c r="BX3337" t="e">
        <f>IF(OR(cMed=0,cMed2=0,3335&gt;nFilas),NA(),IF(AND(ISNUMBER(INDEX(rMed2,3335)),ISNUMBER(INDEX(rMed,3335))),INDEX(rMed2,3335),NA()))</f>
        <v>#N/A</v>
      </c>
      <c r="BY3337" t="e">
        <f>IF(OR(cMed=0,cMed2=0,3335&gt;nFilas),NA(),IF(AND(ISNUMBER(INDEX(rMed2,3335)),ISNUMBER(INDEX(rMed,3335))),INDEX(rMed,3335),NA()))</f>
        <v>#N/A</v>
      </c>
    </row>
    <row r="3338">
      <c r="BX3338" t="e">
        <f>IF(OR(cMed=0,cMed2=0,3336&gt;nFilas),NA(),IF(AND(ISNUMBER(INDEX(rMed2,3336)),ISNUMBER(INDEX(rMed,3336))),INDEX(rMed2,3336),NA()))</f>
        <v>#N/A</v>
      </c>
      <c r="BY3338" t="e">
        <f>IF(OR(cMed=0,cMed2=0,3336&gt;nFilas),NA(),IF(AND(ISNUMBER(INDEX(rMed2,3336)),ISNUMBER(INDEX(rMed,3336))),INDEX(rMed,3336),NA()))</f>
        <v>#N/A</v>
      </c>
    </row>
    <row r="3339">
      <c r="BX3339" t="e">
        <f>IF(OR(cMed=0,cMed2=0,3337&gt;nFilas),NA(),IF(AND(ISNUMBER(INDEX(rMed2,3337)),ISNUMBER(INDEX(rMed,3337))),INDEX(rMed2,3337),NA()))</f>
        <v>#N/A</v>
      </c>
      <c r="BY3339" t="e">
        <f>IF(OR(cMed=0,cMed2=0,3337&gt;nFilas),NA(),IF(AND(ISNUMBER(INDEX(rMed2,3337)),ISNUMBER(INDEX(rMed,3337))),INDEX(rMed,3337),NA()))</f>
        <v>#N/A</v>
      </c>
    </row>
    <row r="3340">
      <c r="BX3340" t="e">
        <f>IF(OR(cMed=0,cMed2=0,3338&gt;nFilas),NA(),IF(AND(ISNUMBER(INDEX(rMed2,3338)),ISNUMBER(INDEX(rMed,3338))),INDEX(rMed2,3338),NA()))</f>
        <v>#N/A</v>
      </c>
      <c r="BY3340" t="e">
        <f>IF(OR(cMed=0,cMed2=0,3338&gt;nFilas),NA(),IF(AND(ISNUMBER(INDEX(rMed2,3338)),ISNUMBER(INDEX(rMed,3338))),INDEX(rMed,3338),NA()))</f>
        <v>#N/A</v>
      </c>
    </row>
    <row r="3341">
      <c r="BX3341" t="e">
        <f>IF(OR(cMed=0,cMed2=0,3339&gt;nFilas),NA(),IF(AND(ISNUMBER(INDEX(rMed2,3339)),ISNUMBER(INDEX(rMed,3339))),INDEX(rMed2,3339),NA()))</f>
        <v>#N/A</v>
      </c>
      <c r="BY3341" t="e">
        <f>IF(OR(cMed=0,cMed2=0,3339&gt;nFilas),NA(),IF(AND(ISNUMBER(INDEX(rMed2,3339)),ISNUMBER(INDEX(rMed,3339))),INDEX(rMed,3339),NA()))</f>
        <v>#N/A</v>
      </c>
    </row>
    <row r="3342">
      <c r="BX3342" t="e">
        <f>IF(OR(cMed=0,cMed2=0,3340&gt;nFilas),NA(),IF(AND(ISNUMBER(INDEX(rMed2,3340)),ISNUMBER(INDEX(rMed,3340))),INDEX(rMed2,3340),NA()))</f>
        <v>#N/A</v>
      </c>
      <c r="BY3342" t="e">
        <f>IF(OR(cMed=0,cMed2=0,3340&gt;nFilas),NA(),IF(AND(ISNUMBER(INDEX(rMed2,3340)),ISNUMBER(INDEX(rMed,3340))),INDEX(rMed,3340),NA()))</f>
        <v>#N/A</v>
      </c>
    </row>
    <row r="3343">
      <c r="BX3343" t="e">
        <f>IF(OR(cMed=0,cMed2=0,3341&gt;nFilas),NA(),IF(AND(ISNUMBER(INDEX(rMed2,3341)),ISNUMBER(INDEX(rMed,3341))),INDEX(rMed2,3341),NA()))</f>
        <v>#N/A</v>
      </c>
      <c r="BY3343" t="e">
        <f>IF(OR(cMed=0,cMed2=0,3341&gt;nFilas),NA(),IF(AND(ISNUMBER(INDEX(rMed2,3341)),ISNUMBER(INDEX(rMed,3341))),INDEX(rMed,3341),NA()))</f>
        <v>#N/A</v>
      </c>
    </row>
    <row r="3344">
      <c r="BX3344" t="e">
        <f>IF(OR(cMed=0,cMed2=0,3342&gt;nFilas),NA(),IF(AND(ISNUMBER(INDEX(rMed2,3342)),ISNUMBER(INDEX(rMed,3342))),INDEX(rMed2,3342),NA()))</f>
        <v>#N/A</v>
      </c>
      <c r="BY3344" t="e">
        <f>IF(OR(cMed=0,cMed2=0,3342&gt;nFilas),NA(),IF(AND(ISNUMBER(INDEX(rMed2,3342)),ISNUMBER(INDEX(rMed,3342))),INDEX(rMed,3342),NA()))</f>
        <v>#N/A</v>
      </c>
    </row>
    <row r="3345">
      <c r="BX3345" t="e">
        <f>IF(OR(cMed=0,cMed2=0,3343&gt;nFilas),NA(),IF(AND(ISNUMBER(INDEX(rMed2,3343)),ISNUMBER(INDEX(rMed,3343))),INDEX(rMed2,3343),NA()))</f>
        <v>#N/A</v>
      </c>
      <c r="BY3345" t="e">
        <f>IF(OR(cMed=0,cMed2=0,3343&gt;nFilas),NA(),IF(AND(ISNUMBER(INDEX(rMed2,3343)),ISNUMBER(INDEX(rMed,3343))),INDEX(rMed,3343),NA()))</f>
        <v>#N/A</v>
      </c>
    </row>
    <row r="3346">
      <c r="BX3346" t="e">
        <f>IF(OR(cMed=0,cMed2=0,3344&gt;nFilas),NA(),IF(AND(ISNUMBER(INDEX(rMed2,3344)),ISNUMBER(INDEX(rMed,3344))),INDEX(rMed2,3344),NA()))</f>
        <v>#N/A</v>
      </c>
      <c r="BY3346" t="e">
        <f>IF(OR(cMed=0,cMed2=0,3344&gt;nFilas),NA(),IF(AND(ISNUMBER(INDEX(rMed2,3344)),ISNUMBER(INDEX(rMed,3344))),INDEX(rMed,3344),NA()))</f>
        <v>#N/A</v>
      </c>
    </row>
    <row r="3347">
      <c r="BX3347" t="e">
        <f>IF(OR(cMed=0,cMed2=0,3345&gt;nFilas),NA(),IF(AND(ISNUMBER(INDEX(rMed2,3345)),ISNUMBER(INDEX(rMed,3345))),INDEX(rMed2,3345),NA()))</f>
        <v>#N/A</v>
      </c>
      <c r="BY3347" t="e">
        <f>IF(OR(cMed=0,cMed2=0,3345&gt;nFilas),NA(),IF(AND(ISNUMBER(INDEX(rMed2,3345)),ISNUMBER(INDEX(rMed,3345))),INDEX(rMed,3345),NA()))</f>
        <v>#N/A</v>
      </c>
    </row>
    <row r="3348">
      <c r="BX3348" t="e">
        <f>IF(OR(cMed=0,cMed2=0,3346&gt;nFilas),NA(),IF(AND(ISNUMBER(INDEX(rMed2,3346)),ISNUMBER(INDEX(rMed,3346))),INDEX(rMed2,3346),NA()))</f>
        <v>#N/A</v>
      </c>
      <c r="BY3348" t="e">
        <f>IF(OR(cMed=0,cMed2=0,3346&gt;nFilas),NA(),IF(AND(ISNUMBER(INDEX(rMed2,3346)),ISNUMBER(INDEX(rMed,3346))),INDEX(rMed,3346),NA()))</f>
        <v>#N/A</v>
      </c>
    </row>
    <row r="3349">
      <c r="BX3349" t="e">
        <f>IF(OR(cMed=0,cMed2=0,3347&gt;nFilas),NA(),IF(AND(ISNUMBER(INDEX(rMed2,3347)),ISNUMBER(INDEX(rMed,3347))),INDEX(rMed2,3347),NA()))</f>
        <v>#N/A</v>
      </c>
      <c r="BY3349" t="e">
        <f>IF(OR(cMed=0,cMed2=0,3347&gt;nFilas),NA(),IF(AND(ISNUMBER(INDEX(rMed2,3347)),ISNUMBER(INDEX(rMed,3347))),INDEX(rMed,3347),NA()))</f>
        <v>#N/A</v>
      </c>
    </row>
    <row r="3350">
      <c r="BX3350" t="e">
        <f>IF(OR(cMed=0,cMed2=0,3348&gt;nFilas),NA(),IF(AND(ISNUMBER(INDEX(rMed2,3348)),ISNUMBER(INDEX(rMed,3348))),INDEX(rMed2,3348),NA()))</f>
        <v>#N/A</v>
      </c>
      <c r="BY3350" t="e">
        <f>IF(OR(cMed=0,cMed2=0,3348&gt;nFilas),NA(),IF(AND(ISNUMBER(INDEX(rMed2,3348)),ISNUMBER(INDEX(rMed,3348))),INDEX(rMed,3348),NA()))</f>
        <v>#N/A</v>
      </c>
    </row>
    <row r="3351">
      <c r="BX3351" t="e">
        <f>IF(OR(cMed=0,cMed2=0,3349&gt;nFilas),NA(),IF(AND(ISNUMBER(INDEX(rMed2,3349)),ISNUMBER(INDEX(rMed,3349))),INDEX(rMed2,3349),NA()))</f>
        <v>#N/A</v>
      </c>
      <c r="BY3351" t="e">
        <f>IF(OR(cMed=0,cMed2=0,3349&gt;nFilas),NA(),IF(AND(ISNUMBER(INDEX(rMed2,3349)),ISNUMBER(INDEX(rMed,3349))),INDEX(rMed,3349),NA()))</f>
        <v>#N/A</v>
      </c>
    </row>
    <row r="3352">
      <c r="BX3352" t="e">
        <f>IF(OR(cMed=0,cMed2=0,3350&gt;nFilas),NA(),IF(AND(ISNUMBER(INDEX(rMed2,3350)),ISNUMBER(INDEX(rMed,3350))),INDEX(rMed2,3350),NA()))</f>
        <v>#N/A</v>
      </c>
      <c r="BY3352" t="e">
        <f>IF(OR(cMed=0,cMed2=0,3350&gt;nFilas),NA(),IF(AND(ISNUMBER(INDEX(rMed2,3350)),ISNUMBER(INDEX(rMed,3350))),INDEX(rMed,3350),NA()))</f>
        <v>#N/A</v>
      </c>
    </row>
    <row r="3353">
      <c r="BX3353" t="e">
        <f>IF(OR(cMed=0,cMed2=0,3351&gt;nFilas),NA(),IF(AND(ISNUMBER(INDEX(rMed2,3351)),ISNUMBER(INDEX(rMed,3351))),INDEX(rMed2,3351),NA()))</f>
        <v>#N/A</v>
      </c>
      <c r="BY3353" t="e">
        <f>IF(OR(cMed=0,cMed2=0,3351&gt;nFilas),NA(),IF(AND(ISNUMBER(INDEX(rMed2,3351)),ISNUMBER(INDEX(rMed,3351))),INDEX(rMed,3351),NA()))</f>
        <v>#N/A</v>
      </c>
    </row>
    <row r="3354">
      <c r="BX3354" t="e">
        <f>IF(OR(cMed=0,cMed2=0,3352&gt;nFilas),NA(),IF(AND(ISNUMBER(INDEX(rMed2,3352)),ISNUMBER(INDEX(rMed,3352))),INDEX(rMed2,3352),NA()))</f>
        <v>#N/A</v>
      </c>
      <c r="BY3354" t="e">
        <f>IF(OR(cMed=0,cMed2=0,3352&gt;nFilas),NA(),IF(AND(ISNUMBER(INDEX(rMed2,3352)),ISNUMBER(INDEX(rMed,3352))),INDEX(rMed,3352),NA()))</f>
        <v>#N/A</v>
      </c>
    </row>
    <row r="3355">
      <c r="BX3355" t="e">
        <f>IF(OR(cMed=0,cMed2=0,3353&gt;nFilas),NA(),IF(AND(ISNUMBER(INDEX(rMed2,3353)),ISNUMBER(INDEX(rMed,3353))),INDEX(rMed2,3353),NA()))</f>
        <v>#N/A</v>
      </c>
      <c r="BY3355" t="e">
        <f>IF(OR(cMed=0,cMed2=0,3353&gt;nFilas),NA(),IF(AND(ISNUMBER(INDEX(rMed2,3353)),ISNUMBER(INDEX(rMed,3353))),INDEX(rMed,3353),NA()))</f>
        <v>#N/A</v>
      </c>
    </row>
    <row r="3356">
      <c r="BX3356" t="e">
        <f>IF(OR(cMed=0,cMed2=0,3354&gt;nFilas),NA(),IF(AND(ISNUMBER(INDEX(rMed2,3354)),ISNUMBER(INDEX(rMed,3354))),INDEX(rMed2,3354),NA()))</f>
        <v>#N/A</v>
      </c>
      <c r="BY3356" t="e">
        <f>IF(OR(cMed=0,cMed2=0,3354&gt;nFilas),NA(),IF(AND(ISNUMBER(INDEX(rMed2,3354)),ISNUMBER(INDEX(rMed,3354))),INDEX(rMed,3354),NA()))</f>
        <v>#N/A</v>
      </c>
    </row>
    <row r="3357">
      <c r="BX3357" t="e">
        <f>IF(OR(cMed=0,cMed2=0,3355&gt;nFilas),NA(),IF(AND(ISNUMBER(INDEX(rMed2,3355)),ISNUMBER(INDEX(rMed,3355))),INDEX(rMed2,3355),NA()))</f>
        <v>#N/A</v>
      </c>
      <c r="BY3357" t="e">
        <f>IF(OR(cMed=0,cMed2=0,3355&gt;nFilas),NA(),IF(AND(ISNUMBER(INDEX(rMed2,3355)),ISNUMBER(INDEX(rMed,3355))),INDEX(rMed,3355),NA()))</f>
        <v>#N/A</v>
      </c>
    </row>
    <row r="3358">
      <c r="BX3358" t="e">
        <f>IF(OR(cMed=0,cMed2=0,3356&gt;nFilas),NA(),IF(AND(ISNUMBER(INDEX(rMed2,3356)),ISNUMBER(INDEX(rMed,3356))),INDEX(rMed2,3356),NA()))</f>
        <v>#N/A</v>
      </c>
      <c r="BY3358" t="e">
        <f>IF(OR(cMed=0,cMed2=0,3356&gt;nFilas),NA(),IF(AND(ISNUMBER(INDEX(rMed2,3356)),ISNUMBER(INDEX(rMed,3356))),INDEX(rMed,3356),NA()))</f>
        <v>#N/A</v>
      </c>
    </row>
    <row r="3359">
      <c r="BX3359" t="e">
        <f>IF(OR(cMed=0,cMed2=0,3357&gt;nFilas),NA(),IF(AND(ISNUMBER(INDEX(rMed2,3357)),ISNUMBER(INDEX(rMed,3357))),INDEX(rMed2,3357),NA()))</f>
        <v>#N/A</v>
      </c>
      <c r="BY3359" t="e">
        <f>IF(OR(cMed=0,cMed2=0,3357&gt;nFilas),NA(),IF(AND(ISNUMBER(INDEX(rMed2,3357)),ISNUMBER(INDEX(rMed,3357))),INDEX(rMed,3357),NA()))</f>
        <v>#N/A</v>
      </c>
    </row>
    <row r="3360">
      <c r="BX3360" t="e">
        <f>IF(OR(cMed=0,cMed2=0,3358&gt;nFilas),NA(),IF(AND(ISNUMBER(INDEX(rMed2,3358)),ISNUMBER(INDEX(rMed,3358))),INDEX(rMed2,3358),NA()))</f>
        <v>#N/A</v>
      </c>
      <c r="BY3360" t="e">
        <f>IF(OR(cMed=0,cMed2=0,3358&gt;nFilas),NA(),IF(AND(ISNUMBER(INDEX(rMed2,3358)),ISNUMBER(INDEX(rMed,3358))),INDEX(rMed,3358),NA()))</f>
        <v>#N/A</v>
      </c>
    </row>
    <row r="3361">
      <c r="BX3361" t="e">
        <f>IF(OR(cMed=0,cMed2=0,3359&gt;nFilas),NA(),IF(AND(ISNUMBER(INDEX(rMed2,3359)),ISNUMBER(INDEX(rMed,3359))),INDEX(rMed2,3359),NA()))</f>
        <v>#N/A</v>
      </c>
      <c r="BY3361" t="e">
        <f>IF(OR(cMed=0,cMed2=0,3359&gt;nFilas),NA(),IF(AND(ISNUMBER(INDEX(rMed2,3359)),ISNUMBER(INDEX(rMed,3359))),INDEX(rMed,3359),NA()))</f>
        <v>#N/A</v>
      </c>
    </row>
    <row r="3362">
      <c r="BX3362" t="e">
        <f>IF(OR(cMed=0,cMed2=0,3360&gt;nFilas),NA(),IF(AND(ISNUMBER(INDEX(rMed2,3360)),ISNUMBER(INDEX(rMed,3360))),INDEX(rMed2,3360),NA()))</f>
        <v>#N/A</v>
      </c>
      <c r="BY3362" t="e">
        <f>IF(OR(cMed=0,cMed2=0,3360&gt;nFilas),NA(),IF(AND(ISNUMBER(INDEX(rMed2,3360)),ISNUMBER(INDEX(rMed,3360))),INDEX(rMed,3360),NA()))</f>
        <v>#N/A</v>
      </c>
    </row>
    <row r="3363">
      <c r="BX3363" t="e">
        <f>IF(OR(cMed=0,cMed2=0,3361&gt;nFilas),NA(),IF(AND(ISNUMBER(INDEX(rMed2,3361)),ISNUMBER(INDEX(rMed,3361))),INDEX(rMed2,3361),NA()))</f>
        <v>#N/A</v>
      </c>
      <c r="BY3363" t="e">
        <f>IF(OR(cMed=0,cMed2=0,3361&gt;nFilas),NA(),IF(AND(ISNUMBER(INDEX(rMed2,3361)),ISNUMBER(INDEX(rMed,3361))),INDEX(rMed,3361),NA()))</f>
        <v>#N/A</v>
      </c>
    </row>
    <row r="3364">
      <c r="BX3364" t="e">
        <f>IF(OR(cMed=0,cMed2=0,3362&gt;nFilas),NA(),IF(AND(ISNUMBER(INDEX(rMed2,3362)),ISNUMBER(INDEX(rMed,3362))),INDEX(rMed2,3362),NA()))</f>
        <v>#N/A</v>
      </c>
      <c r="BY3364" t="e">
        <f>IF(OR(cMed=0,cMed2=0,3362&gt;nFilas),NA(),IF(AND(ISNUMBER(INDEX(rMed2,3362)),ISNUMBER(INDEX(rMed,3362))),INDEX(rMed,3362),NA()))</f>
        <v>#N/A</v>
      </c>
    </row>
    <row r="3365">
      <c r="BX3365" t="e">
        <f>IF(OR(cMed=0,cMed2=0,3363&gt;nFilas),NA(),IF(AND(ISNUMBER(INDEX(rMed2,3363)),ISNUMBER(INDEX(rMed,3363))),INDEX(rMed2,3363),NA()))</f>
        <v>#N/A</v>
      </c>
      <c r="BY3365" t="e">
        <f>IF(OR(cMed=0,cMed2=0,3363&gt;nFilas),NA(),IF(AND(ISNUMBER(INDEX(rMed2,3363)),ISNUMBER(INDEX(rMed,3363))),INDEX(rMed,3363),NA()))</f>
        <v>#N/A</v>
      </c>
    </row>
    <row r="3366">
      <c r="BX3366" t="e">
        <f>IF(OR(cMed=0,cMed2=0,3364&gt;nFilas),NA(),IF(AND(ISNUMBER(INDEX(rMed2,3364)),ISNUMBER(INDEX(rMed,3364))),INDEX(rMed2,3364),NA()))</f>
        <v>#N/A</v>
      </c>
      <c r="BY3366" t="e">
        <f>IF(OR(cMed=0,cMed2=0,3364&gt;nFilas),NA(),IF(AND(ISNUMBER(INDEX(rMed2,3364)),ISNUMBER(INDEX(rMed,3364))),INDEX(rMed,3364),NA()))</f>
        <v>#N/A</v>
      </c>
    </row>
    <row r="3367">
      <c r="BX3367" t="e">
        <f>IF(OR(cMed=0,cMed2=0,3365&gt;nFilas),NA(),IF(AND(ISNUMBER(INDEX(rMed2,3365)),ISNUMBER(INDEX(rMed,3365))),INDEX(rMed2,3365),NA()))</f>
        <v>#N/A</v>
      </c>
      <c r="BY3367" t="e">
        <f>IF(OR(cMed=0,cMed2=0,3365&gt;nFilas),NA(),IF(AND(ISNUMBER(INDEX(rMed2,3365)),ISNUMBER(INDEX(rMed,3365))),INDEX(rMed,3365),NA()))</f>
        <v>#N/A</v>
      </c>
    </row>
    <row r="3368">
      <c r="BX3368" t="e">
        <f>IF(OR(cMed=0,cMed2=0,3366&gt;nFilas),NA(),IF(AND(ISNUMBER(INDEX(rMed2,3366)),ISNUMBER(INDEX(rMed,3366))),INDEX(rMed2,3366),NA()))</f>
        <v>#N/A</v>
      </c>
      <c r="BY3368" t="e">
        <f>IF(OR(cMed=0,cMed2=0,3366&gt;nFilas),NA(),IF(AND(ISNUMBER(INDEX(rMed2,3366)),ISNUMBER(INDEX(rMed,3366))),INDEX(rMed,3366),NA()))</f>
        <v>#N/A</v>
      </c>
    </row>
    <row r="3369">
      <c r="BX3369" t="e">
        <f>IF(OR(cMed=0,cMed2=0,3367&gt;nFilas),NA(),IF(AND(ISNUMBER(INDEX(rMed2,3367)),ISNUMBER(INDEX(rMed,3367))),INDEX(rMed2,3367),NA()))</f>
        <v>#N/A</v>
      </c>
      <c r="BY3369" t="e">
        <f>IF(OR(cMed=0,cMed2=0,3367&gt;nFilas),NA(),IF(AND(ISNUMBER(INDEX(rMed2,3367)),ISNUMBER(INDEX(rMed,3367))),INDEX(rMed,3367),NA()))</f>
        <v>#N/A</v>
      </c>
    </row>
    <row r="3370">
      <c r="BX3370" t="e">
        <f>IF(OR(cMed=0,cMed2=0,3368&gt;nFilas),NA(),IF(AND(ISNUMBER(INDEX(rMed2,3368)),ISNUMBER(INDEX(rMed,3368))),INDEX(rMed2,3368),NA()))</f>
        <v>#N/A</v>
      </c>
      <c r="BY3370" t="e">
        <f>IF(OR(cMed=0,cMed2=0,3368&gt;nFilas),NA(),IF(AND(ISNUMBER(INDEX(rMed2,3368)),ISNUMBER(INDEX(rMed,3368))),INDEX(rMed,3368),NA()))</f>
        <v>#N/A</v>
      </c>
    </row>
    <row r="3371">
      <c r="BX3371" t="e">
        <f>IF(OR(cMed=0,cMed2=0,3369&gt;nFilas),NA(),IF(AND(ISNUMBER(INDEX(rMed2,3369)),ISNUMBER(INDEX(rMed,3369))),INDEX(rMed2,3369),NA()))</f>
        <v>#N/A</v>
      </c>
      <c r="BY3371" t="e">
        <f>IF(OR(cMed=0,cMed2=0,3369&gt;nFilas),NA(),IF(AND(ISNUMBER(INDEX(rMed2,3369)),ISNUMBER(INDEX(rMed,3369))),INDEX(rMed,3369),NA()))</f>
        <v>#N/A</v>
      </c>
    </row>
    <row r="3372">
      <c r="BX3372" t="e">
        <f>IF(OR(cMed=0,cMed2=0,3370&gt;nFilas),NA(),IF(AND(ISNUMBER(INDEX(rMed2,3370)),ISNUMBER(INDEX(rMed,3370))),INDEX(rMed2,3370),NA()))</f>
        <v>#N/A</v>
      </c>
      <c r="BY3372" t="e">
        <f>IF(OR(cMed=0,cMed2=0,3370&gt;nFilas),NA(),IF(AND(ISNUMBER(INDEX(rMed2,3370)),ISNUMBER(INDEX(rMed,3370))),INDEX(rMed,3370),NA()))</f>
        <v>#N/A</v>
      </c>
    </row>
    <row r="3373">
      <c r="BX3373" t="e">
        <f>IF(OR(cMed=0,cMed2=0,3371&gt;nFilas),NA(),IF(AND(ISNUMBER(INDEX(rMed2,3371)),ISNUMBER(INDEX(rMed,3371))),INDEX(rMed2,3371),NA()))</f>
        <v>#N/A</v>
      </c>
      <c r="BY3373" t="e">
        <f>IF(OR(cMed=0,cMed2=0,3371&gt;nFilas),NA(),IF(AND(ISNUMBER(INDEX(rMed2,3371)),ISNUMBER(INDEX(rMed,3371))),INDEX(rMed,3371),NA()))</f>
        <v>#N/A</v>
      </c>
    </row>
    <row r="3374">
      <c r="BX3374" t="e">
        <f>IF(OR(cMed=0,cMed2=0,3372&gt;nFilas),NA(),IF(AND(ISNUMBER(INDEX(rMed2,3372)),ISNUMBER(INDEX(rMed,3372))),INDEX(rMed2,3372),NA()))</f>
        <v>#N/A</v>
      </c>
      <c r="BY3374" t="e">
        <f>IF(OR(cMed=0,cMed2=0,3372&gt;nFilas),NA(),IF(AND(ISNUMBER(INDEX(rMed2,3372)),ISNUMBER(INDEX(rMed,3372))),INDEX(rMed,3372),NA()))</f>
        <v>#N/A</v>
      </c>
    </row>
    <row r="3375">
      <c r="BX3375" t="e">
        <f>IF(OR(cMed=0,cMed2=0,3373&gt;nFilas),NA(),IF(AND(ISNUMBER(INDEX(rMed2,3373)),ISNUMBER(INDEX(rMed,3373))),INDEX(rMed2,3373),NA()))</f>
        <v>#N/A</v>
      </c>
      <c r="BY3375" t="e">
        <f>IF(OR(cMed=0,cMed2=0,3373&gt;nFilas),NA(),IF(AND(ISNUMBER(INDEX(rMed2,3373)),ISNUMBER(INDEX(rMed,3373))),INDEX(rMed,3373),NA()))</f>
        <v>#N/A</v>
      </c>
    </row>
    <row r="3376">
      <c r="BX3376" t="e">
        <f>IF(OR(cMed=0,cMed2=0,3374&gt;nFilas),NA(),IF(AND(ISNUMBER(INDEX(rMed2,3374)),ISNUMBER(INDEX(rMed,3374))),INDEX(rMed2,3374),NA()))</f>
        <v>#N/A</v>
      </c>
      <c r="BY3376" t="e">
        <f>IF(OR(cMed=0,cMed2=0,3374&gt;nFilas),NA(),IF(AND(ISNUMBER(INDEX(rMed2,3374)),ISNUMBER(INDEX(rMed,3374))),INDEX(rMed,3374),NA()))</f>
        <v>#N/A</v>
      </c>
    </row>
    <row r="3377">
      <c r="BX3377" t="e">
        <f>IF(OR(cMed=0,cMed2=0,3375&gt;nFilas),NA(),IF(AND(ISNUMBER(INDEX(rMed2,3375)),ISNUMBER(INDEX(rMed,3375))),INDEX(rMed2,3375),NA()))</f>
        <v>#N/A</v>
      </c>
      <c r="BY3377" t="e">
        <f>IF(OR(cMed=0,cMed2=0,3375&gt;nFilas),NA(),IF(AND(ISNUMBER(INDEX(rMed2,3375)),ISNUMBER(INDEX(rMed,3375))),INDEX(rMed,3375),NA()))</f>
        <v>#N/A</v>
      </c>
    </row>
    <row r="3378">
      <c r="BX3378" t="e">
        <f>IF(OR(cMed=0,cMed2=0,3376&gt;nFilas),NA(),IF(AND(ISNUMBER(INDEX(rMed2,3376)),ISNUMBER(INDEX(rMed,3376))),INDEX(rMed2,3376),NA()))</f>
        <v>#N/A</v>
      </c>
      <c r="BY3378" t="e">
        <f>IF(OR(cMed=0,cMed2=0,3376&gt;nFilas),NA(),IF(AND(ISNUMBER(INDEX(rMed2,3376)),ISNUMBER(INDEX(rMed,3376))),INDEX(rMed,3376),NA()))</f>
        <v>#N/A</v>
      </c>
    </row>
    <row r="3379">
      <c r="BX3379" t="e">
        <f>IF(OR(cMed=0,cMed2=0,3377&gt;nFilas),NA(),IF(AND(ISNUMBER(INDEX(rMed2,3377)),ISNUMBER(INDEX(rMed,3377))),INDEX(rMed2,3377),NA()))</f>
        <v>#N/A</v>
      </c>
      <c r="BY3379" t="e">
        <f>IF(OR(cMed=0,cMed2=0,3377&gt;nFilas),NA(),IF(AND(ISNUMBER(INDEX(rMed2,3377)),ISNUMBER(INDEX(rMed,3377))),INDEX(rMed,3377),NA()))</f>
        <v>#N/A</v>
      </c>
    </row>
    <row r="3380">
      <c r="BX3380" t="e">
        <f>IF(OR(cMed=0,cMed2=0,3378&gt;nFilas),NA(),IF(AND(ISNUMBER(INDEX(rMed2,3378)),ISNUMBER(INDEX(rMed,3378))),INDEX(rMed2,3378),NA()))</f>
        <v>#N/A</v>
      </c>
      <c r="BY3380" t="e">
        <f>IF(OR(cMed=0,cMed2=0,3378&gt;nFilas),NA(),IF(AND(ISNUMBER(INDEX(rMed2,3378)),ISNUMBER(INDEX(rMed,3378))),INDEX(rMed,3378),NA()))</f>
        <v>#N/A</v>
      </c>
    </row>
    <row r="3381">
      <c r="BX3381" t="e">
        <f>IF(OR(cMed=0,cMed2=0,3379&gt;nFilas),NA(),IF(AND(ISNUMBER(INDEX(rMed2,3379)),ISNUMBER(INDEX(rMed,3379))),INDEX(rMed2,3379),NA()))</f>
        <v>#N/A</v>
      </c>
      <c r="BY3381" t="e">
        <f>IF(OR(cMed=0,cMed2=0,3379&gt;nFilas),NA(),IF(AND(ISNUMBER(INDEX(rMed2,3379)),ISNUMBER(INDEX(rMed,3379))),INDEX(rMed,3379),NA()))</f>
        <v>#N/A</v>
      </c>
    </row>
    <row r="3382">
      <c r="BX3382" t="e">
        <f>IF(OR(cMed=0,cMed2=0,3380&gt;nFilas),NA(),IF(AND(ISNUMBER(INDEX(rMed2,3380)),ISNUMBER(INDEX(rMed,3380))),INDEX(rMed2,3380),NA()))</f>
        <v>#N/A</v>
      </c>
      <c r="BY3382" t="e">
        <f>IF(OR(cMed=0,cMed2=0,3380&gt;nFilas),NA(),IF(AND(ISNUMBER(INDEX(rMed2,3380)),ISNUMBER(INDEX(rMed,3380))),INDEX(rMed,3380),NA()))</f>
        <v>#N/A</v>
      </c>
    </row>
    <row r="3383">
      <c r="BX3383" t="e">
        <f>IF(OR(cMed=0,cMed2=0,3381&gt;nFilas),NA(),IF(AND(ISNUMBER(INDEX(rMed2,3381)),ISNUMBER(INDEX(rMed,3381))),INDEX(rMed2,3381),NA()))</f>
        <v>#N/A</v>
      </c>
      <c r="BY3383" t="e">
        <f>IF(OR(cMed=0,cMed2=0,3381&gt;nFilas),NA(),IF(AND(ISNUMBER(INDEX(rMed2,3381)),ISNUMBER(INDEX(rMed,3381))),INDEX(rMed,3381),NA()))</f>
        <v>#N/A</v>
      </c>
    </row>
    <row r="3384">
      <c r="BX3384" t="e">
        <f>IF(OR(cMed=0,cMed2=0,3382&gt;nFilas),NA(),IF(AND(ISNUMBER(INDEX(rMed2,3382)),ISNUMBER(INDEX(rMed,3382))),INDEX(rMed2,3382),NA()))</f>
        <v>#N/A</v>
      </c>
      <c r="BY3384" t="e">
        <f>IF(OR(cMed=0,cMed2=0,3382&gt;nFilas),NA(),IF(AND(ISNUMBER(INDEX(rMed2,3382)),ISNUMBER(INDEX(rMed,3382))),INDEX(rMed,3382),NA()))</f>
        <v>#N/A</v>
      </c>
    </row>
    <row r="3385">
      <c r="BX3385" t="e">
        <f>IF(OR(cMed=0,cMed2=0,3383&gt;nFilas),NA(),IF(AND(ISNUMBER(INDEX(rMed2,3383)),ISNUMBER(INDEX(rMed,3383))),INDEX(rMed2,3383),NA()))</f>
        <v>#N/A</v>
      </c>
      <c r="BY3385" t="e">
        <f>IF(OR(cMed=0,cMed2=0,3383&gt;nFilas),NA(),IF(AND(ISNUMBER(INDEX(rMed2,3383)),ISNUMBER(INDEX(rMed,3383))),INDEX(rMed,3383),NA()))</f>
        <v>#N/A</v>
      </c>
    </row>
    <row r="3386">
      <c r="BX3386" t="e">
        <f>IF(OR(cMed=0,cMed2=0,3384&gt;nFilas),NA(),IF(AND(ISNUMBER(INDEX(rMed2,3384)),ISNUMBER(INDEX(rMed,3384))),INDEX(rMed2,3384),NA()))</f>
        <v>#N/A</v>
      </c>
      <c r="BY3386" t="e">
        <f>IF(OR(cMed=0,cMed2=0,3384&gt;nFilas),NA(),IF(AND(ISNUMBER(INDEX(rMed2,3384)),ISNUMBER(INDEX(rMed,3384))),INDEX(rMed,3384),NA()))</f>
        <v>#N/A</v>
      </c>
    </row>
    <row r="3387">
      <c r="BX3387" t="e">
        <f>IF(OR(cMed=0,cMed2=0,3385&gt;nFilas),NA(),IF(AND(ISNUMBER(INDEX(rMed2,3385)),ISNUMBER(INDEX(rMed,3385))),INDEX(rMed2,3385),NA()))</f>
        <v>#N/A</v>
      </c>
      <c r="BY3387" t="e">
        <f>IF(OR(cMed=0,cMed2=0,3385&gt;nFilas),NA(),IF(AND(ISNUMBER(INDEX(rMed2,3385)),ISNUMBER(INDEX(rMed,3385))),INDEX(rMed,3385),NA()))</f>
        <v>#N/A</v>
      </c>
    </row>
    <row r="3388">
      <c r="BX3388" t="e">
        <f>IF(OR(cMed=0,cMed2=0,3386&gt;nFilas),NA(),IF(AND(ISNUMBER(INDEX(rMed2,3386)),ISNUMBER(INDEX(rMed,3386))),INDEX(rMed2,3386),NA()))</f>
        <v>#N/A</v>
      </c>
      <c r="BY3388" t="e">
        <f>IF(OR(cMed=0,cMed2=0,3386&gt;nFilas),NA(),IF(AND(ISNUMBER(INDEX(rMed2,3386)),ISNUMBER(INDEX(rMed,3386))),INDEX(rMed,3386),NA()))</f>
        <v>#N/A</v>
      </c>
    </row>
    <row r="3389">
      <c r="BX3389" t="e">
        <f>IF(OR(cMed=0,cMed2=0,3387&gt;nFilas),NA(),IF(AND(ISNUMBER(INDEX(rMed2,3387)),ISNUMBER(INDEX(rMed,3387))),INDEX(rMed2,3387),NA()))</f>
        <v>#N/A</v>
      </c>
      <c r="BY3389" t="e">
        <f>IF(OR(cMed=0,cMed2=0,3387&gt;nFilas),NA(),IF(AND(ISNUMBER(INDEX(rMed2,3387)),ISNUMBER(INDEX(rMed,3387))),INDEX(rMed,3387),NA()))</f>
        <v>#N/A</v>
      </c>
    </row>
    <row r="3390">
      <c r="BX3390" t="e">
        <f>IF(OR(cMed=0,cMed2=0,3388&gt;nFilas),NA(),IF(AND(ISNUMBER(INDEX(rMed2,3388)),ISNUMBER(INDEX(rMed,3388))),INDEX(rMed2,3388),NA()))</f>
        <v>#N/A</v>
      </c>
      <c r="BY3390" t="e">
        <f>IF(OR(cMed=0,cMed2=0,3388&gt;nFilas),NA(),IF(AND(ISNUMBER(INDEX(rMed2,3388)),ISNUMBER(INDEX(rMed,3388))),INDEX(rMed,3388),NA()))</f>
        <v>#N/A</v>
      </c>
    </row>
    <row r="3391">
      <c r="BX3391" t="e">
        <f>IF(OR(cMed=0,cMed2=0,3389&gt;nFilas),NA(),IF(AND(ISNUMBER(INDEX(rMed2,3389)),ISNUMBER(INDEX(rMed,3389))),INDEX(rMed2,3389),NA()))</f>
        <v>#N/A</v>
      </c>
      <c r="BY3391" t="e">
        <f>IF(OR(cMed=0,cMed2=0,3389&gt;nFilas),NA(),IF(AND(ISNUMBER(INDEX(rMed2,3389)),ISNUMBER(INDEX(rMed,3389))),INDEX(rMed,3389),NA()))</f>
        <v>#N/A</v>
      </c>
    </row>
    <row r="3392">
      <c r="BX3392" t="e">
        <f>IF(OR(cMed=0,cMed2=0,3390&gt;nFilas),NA(),IF(AND(ISNUMBER(INDEX(rMed2,3390)),ISNUMBER(INDEX(rMed,3390))),INDEX(rMed2,3390),NA()))</f>
        <v>#N/A</v>
      </c>
      <c r="BY3392" t="e">
        <f>IF(OR(cMed=0,cMed2=0,3390&gt;nFilas),NA(),IF(AND(ISNUMBER(INDEX(rMed2,3390)),ISNUMBER(INDEX(rMed,3390))),INDEX(rMed,3390),NA()))</f>
        <v>#N/A</v>
      </c>
    </row>
    <row r="3393">
      <c r="BX3393" t="e">
        <f>IF(OR(cMed=0,cMed2=0,3391&gt;nFilas),NA(),IF(AND(ISNUMBER(INDEX(rMed2,3391)),ISNUMBER(INDEX(rMed,3391))),INDEX(rMed2,3391),NA()))</f>
        <v>#N/A</v>
      </c>
      <c r="BY3393" t="e">
        <f>IF(OR(cMed=0,cMed2=0,3391&gt;nFilas),NA(),IF(AND(ISNUMBER(INDEX(rMed2,3391)),ISNUMBER(INDEX(rMed,3391))),INDEX(rMed,3391),NA()))</f>
        <v>#N/A</v>
      </c>
    </row>
    <row r="3394">
      <c r="BX3394" t="e">
        <f>IF(OR(cMed=0,cMed2=0,3392&gt;nFilas),NA(),IF(AND(ISNUMBER(INDEX(rMed2,3392)),ISNUMBER(INDEX(rMed,3392))),INDEX(rMed2,3392),NA()))</f>
        <v>#N/A</v>
      </c>
      <c r="BY3394" t="e">
        <f>IF(OR(cMed=0,cMed2=0,3392&gt;nFilas),NA(),IF(AND(ISNUMBER(INDEX(rMed2,3392)),ISNUMBER(INDEX(rMed,3392))),INDEX(rMed,3392),NA()))</f>
        <v>#N/A</v>
      </c>
    </row>
    <row r="3395">
      <c r="BX3395" t="e">
        <f>IF(OR(cMed=0,cMed2=0,3393&gt;nFilas),NA(),IF(AND(ISNUMBER(INDEX(rMed2,3393)),ISNUMBER(INDEX(rMed,3393))),INDEX(rMed2,3393),NA()))</f>
        <v>#N/A</v>
      </c>
      <c r="BY3395" t="e">
        <f>IF(OR(cMed=0,cMed2=0,3393&gt;nFilas),NA(),IF(AND(ISNUMBER(INDEX(rMed2,3393)),ISNUMBER(INDEX(rMed,3393))),INDEX(rMed,3393),NA()))</f>
        <v>#N/A</v>
      </c>
    </row>
    <row r="3396">
      <c r="BX3396" t="e">
        <f>IF(OR(cMed=0,cMed2=0,3394&gt;nFilas),NA(),IF(AND(ISNUMBER(INDEX(rMed2,3394)),ISNUMBER(INDEX(rMed,3394))),INDEX(rMed2,3394),NA()))</f>
        <v>#N/A</v>
      </c>
      <c r="BY3396" t="e">
        <f>IF(OR(cMed=0,cMed2=0,3394&gt;nFilas),NA(),IF(AND(ISNUMBER(INDEX(rMed2,3394)),ISNUMBER(INDEX(rMed,3394))),INDEX(rMed,3394),NA()))</f>
        <v>#N/A</v>
      </c>
    </row>
    <row r="3397">
      <c r="BX3397" t="e">
        <f>IF(OR(cMed=0,cMed2=0,3395&gt;nFilas),NA(),IF(AND(ISNUMBER(INDEX(rMed2,3395)),ISNUMBER(INDEX(rMed,3395))),INDEX(rMed2,3395),NA()))</f>
        <v>#N/A</v>
      </c>
      <c r="BY3397" t="e">
        <f>IF(OR(cMed=0,cMed2=0,3395&gt;nFilas),NA(),IF(AND(ISNUMBER(INDEX(rMed2,3395)),ISNUMBER(INDEX(rMed,3395))),INDEX(rMed,3395),NA()))</f>
        <v>#N/A</v>
      </c>
    </row>
    <row r="3398">
      <c r="BX3398" t="e">
        <f>IF(OR(cMed=0,cMed2=0,3396&gt;nFilas),NA(),IF(AND(ISNUMBER(INDEX(rMed2,3396)),ISNUMBER(INDEX(rMed,3396))),INDEX(rMed2,3396),NA()))</f>
        <v>#N/A</v>
      </c>
      <c r="BY3398" t="e">
        <f>IF(OR(cMed=0,cMed2=0,3396&gt;nFilas),NA(),IF(AND(ISNUMBER(INDEX(rMed2,3396)),ISNUMBER(INDEX(rMed,3396))),INDEX(rMed,3396),NA()))</f>
        <v>#N/A</v>
      </c>
    </row>
    <row r="3399">
      <c r="BX3399" t="e">
        <f>IF(OR(cMed=0,cMed2=0,3397&gt;nFilas),NA(),IF(AND(ISNUMBER(INDEX(rMed2,3397)),ISNUMBER(INDEX(rMed,3397))),INDEX(rMed2,3397),NA()))</f>
        <v>#N/A</v>
      </c>
      <c r="BY3399" t="e">
        <f>IF(OR(cMed=0,cMed2=0,3397&gt;nFilas),NA(),IF(AND(ISNUMBER(INDEX(rMed2,3397)),ISNUMBER(INDEX(rMed,3397))),INDEX(rMed,3397),NA()))</f>
        <v>#N/A</v>
      </c>
    </row>
    <row r="3400">
      <c r="BX3400" t="e">
        <f>IF(OR(cMed=0,cMed2=0,3398&gt;nFilas),NA(),IF(AND(ISNUMBER(INDEX(rMed2,3398)),ISNUMBER(INDEX(rMed,3398))),INDEX(rMed2,3398),NA()))</f>
        <v>#N/A</v>
      </c>
      <c r="BY3400" t="e">
        <f>IF(OR(cMed=0,cMed2=0,3398&gt;nFilas),NA(),IF(AND(ISNUMBER(INDEX(rMed2,3398)),ISNUMBER(INDEX(rMed,3398))),INDEX(rMed,3398),NA()))</f>
        <v>#N/A</v>
      </c>
    </row>
    <row r="3401">
      <c r="BX3401" t="e">
        <f>IF(OR(cMed=0,cMed2=0,3399&gt;nFilas),NA(),IF(AND(ISNUMBER(INDEX(rMed2,3399)),ISNUMBER(INDEX(rMed,3399))),INDEX(rMed2,3399),NA()))</f>
        <v>#N/A</v>
      </c>
      <c r="BY3401" t="e">
        <f>IF(OR(cMed=0,cMed2=0,3399&gt;nFilas),NA(),IF(AND(ISNUMBER(INDEX(rMed2,3399)),ISNUMBER(INDEX(rMed,3399))),INDEX(rMed,3399),NA()))</f>
        <v>#N/A</v>
      </c>
    </row>
    <row r="3402">
      <c r="BX3402" t="e">
        <f>IF(OR(cMed=0,cMed2=0,3400&gt;nFilas),NA(),IF(AND(ISNUMBER(INDEX(rMed2,3400)),ISNUMBER(INDEX(rMed,3400))),INDEX(rMed2,3400),NA()))</f>
        <v>#N/A</v>
      </c>
      <c r="BY3402" t="e">
        <f>IF(OR(cMed=0,cMed2=0,3400&gt;nFilas),NA(),IF(AND(ISNUMBER(INDEX(rMed2,3400)),ISNUMBER(INDEX(rMed,3400))),INDEX(rMed,3400),NA()))</f>
        <v>#N/A</v>
      </c>
    </row>
    <row r="3403">
      <c r="BX3403" t="e">
        <f>IF(OR(cMed=0,cMed2=0,3401&gt;nFilas),NA(),IF(AND(ISNUMBER(INDEX(rMed2,3401)),ISNUMBER(INDEX(rMed,3401))),INDEX(rMed2,3401),NA()))</f>
        <v>#N/A</v>
      </c>
      <c r="BY3403" t="e">
        <f>IF(OR(cMed=0,cMed2=0,3401&gt;nFilas),NA(),IF(AND(ISNUMBER(INDEX(rMed2,3401)),ISNUMBER(INDEX(rMed,3401))),INDEX(rMed,3401),NA()))</f>
        <v>#N/A</v>
      </c>
    </row>
    <row r="3404">
      <c r="BX3404" t="e">
        <f>IF(OR(cMed=0,cMed2=0,3402&gt;nFilas),NA(),IF(AND(ISNUMBER(INDEX(rMed2,3402)),ISNUMBER(INDEX(rMed,3402))),INDEX(rMed2,3402),NA()))</f>
        <v>#N/A</v>
      </c>
      <c r="BY3404" t="e">
        <f>IF(OR(cMed=0,cMed2=0,3402&gt;nFilas),NA(),IF(AND(ISNUMBER(INDEX(rMed2,3402)),ISNUMBER(INDEX(rMed,3402))),INDEX(rMed,3402),NA()))</f>
        <v>#N/A</v>
      </c>
    </row>
    <row r="3405">
      <c r="BX3405" t="e">
        <f>IF(OR(cMed=0,cMed2=0,3403&gt;nFilas),NA(),IF(AND(ISNUMBER(INDEX(rMed2,3403)),ISNUMBER(INDEX(rMed,3403))),INDEX(rMed2,3403),NA()))</f>
        <v>#N/A</v>
      </c>
      <c r="BY3405" t="e">
        <f>IF(OR(cMed=0,cMed2=0,3403&gt;nFilas),NA(),IF(AND(ISNUMBER(INDEX(rMed2,3403)),ISNUMBER(INDEX(rMed,3403))),INDEX(rMed,3403),NA()))</f>
        <v>#N/A</v>
      </c>
    </row>
    <row r="3406">
      <c r="BX3406" t="e">
        <f>IF(OR(cMed=0,cMed2=0,3404&gt;nFilas),NA(),IF(AND(ISNUMBER(INDEX(rMed2,3404)),ISNUMBER(INDEX(rMed,3404))),INDEX(rMed2,3404),NA()))</f>
        <v>#N/A</v>
      </c>
      <c r="BY3406" t="e">
        <f>IF(OR(cMed=0,cMed2=0,3404&gt;nFilas),NA(),IF(AND(ISNUMBER(INDEX(rMed2,3404)),ISNUMBER(INDEX(rMed,3404))),INDEX(rMed,3404),NA()))</f>
        <v>#N/A</v>
      </c>
    </row>
    <row r="3407">
      <c r="BX3407" t="e">
        <f>IF(OR(cMed=0,cMed2=0,3405&gt;nFilas),NA(),IF(AND(ISNUMBER(INDEX(rMed2,3405)),ISNUMBER(INDEX(rMed,3405))),INDEX(rMed2,3405),NA()))</f>
        <v>#N/A</v>
      </c>
      <c r="BY3407" t="e">
        <f>IF(OR(cMed=0,cMed2=0,3405&gt;nFilas),NA(),IF(AND(ISNUMBER(INDEX(rMed2,3405)),ISNUMBER(INDEX(rMed,3405))),INDEX(rMed,3405),NA()))</f>
        <v>#N/A</v>
      </c>
    </row>
    <row r="3408">
      <c r="BX3408" t="e">
        <f>IF(OR(cMed=0,cMed2=0,3406&gt;nFilas),NA(),IF(AND(ISNUMBER(INDEX(rMed2,3406)),ISNUMBER(INDEX(rMed,3406))),INDEX(rMed2,3406),NA()))</f>
        <v>#N/A</v>
      </c>
      <c r="BY3408" t="e">
        <f>IF(OR(cMed=0,cMed2=0,3406&gt;nFilas),NA(),IF(AND(ISNUMBER(INDEX(rMed2,3406)),ISNUMBER(INDEX(rMed,3406))),INDEX(rMed,3406),NA()))</f>
        <v>#N/A</v>
      </c>
    </row>
    <row r="3409">
      <c r="BX3409" t="e">
        <f>IF(OR(cMed=0,cMed2=0,3407&gt;nFilas),NA(),IF(AND(ISNUMBER(INDEX(rMed2,3407)),ISNUMBER(INDEX(rMed,3407))),INDEX(rMed2,3407),NA()))</f>
        <v>#N/A</v>
      </c>
      <c r="BY3409" t="e">
        <f>IF(OR(cMed=0,cMed2=0,3407&gt;nFilas),NA(),IF(AND(ISNUMBER(INDEX(rMed2,3407)),ISNUMBER(INDEX(rMed,3407))),INDEX(rMed,3407),NA()))</f>
        <v>#N/A</v>
      </c>
    </row>
    <row r="3410">
      <c r="BX3410" t="e">
        <f>IF(OR(cMed=0,cMed2=0,3408&gt;nFilas),NA(),IF(AND(ISNUMBER(INDEX(rMed2,3408)),ISNUMBER(INDEX(rMed,3408))),INDEX(rMed2,3408),NA()))</f>
        <v>#N/A</v>
      </c>
      <c r="BY3410" t="e">
        <f>IF(OR(cMed=0,cMed2=0,3408&gt;nFilas),NA(),IF(AND(ISNUMBER(INDEX(rMed2,3408)),ISNUMBER(INDEX(rMed,3408))),INDEX(rMed,3408),NA()))</f>
        <v>#N/A</v>
      </c>
    </row>
    <row r="3411">
      <c r="BX3411" t="e">
        <f>IF(OR(cMed=0,cMed2=0,3409&gt;nFilas),NA(),IF(AND(ISNUMBER(INDEX(rMed2,3409)),ISNUMBER(INDEX(rMed,3409))),INDEX(rMed2,3409),NA()))</f>
        <v>#N/A</v>
      </c>
      <c r="BY3411" t="e">
        <f>IF(OR(cMed=0,cMed2=0,3409&gt;nFilas),NA(),IF(AND(ISNUMBER(INDEX(rMed2,3409)),ISNUMBER(INDEX(rMed,3409))),INDEX(rMed,3409),NA()))</f>
        <v>#N/A</v>
      </c>
    </row>
    <row r="3412">
      <c r="BX3412" t="e">
        <f>IF(OR(cMed=0,cMed2=0,3410&gt;nFilas),NA(),IF(AND(ISNUMBER(INDEX(rMed2,3410)),ISNUMBER(INDEX(rMed,3410))),INDEX(rMed2,3410),NA()))</f>
        <v>#N/A</v>
      </c>
      <c r="BY3412" t="e">
        <f>IF(OR(cMed=0,cMed2=0,3410&gt;nFilas),NA(),IF(AND(ISNUMBER(INDEX(rMed2,3410)),ISNUMBER(INDEX(rMed,3410))),INDEX(rMed,3410),NA()))</f>
        <v>#N/A</v>
      </c>
    </row>
    <row r="3413">
      <c r="BX3413" t="e">
        <f>IF(OR(cMed=0,cMed2=0,3411&gt;nFilas),NA(),IF(AND(ISNUMBER(INDEX(rMed2,3411)),ISNUMBER(INDEX(rMed,3411))),INDEX(rMed2,3411),NA()))</f>
        <v>#N/A</v>
      </c>
      <c r="BY3413" t="e">
        <f>IF(OR(cMed=0,cMed2=0,3411&gt;nFilas),NA(),IF(AND(ISNUMBER(INDEX(rMed2,3411)),ISNUMBER(INDEX(rMed,3411))),INDEX(rMed,3411),NA()))</f>
        <v>#N/A</v>
      </c>
    </row>
    <row r="3414">
      <c r="BX3414" t="e">
        <f>IF(OR(cMed=0,cMed2=0,3412&gt;nFilas),NA(),IF(AND(ISNUMBER(INDEX(rMed2,3412)),ISNUMBER(INDEX(rMed,3412))),INDEX(rMed2,3412),NA()))</f>
        <v>#N/A</v>
      </c>
      <c r="BY3414" t="e">
        <f>IF(OR(cMed=0,cMed2=0,3412&gt;nFilas),NA(),IF(AND(ISNUMBER(INDEX(rMed2,3412)),ISNUMBER(INDEX(rMed,3412))),INDEX(rMed,3412),NA()))</f>
        <v>#N/A</v>
      </c>
    </row>
    <row r="3415">
      <c r="BX3415" t="e">
        <f>IF(OR(cMed=0,cMed2=0,3413&gt;nFilas),NA(),IF(AND(ISNUMBER(INDEX(rMed2,3413)),ISNUMBER(INDEX(rMed,3413))),INDEX(rMed2,3413),NA()))</f>
        <v>#N/A</v>
      </c>
      <c r="BY3415" t="e">
        <f>IF(OR(cMed=0,cMed2=0,3413&gt;nFilas),NA(),IF(AND(ISNUMBER(INDEX(rMed2,3413)),ISNUMBER(INDEX(rMed,3413))),INDEX(rMed,3413),NA()))</f>
        <v>#N/A</v>
      </c>
    </row>
    <row r="3416">
      <c r="BX3416" t="e">
        <f>IF(OR(cMed=0,cMed2=0,3414&gt;nFilas),NA(),IF(AND(ISNUMBER(INDEX(rMed2,3414)),ISNUMBER(INDEX(rMed,3414))),INDEX(rMed2,3414),NA()))</f>
        <v>#N/A</v>
      </c>
      <c r="BY3416" t="e">
        <f>IF(OR(cMed=0,cMed2=0,3414&gt;nFilas),NA(),IF(AND(ISNUMBER(INDEX(rMed2,3414)),ISNUMBER(INDEX(rMed,3414))),INDEX(rMed,3414),NA()))</f>
        <v>#N/A</v>
      </c>
    </row>
    <row r="3417">
      <c r="BX3417" t="e">
        <f>IF(OR(cMed=0,cMed2=0,3415&gt;nFilas),NA(),IF(AND(ISNUMBER(INDEX(rMed2,3415)),ISNUMBER(INDEX(rMed,3415))),INDEX(rMed2,3415),NA()))</f>
        <v>#N/A</v>
      </c>
      <c r="BY3417" t="e">
        <f>IF(OR(cMed=0,cMed2=0,3415&gt;nFilas),NA(),IF(AND(ISNUMBER(INDEX(rMed2,3415)),ISNUMBER(INDEX(rMed,3415))),INDEX(rMed,3415),NA()))</f>
        <v>#N/A</v>
      </c>
    </row>
    <row r="3418">
      <c r="BX3418" t="e">
        <f>IF(OR(cMed=0,cMed2=0,3416&gt;nFilas),NA(),IF(AND(ISNUMBER(INDEX(rMed2,3416)),ISNUMBER(INDEX(rMed,3416))),INDEX(rMed2,3416),NA()))</f>
        <v>#N/A</v>
      </c>
      <c r="BY3418" t="e">
        <f>IF(OR(cMed=0,cMed2=0,3416&gt;nFilas),NA(),IF(AND(ISNUMBER(INDEX(rMed2,3416)),ISNUMBER(INDEX(rMed,3416))),INDEX(rMed,3416),NA()))</f>
        <v>#N/A</v>
      </c>
    </row>
    <row r="3419">
      <c r="BX3419" t="e">
        <f>IF(OR(cMed=0,cMed2=0,3417&gt;nFilas),NA(),IF(AND(ISNUMBER(INDEX(rMed2,3417)),ISNUMBER(INDEX(rMed,3417))),INDEX(rMed2,3417),NA()))</f>
        <v>#N/A</v>
      </c>
      <c r="BY3419" t="e">
        <f>IF(OR(cMed=0,cMed2=0,3417&gt;nFilas),NA(),IF(AND(ISNUMBER(INDEX(rMed2,3417)),ISNUMBER(INDEX(rMed,3417))),INDEX(rMed,3417),NA()))</f>
        <v>#N/A</v>
      </c>
    </row>
    <row r="3420">
      <c r="BX3420" t="e">
        <f>IF(OR(cMed=0,cMed2=0,3418&gt;nFilas),NA(),IF(AND(ISNUMBER(INDEX(rMed2,3418)),ISNUMBER(INDEX(rMed,3418))),INDEX(rMed2,3418),NA()))</f>
        <v>#N/A</v>
      </c>
      <c r="BY3420" t="e">
        <f>IF(OR(cMed=0,cMed2=0,3418&gt;nFilas),NA(),IF(AND(ISNUMBER(INDEX(rMed2,3418)),ISNUMBER(INDEX(rMed,3418))),INDEX(rMed,3418),NA()))</f>
        <v>#N/A</v>
      </c>
    </row>
    <row r="3421">
      <c r="BX3421" t="e">
        <f>IF(OR(cMed=0,cMed2=0,3419&gt;nFilas),NA(),IF(AND(ISNUMBER(INDEX(rMed2,3419)),ISNUMBER(INDEX(rMed,3419))),INDEX(rMed2,3419),NA()))</f>
        <v>#N/A</v>
      </c>
      <c r="BY3421" t="e">
        <f>IF(OR(cMed=0,cMed2=0,3419&gt;nFilas),NA(),IF(AND(ISNUMBER(INDEX(rMed2,3419)),ISNUMBER(INDEX(rMed,3419))),INDEX(rMed,3419),NA()))</f>
        <v>#N/A</v>
      </c>
    </row>
    <row r="3422">
      <c r="BX3422" t="e">
        <f>IF(OR(cMed=0,cMed2=0,3420&gt;nFilas),NA(),IF(AND(ISNUMBER(INDEX(rMed2,3420)),ISNUMBER(INDEX(rMed,3420))),INDEX(rMed2,3420),NA()))</f>
        <v>#N/A</v>
      </c>
      <c r="BY3422" t="e">
        <f>IF(OR(cMed=0,cMed2=0,3420&gt;nFilas),NA(),IF(AND(ISNUMBER(INDEX(rMed2,3420)),ISNUMBER(INDEX(rMed,3420))),INDEX(rMed,3420),NA()))</f>
        <v>#N/A</v>
      </c>
    </row>
    <row r="3423">
      <c r="BX3423" t="e">
        <f>IF(OR(cMed=0,cMed2=0,3421&gt;nFilas),NA(),IF(AND(ISNUMBER(INDEX(rMed2,3421)),ISNUMBER(INDEX(rMed,3421))),INDEX(rMed2,3421),NA()))</f>
        <v>#N/A</v>
      </c>
      <c r="BY3423" t="e">
        <f>IF(OR(cMed=0,cMed2=0,3421&gt;nFilas),NA(),IF(AND(ISNUMBER(INDEX(rMed2,3421)),ISNUMBER(INDEX(rMed,3421))),INDEX(rMed,3421),NA()))</f>
        <v>#N/A</v>
      </c>
    </row>
    <row r="3424">
      <c r="BX3424" t="e">
        <f>IF(OR(cMed=0,cMed2=0,3422&gt;nFilas),NA(),IF(AND(ISNUMBER(INDEX(rMed2,3422)),ISNUMBER(INDEX(rMed,3422))),INDEX(rMed2,3422),NA()))</f>
        <v>#N/A</v>
      </c>
      <c r="BY3424" t="e">
        <f>IF(OR(cMed=0,cMed2=0,3422&gt;nFilas),NA(),IF(AND(ISNUMBER(INDEX(rMed2,3422)),ISNUMBER(INDEX(rMed,3422))),INDEX(rMed,3422),NA()))</f>
        <v>#N/A</v>
      </c>
    </row>
    <row r="3425">
      <c r="BX3425" t="e">
        <f>IF(OR(cMed=0,cMed2=0,3423&gt;nFilas),NA(),IF(AND(ISNUMBER(INDEX(rMed2,3423)),ISNUMBER(INDEX(rMed,3423))),INDEX(rMed2,3423),NA()))</f>
        <v>#N/A</v>
      </c>
      <c r="BY3425" t="e">
        <f>IF(OR(cMed=0,cMed2=0,3423&gt;nFilas),NA(),IF(AND(ISNUMBER(INDEX(rMed2,3423)),ISNUMBER(INDEX(rMed,3423))),INDEX(rMed,3423),NA()))</f>
        <v>#N/A</v>
      </c>
    </row>
    <row r="3426">
      <c r="BX3426" t="e">
        <f>IF(OR(cMed=0,cMed2=0,3424&gt;nFilas),NA(),IF(AND(ISNUMBER(INDEX(rMed2,3424)),ISNUMBER(INDEX(rMed,3424))),INDEX(rMed2,3424),NA()))</f>
        <v>#N/A</v>
      </c>
      <c r="BY3426" t="e">
        <f>IF(OR(cMed=0,cMed2=0,3424&gt;nFilas),NA(),IF(AND(ISNUMBER(INDEX(rMed2,3424)),ISNUMBER(INDEX(rMed,3424))),INDEX(rMed,3424),NA()))</f>
        <v>#N/A</v>
      </c>
    </row>
    <row r="3427">
      <c r="BX3427" t="e">
        <f>IF(OR(cMed=0,cMed2=0,3425&gt;nFilas),NA(),IF(AND(ISNUMBER(INDEX(rMed2,3425)),ISNUMBER(INDEX(rMed,3425))),INDEX(rMed2,3425),NA()))</f>
        <v>#N/A</v>
      </c>
      <c r="BY3427" t="e">
        <f>IF(OR(cMed=0,cMed2=0,3425&gt;nFilas),NA(),IF(AND(ISNUMBER(INDEX(rMed2,3425)),ISNUMBER(INDEX(rMed,3425))),INDEX(rMed,3425),NA()))</f>
        <v>#N/A</v>
      </c>
    </row>
    <row r="3428">
      <c r="BX3428" t="e">
        <f>IF(OR(cMed=0,cMed2=0,3426&gt;nFilas),NA(),IF(AND(ISNUMBER(INDEX(rMed2,3426)),ISNUMBER(INDEX(rMed,3426))),INDEX(rMed2,3426),NA()))</f>
        <v>#N/A</v>
      </c>
      <c r="BY3428" t="e">
        <f>IF(OR(cMed=0,cMed2=0,3426&gt;nFilas),NA(),IF(AND(ISNUMBER(INDEX(rMed2,3426)),ISNUMBER(INDEX(rMed,3426))),INDEX(rMed,3426),NA()))</f>
        <v>#N/A</v>
      </c>
    </row>
    <row r="3429">
      <c r="BX3429" t="e">
        <f>IF(OR(cMed=0,cMed2=0,3427&gt;nFilas),NA(),IF(AND(ISNUMBER(INDEX(rMed2,3427)),ISNUMBER(INDEX(rMed,3427))),INDEX(rMed2,3427),NA()))</f>
        <v>#N/A</v>
      </c>
      <c r="BY3429" t="e">
        <f>IF(OR(cMed=0,cMed2=0,3427&gt;nFilas),NA(),IF(AND(ISNUMBER(INDEX(rMed2,3427)),ISNUMBER(INDEX(rMed,3427))),INDEX(rMed,3427),NA()))</f>
        <v>#N/A</v>
      </c>
    </row>
    <row r="3430">
      <c r="BX3430" t="e">
        <f>IF(OR(cMed=0,cMed2=0,3428&gt;nFilas),NA(),IF(AND(ISNUMBER(INDEX(rMed2,3428)),ISNUMBER(INDEX(rMed,3428))),INDEX(rMed2,3428),NA()))</f>
        <v>#N/A</v>
      </c>
      <c r="BY3430" t="e">
        <f>IF(OR(cMed=0,cMed2=0,3428&gt;nFilas),NA(),IF(AND(ISNUMBER(INDEX(rMed2,3428)),ISNUMBER(INDEX(rMed,3428))),INDEX(rMed,3428),NA()))</f>
        <v>#N/A</v>
      </c>
    </row>
    <row r="3431">
      <c r="BX3431" t="e">
        <f>IF(OR(cMed=0,cMed2=0,3429&gt;nFilas),NA(),IF(AND(ISNUMBER(INDEX(rMed2,3429)),ISNUMBER(INDEX(rMed,3429))),INDEX(rMed2,3429),NA()))</f>
        <v>#N/A</v>
      </c>
      <c r="BY3431" t="e">
        <f>IF(OR(cMed=0,cMed2=0,3429&gt;nFilas),NA(),IF(AND(ISNUMBER(INDEX(rMed2,3429)),ISNUMBER(INDEX(rMed,3429))),INDEX(rMed,3429),NA()))</f>
        <v>#N/A</v>
      </c>
    </row>
    <row r="3432">
      <c r="BX3432" t="e">
        <f>IF(OR(cMed=0,cMed2=0,3430&gt;nFilas),NA(),IF(AND(ISNUMBER(INDEX(rMed2,3430)),ISNUMBER(INDEX(rMed,3430))),INDEX(rMed2,3430),NA()))</f>
        <v>#N/A</v>
      </c>
      <c r="BY3432" t="e">
        <f>IF(OR(cMed=0,cMed2=0,3430&gt;nFilas),NA(),IF(AND(ISNUMBER(INDEX(rMed2,3430)),ISNUMBER(INDEX(rMed,3430))),INDEX(rMed,3430),NA()))</f>
        <v>#N/A</v>
      </c>
    </row>
    <row r="3433">
      <c r="BX3433" t="e">
        <f>IF(OR(cMed=0,cMed2=0,3431&gt;nFilas),NA(),IF(AND(ISNUMBER(INDEX(rMed2,3431)),ISNUMBER(INDEX(rMed,3431))),INDEX(rMed2,3431),NA()))</f>
        <v>#N/A</v>
      </c>
      <c r="BY3433" t="e">
        <f>IF(OR(cMed=0,cMed2=0,3431&gt;nFilas),NA(),IF(AND(ISNUMBER(INDEX(rMed2,3431)),ISNUMBER(INDEX(rMed,3431))),INDEX(rMed,3431),NA()))</f>
        <v>#N/A</v>
      </c>
    </row>
    <row r="3434">
      <c r="BX3434" t="e">
        <f>IF(OR(cMed=0,cMed2=0,3432&gt;nFilas),NA(),IF(AND(ISNUMBER(INDEX(rMed2,3432)),ISNUMBER(INDEX(rMed,3432))),INDEX(rMed2,3432),NA()))</f>
        <v>#N/A</v>
      </c>
      <c r="BY3434" t="e">
        <f>IF(OR(cMed=0,cMed2=0,3432&gt;nFilas),NA(),IF(AND(ISNUMBER(INDEX(rMed2,3432)),ISNUMBER(INDEX(rMed,3432))),INDEX(rMed,3432),NA()))</f>
        <v>#N/A</v>
      </c>
    </row>
    <row r="3435">
      <c r="BX3435" t="e">
        <f>IF(OR(cMed=0,cMed2=0,3433&gt;nFilas),NA(),IF(AND(ISNUMBER(INDEX(rMed2,3433)),ISNUMBER(INDEX(rMed,3433))),INDEX(rMed2,3433),NA()))</f>
        <v>#N/A</v>
      </c>
      <c r="BY3435" t="e">
        <f>IF(OR(cMed=0,cMed2=0,3433&gt;nFilas),NA(),IF(AND(ISNUMBER(INDEX(rMed2,3433)),ISNUMBER(INDEX(rMed,3433))),INDEX(rMed,3433),NA()))</f>
        <v>#N/A</v>
      </c>
    </row>
    <row r="3436">
      <c r="BX3436" t="e">
        <f>IF(OR(cMed=0,cMed2=0,3434&gt;nFilas),NA(),IF(AND(ISNUMBER(INDEX(rMed2,3434)),ISNUMBER(INDEX(rMed,3434))),INDEX(rMed2,3434),NA()))</f>
        <v>#N/A</v>
      </c>
      <c r="BY3436" t="e">
        <f>IF(OR(cMed=0,cMed2=0,3434&gt;nFilas),NA(),IF(AND(ISNUMBER(INDEX(rMed2,3434)),ISNUMBER(INDEX(rMed,3434))),INDEX(rMed,3434),NA()))</f>
        <v>#N/A</v>
      </c>
    </row>
    <row r="3437">
      <c r="BX3437" t="e">
        <f>IF(OR(cMed=0,cMed2=0,3435&gt;nFilas),NA(),IF(AND(ISNUMBER(INDEX(rMed2,3435)),ISNUMBER(INDEX(rMed,3435))),INDEX(rMed2,3435),NA()))</f>
        <v>#N/A</v>
      </c>
      <c r="BY3437" t="e">
        <f>IF(OR(cMed=0,cMed2=0,3435&gt;nFilas),NA(),IF(AND(ISNUMBER(INDEX(rMed2,3435)),ISNUMBER(INDEX(rMed,3435))),INDEX(rMed,3435),NA()))</f>
        <v>#N/A</v>
      </c>
    </row>
    <row r="3438">
      <c r="BX3438" t="e">
        <f>IF(OR(cMed=0,cMed2=0,3436&gt;nFilas),NA(),IF(AND(ISNUMBER(INDEX(rMed2,3436)),ISNUMBER(INDEX(rMed,3436))),INDEX(rMed2,3436),NA()))</f>
        <v>#N/A</v>
      </c>
      <c r="BY3438" t="e">
        <f>IF(OR(cMed=0,cMed2=0,3436&gt;nFilas),NA(),IF(AND(ISNUMBER(INDEX(rMed2,3436)),ISNUMBER(INDEX(rMed,3436))),INDEX(rMed,3436),NA()))</f>
        <v>#N/A</v>
      </c>
    </row>
    <row r="3439">
      <c r="BX3439" t="e">
        <f>IF(OR(cMed=0,cMed2=0,3437&gt;nFilas),NA(),IF(AND(ISNUMBER(INDEX(rMed2,3437)),ISNUMBER(INDEX(rMed,3437))),INDEX(rMed2,3437),NA()))</f>
        <v>#N/A</v>
      </c>
      <c r="BY3439" t="e">
        <f>IF(OR(cMed=0,cMed2=0,3437&gt;nFilas),NA(),IF(AND(ISNUMBER(INDEX(rMed2,3437)),ISNUMBER(INDEX(rMed,3437))),INDEX(rMed,3437),NA()))</f>
        <v>#N/A</v>
      </c>
    </row>
    <row r="3440">
      <c r="BX3440" t="e">
        <f>IF(OR(cMed=0,cMed2=0,3438&gt;nFilas),NA(),IF(AND(ISNUMBER(INDEX(rMed2,3438)),ISNUMBER(INDEX(rMed,3438))),INDEX(rMed2,3438),NA()))</f>
        <v>#N/A</v>
      </c>
      <c r="BY3440" t="e">
        <f>IF(OR(cMed=0,cMed2=0,3438&gt;nFilas),NA(),IF(AND(ISNUMBER(INDEX(rMed2,3438)),ISNUMBER(INDEX(rMed,3438))),INDEX(rMed,3438),NA()))</f>
        <v>#N/A</v>
      </c>
    </row>
    <row r="3441">
      <c r="BX3441" t="e">
        <f>IF(OR(cMed=0,cMed2=0,3439&gt;nFilas),NA(),IF(AND(ISNUMBER(INDEX(rMed2,3439)),ISNUMBER(INDEX(rMed,3439))),INDEX(rMed2,3439),NA()))</f>
        <v>#N/A</v>
      </c>
      <c r="BY3441" t="e">
        <f>IF(OR(cMed=0,cMed2=0,3439&gt;nFilas),NA(),IF(AND(ISNUMBER(INDEX(rMed2,3439)),ISNUMBER(INDEX(rMed,3439))),INDEX(rMed,3439),NA()))</f>
        <v>#N/A</v>
      </c>
    </row>
    <row r="3442">
      <c r="BX3442" t="e">
        <f>IF(OR(cMed=0,cMed2=0,3440&gt;nFilas),NA(),IF(AND(ISNUMBER(INDEX(rMed2,3440)),ISNUMBER(INDEX(rMed,3440))),INDEX(rMed2,3440),NA()))</f>
        <v>#N/A</v>
      </c>
      <c r="BY3442" t="e">
        <f>IF(OR(cMed=0,cMed2=0,3440&gt;nFilas),NA(),IF(AND(ISNUMBER(INDEX(rMed2,3440)),ISNUMBER(INDEX(rMed,3440))),INDEX(rMed,3440),NA()))</f>
        <v>#N/A</v>
      </c>
    </row>
    <row r="3443">
      <c r="BX3443" t="e">
        <f>IF(OR(cMed=0,cMed2=0,3441&gt;nFilas),NA(),IF(AND(ISNUMBER(INDEX(rMed2,3441)),ISNUMBER(INDEX(rMed,3441))),INDEX(rMed2,3441),NA()))</f>
        <v>#N/A</v>
      </c>
      <c r="BY3443" t="e">
        <f>IF(OR(cMed=0,cMed2=0,3441&gt;nFilas),NA(),IF(AND(ISNUMBER(INDEX(rMed2,3441)),ISNUMBER(INDEX(rMed,3441))),INDEX(rMed,3441),NA()))</f>
        <v>#N/A</v>
      </c>
    </row>
    <row r="3444">
      <c r="BX3444" t="e">
        <f>IF(OR(cMed=0,cMed2=0,3442&gt;nFilas),NA(),IF(AND(ISNUMBER(INDEX(rMed2,3442)),ISNUMBER(INDEX(rMed,3442))),INDEX(rMed2,3442),NA()))</f>
        <v>#N/A</v>
      </c>
      <c r="BY3444" t="e">
        <f>IF(OR(cMed=0,cMed2=0,3442&gt;nFilas),NA(),IF(AND(ISNUMBER(INDEX(rMed2,3442)),ISNUMBER(INDEX(rMed,3442))),INDEX(rMed,3442),NA()))</f>
        <v>#N/A</v>
      </c>
    </row>
    <row r="3445">
      <c r="BX3445" t="e">
        <f>IF(OR(cMed=0,cMed2=0,3443&gt;nFilas),NA(),IF(AND(ISNUMBER(INDEX(rMed2,3443)),ISNUMBER(INDEX(rMed,3443))),INDEX(rMed2,3443),NA()))</f>
        <v>#N/A</v>
      </c>
      <c r="BY3445" t="e">
        <f>IF(OR(cMed=0,cMed2=0,3443&gt;nFilas),NA(),IF(AND(ISNUMBER(INDEX(rMed2,3443)),ISNUMBER(INDEX(rMed,3443))),INDEX(rMed,3443),NA()))</f>
        <v>#N/A</v>
      </c>
    </row>
    <row r="3446">
      <c r="BX3446" t="e">
        <f>IF(OR(cMed=0,cMed2=0,3444&gt;nFilas),NA(),IF(AND(ISNUMBER(INDEX(rMed2,3444)),ISNUMBER(INDEX(rMed,3444))),INDEX(rMed2,3444),NA()))</f>
        <v>#N/A</v>
      </c>
      <c r="BY3446" t="e">
        <f>IF(OR(cMed=0,cMed2=0,3444&gt;nFilas),NA(),IF(AND(ISNUMBER(INDEX(rMed2,3444)),ISNUMBER(INDEX(rMed,3444))),INDEX(rMed,3444),NA()))</f>
        <v>#N/A</v>
      </c>
    </row>
    <row r="3447">
      <c r="BX3447" t="e">
        <f>IF(OR(cMed=0,cMed2=0,3445&gt;nFilas),NA(),IF(AND(ISNUMBER(INDEX(rMed2,3445)),ISNUMBER(INDEX(rMed,3445))),INDEX(rMed2,3445),NA()))</f>
        <v>#N/A</v>
      </c>
      <c r="BY3447" t="e">
        <f>IF(OR(cMed=0,cMed2=0,3445&gt;nFilas),NA(),IF(AND(ISNUMBER(INDEX(rMed2,3445)),ISNUMBER(INDEX(rMed,3445))),INDEX(rMed,3445),NA()))</f>
        <v>#N/A</v>
      </c>
    </row>
    <row r="3448">
      <c r="BX3448" t="e">
        <f>IF(OR(cMed=0,cMed2=0,3446&gt;nFilas),NA(),IF(AND(ISNUMBER(INDEX(rMed2,3446)),ISNUMBER(INDEX(rMed,3446))),INDEX(rMed2,3446),NA()))</f>
        <v>#N/A</v>
      </c>
      <c r="BY3448" t="e">
        <f>IF(OR(cMed=0,cMed2=0,3446&gt;nFilas),NA(),IF(AND(ISNUMBER(INDEX(rMed2,3446)),ISNUMBER(INDEX(rMed,3446))),INDEX(rMed,3446),NA()))</f>
        <v>#N/A</v>
      </c>
    </row>
    <row r="3449">
      <c r="BX3449" t="e">
        <f>IF(OR(cMed=0,cMed2=0,3447&gt;nFilas),NA(),IF(AND(ISNUMBER(INDEX(rMed2,3447)),ISNUMBER(INDEX(rMed,3447))),INDEX(rMed2,3447),NA()))</f>
        <v>#N/A</v>
      </c>
      <c r="BY3449" t="e">
        <f>IF(OR(cMed=0,cMed2=0,3447&gt;nFilas),NA(),IF(AND(ISNUMBER(INDEX(rMed2,3447)),ISNUMBER(INDEX(rMed,3447))),INDEX(rMed,3447),NA()))</f>
        <v>#N/A</v>
      </c>
    </row>
    <row r="3450">
      <c r="BX3450" t="e">
        <f>IF(OR(cMed=0,cMed2=0,3448&gt;nFilas),NA(),IF(AND(ISNUMBER(INDEX(rMed2,3448)),ISNUMBER(INDEX(rMed,3448))),INDEX(rMed2,3448),NA()))</f>
        <v>#N/A</v>
      </c>
      <c r="BY3450" t="e">
        <f>IF(OR(cMed=0,cMed2=0,3448&gt;nFilas),NA(),IF(AND(ISNUMBER(INDEX(rMed2,3448)),ISNUMBER(INDEX(rMed,3448))),INDEX(rMed,3448),NA()))</f>
        <v>#N/A</v>
      </c>
    </row>
    <row r="3451">
      <c r="BX3451" t="e">
        <f>IF(OR(cMed=0,cMed2=0,3449&gt;nFilas),NA(),IF(AND(ISNUMBER(INDEX(rMed2,3449)),ISNUMBER(INDEX(rMed,3449))),INDEX(rMed2,3449),NA()))</f>
        <v>#N/A</v>
      </c>
      <c r="BY3451" t="e">
        <f>IF(OR(cMed=0,cMed2=0,3449&gt;nFilas),NA(),IF(AND(ISNUMBER(INDEX(rMed2,3449)),ISNUMBER(INDEX(rMed,3449))),INDEX(rMed,3449),NA()))</f>
        <v>#N/A</v>
      </c>
    </row>
    <row r="3452">
      <c r="BX3452" t="e">
        <f>IF(OR(cMed=0,cMed2=0,3450&gt;nFilas),NA(),IF(AND(ISNUMBER(INDEX(rMed2,3450)),ISNUMBER(INDEX(rMed,3450))),INDEX(rMed2,3450),NA()))</f>
        <v>#N/A</v>
      </c>
      <c r="BY3452" t="e">
        <f>IF(OR(cMed=0,cMed2=0,3450&gt;nFilas),NA(),IF(AND(ISNUMBER(INDEX(rMed2,3450)),ISNUMBER(INDEX(rMed,3450))),INDEX(rMed,3450),NA()))</f>
        <v>#N/A</v>
      </c>
    </row>
    <row r="3453">
      <c r="BX3453" t="e">
        <f>IF(OR(cMed=0,cMed2=0,3451&gt;nFilas),NA(),IF(AND(ISNUMBER(INDEX(rMed2,3451)),ISNUMBER(INDEX(rMed,3451))),INDEX(rMed2,3451),NA()))</f>
        <v>#N/A</v>
      </c>
      <c r="BY3453" t="e">
        <f>IF(OR(cMed=0,cMed2=0,3451&gt;nFilas),NA(),IF(AND(ISNUMBER(INDEX(rMed2,3451)),ISNUMBER(INDEX(rMed,3451))),INDEX(rMed,3451),NA()))</f>
        <v>#N/A</v>
      </c>
    </row>
    <row r="3454">
      <c r="BX3454" t="e">
        <f>IF(OR(cMed=0,cMed2=0,3452&gt;nFilas),NA(),IF(AND(ISNUMBER(INDEX(rMed2,3452)),ISNUMBER(INDEX(rMed,3452))),INDEX(rMed2,3452),NA()))</f>
        <v>#N/A</v>
      </c>
      <c r="BY3454" t="e">
        <f>IF(OR(cMed=0,cMed2=0,3452&gt;nFilas),NA(),IF(AND(ISNUMBER(INDEX(rMed2,3452)),ISNUMBER(INDEX(rMed,3452))),INDEX(rMed,3452),NA()))</f>
        <v>#N/A</v>
      </c>
    </row>
    <row r="3455">
      <c r="BX3455" t="e">
        <f>IF(OR(cMed=0,cMed2=0,3453&gt;nFilas),NA(),IF(AND(ISNUMBER(INDEX(rMed2,3453)),ISNUMBER(INDEX(rMed,3453))),INDEX(rMed2,3453),NA()))</f>
        <v>#N/A</v>
      </c>
      <c r="BY3455" t="e">
        <f>IF(OR(cMed=0,cMed2=0,3453&gt;nFilas),NA(),IF(AND(ISNUMBER(INDEX(rMed2,3453)),ISNUMBER(INDEX(rMed,3453))),INDEX(rMed,3453),NA()))</f>
        <v>#N/A</v>
      </c>
    </row>
    <row r="3456">
      <c r="BX3456" t="e">
        <f>IF(OR(cMed=0,cMed2=0,3454&gt;nFilas),NA(),IF(AND(ISNUMBER(INDEX(rMed2,3454)),ISNUMBER(INDEX(rMed,3454))),INDEX(rMed2,3454),NA()))</f>
        <v>#N/A</v>
      </c>
      <c r="BY3456" t="e">
        <f>IF(OR(cMed=0,cMed2=0,3454&gt;nFilas),NA(),IF(AND(ISNUMBER(INDEX(rMed2,3454)),ISNUMBER(INDEX(rMed,3454))),INDEX(rMed,3454),NA()))</f>
        <v>#N/A</v>
      </c>
    </row>
    <row r="3457">
      <c r="BX3457" t="e">
        <f>IF(OR(cMed=0,cMed2=0,3455&gt;nFilas),NA(),IF(AND(ISNUMBER(INDEX(rMed2,3455)),ISNUMBER(INDEX(rMed,3455))),INDEX(rMed2,3455),NA()))</f>
        <v>#N/A</v>
      </c>
      <c r="BY3457" t="e">
        <f>IF(OR(cMed=0,cMed2=0,3455&gt;nFilas),NA(),IF(AND(ISNUMBER(INDEX(rMed2,3455)),ISNUMBER(INDEX(rMed,3455))),INDEX(rMed,3455),NA()))</f>
        <v>#N/A</v>
      </c>
    </row>
    <row r="3458">
      <c r="BX3458" t="e">
        <f>IF(OR(cMed=0,cMed2=0,3456&gt;nFilas),NA(),IF(AND(ISNUMBER(INDEX(rMed2,3456)),ISNUMBER(INDEX(rMed,3456))),INDEX(rMed2,3456),NA()))</f>
        <v>#N/A</v>
      </c>
      <c r="BY3458" t="e">
        <f>IF(OR(cMed=0,cMed2=0,3456&gt;nFilas),NA(),IF(AND(ISNUMBER(INDEX(rMed2,3456)),ISNUMBER(INDEX(rMed,3456))),INDEX(rMed,3456),NA()))</f>
        <v>#N/A</v>
      </c>
    </row>
    <row r="3459">
      <c r="BX3459" t="e">
        <f>IF(OR(cMed=0,cMed2=0,3457&gt;nFilas),NA(),IF(AND(ISNUMBER(INDEX(rMed2,3457)),ISNUMBER(INDEX(rMed,3457))),INDEX(rMed2,3457),NA()))</f>
        <v>#N/A</v>
      </c>
      <c r="BY3459" t="e">
        <f>IF(OR(cMed=0,cMed2=0,3457&gt;nFilas),NA(),IF(AND(ISNUMBER(INDEX(rMed2,3457)),ISNUMBER(INDEX(rMed,3457))),INDEX(rMed,3457),NA()))</f>
        <v>#N/A</v>
      </c>
    </row>
    <row r="3460">
      <c r="BX3460" t="e">
        <f>IF(OR(cMed=0,cMed2=0,3458&gt;nFilas),NA(),IF(AND(ISNUMBER(INDEX(rMed2,3458)),ISNUMBER(INDEX(rMed,3458))),INDEX(rMed2,3458),NA()))</f>
        <v>#N/A</v>
      </c>
      <c r="BY3460" t="e">
        <f>IF(OR(cMed=0,cMed2=0,3458&gt;nFilas),NA(),IF(AND(ISNUMBER(INDEX(rMed2,3458)),ISNUMBER(INDEX(rMed,3458))),INDEX(rMed,3458),NA()))</f>
        <v>#N/A</v>
      </c>
    </row>
    <row r="3461">
      <c r="BX3461" t="e">
        <f>IF(OR(cMed=0,cMed2=0,3459&gt;nFilas),NA(),IF(AND(ISNUMBER(INDEX(rMed2,3459)),ISNUMBER(INDEX(rMed,3459))),INDEX(rMed2,3459),NA()))</f>
        <v>#N/A</v>
      </c>
      <c r="BY3461" t="e">
        <f>IF(OR(cMed=0,cMed2=0,3459&gt;nFilas),NA(),IF(AND(ISNUMBER(INDEX(rMed2,3459)),ISNUMBER(INDEX(rMed,3459))),INDEX(rMed,3459),NA()))</f>
        <v>#N/A</v>
      </c>
    </row>
    <row r="3462">
      <c r="BX3462" t="e">
        <f>IF(OR(cMed=0,cMed2=0,3460&gt;nFilas),NA(),IF(AND(ISNUMBER(INDEX(rMed2,3460)),ISNUMBER(INDEX(rMed,3460))),INDEX(rMed2,3460),NA()))</f>
        <v>#N/A</v>
      </c>
      <c r="BY3462" t="e">
        <f>IF(OR(cMed=0,cMed2=0,3460&gt;nFilas),NA(),IF(AND(ISNUMBER(INDEX(rMed2,3460)),ISNUMBER(INDEX(rMed,3460))),INDEX(rMed,3460),NA()))</f>
        <v>#N/A</v>
      </c>
    </row>
    <row r="3463">
      <c r="BX3463" t="e">
        <f>IF(OR(cMed=0,cMed2=0,3461&gt;nFilas),NA(),IF(AND(ISNUMBER(INDEX(rMed2,3461)),ISNUMBER(INDEX(rMed,3461))),INDEX(rMed2,3461),NA()))</f>
        <v>#N/A</v>
      </c>
      <c r="BY3463" t="e">
        <f>IF(OR(cMed=0,cMed2=0,3461&gt;nFilas),NA(),IF(AND(ISNUMBER(INDEX(rMed2,3461)),ISNUMBER(INDEX(rMed,3461))),INDEX(rMed,3461),NA()))</f>
        <v>#N/A</v>
      </c>
    </row>
    <row r="3464">
      <c r="BX3464" t="e">
        <f>IF(OR(cMed=0,cMed2=0,3462&gt;nFilas),NA(),IF(AND(ISNUMBER(INDEX(rMed2,3462)),ISNUMBER(INDEX(rMed,3462))),INDEX(rMed2,3462),NA()))</f>
        <v>#N/A</v>
      </c>
      <c r="BY3464" t="e">
        <f>IF(OR(cMed=0,cMed2=0,3462&gt;nFilas),NA(),IF(AND(ISNUMBER(INDEX(rMed2,3462)),ISNUMBER(INDEX(rMed,3462))),INDEX(rMed,3462),NA()))</f>
        <v>#N/A</v>
      </c>
    </row>
    <row r="3465">
      <c r="BX3465" t="e">
        <f>IF(OR(cMed=0,cMed2=0,3463&gt;nFilas),NA(),IF(AND(ISNUMBER(INDEX(rMed2,3463)),ISNUMBER(INDEX(rMed,3463))),INDEX(rMed2,3463),NA()))</f>
        <v>#N/A</v>
      </c>
      <c r="BY3465" t="e">
        <f>IF(OR(cMed=0,cMed2=0,3463&gt;nFilas),NA(),IF(AND(ISNUMBER(INDEX(rMed2,3463)),ISNUMBER(INDEX(rMed,3463))),INDEX(rMed,3463),NA()))</f>
        <v>#N/A</v>
      </c>
    </row>
    <row r="3466">
      <c r="BX3466" t="e">
        <f>IF(OR(cMed=0,cMed2=0,3464&gt;nFilas),NA(),IF(AND(ISNUMBER(INDEX(rMed2,3464)),ISNUMBER(INDEX(rMed,3464))),INDEX(rMed2,3464),NA()))</f>
        <v>#N/A</v>
      </c>
      <c r="BY3466" t="e">
        <f>IF(OR(cMed=0,cMed2=0,3464&gt;nFilas),NA(),IF(AND(ISNUMBER(INDEX(rMed2,3464)),ISNUMBER(INDEX(rMed,3464))),INDEX(rMed,3464),NA()))</f>
        <v>#N/A</v>
      </c>
    </row>
    <row r="3467">
      <c r="BX3467" t="e">
        <f>IF(OR(cMed=0,cMed2=0,3465&gt;nFilas),NA(),IF(AND(ISNUMBER(INDEX(rMed2,3465)),ISNUMBER(INDEX(rMed,3465))),INDEX(rMed2,3465),NA()))</f>
        <v>#N/A</v>
      </c>
      <c r="BY3467" t="e">
        <f>IF(OR(cMed=0,cMed2=0,3465&gt;nFilas),NA(),IF(AND(ISNUMBER(INDEX(rMed2,3465)),ISNUMBER(INDEX(rMed,3465))),INDEX(rMed,3465),NA()))</f>
        <v>#N/A</v>
      </c>
    </row>
    <row r="3468">
      <c r="BX3468" t="e">
        <f>IF(OR(cMed=0,cMed2=0,3466&gt;nFilas),NA(),IF(AND(ISNUMBER(INDEX(rMed2,3466)),ISNUMBER(INDEX(rMed,3466))),INDEX(rMed2,3466),NA()))</f>
        <v>#N/A</v>
      </c>
      <c r="BY3468" t="e">
        <f>IF(OR(cMed=0,cMed2=0,3466&gt;nFilas),NA(),IF(AND(ISNUMBER(INDEX(rMed2,3466)),ISNUMBER(INDEX(rMed,3466))),INDEX(rMed,3466),NA()))</f>
        <v>#N/A</v>
      </c>
    </row>
    <row r="3469">
      <c r="BX3469" t="e">
        <f>IF(OR(cMed=0,cMed2=0,3467&gt;nFilas),NA(),IF(AND(ISNUMBER(INDEX(rMed2,3467)),ISNUMBER(INDEX(rMed,3467))),INDEX(rMed2,3467),NA()))</f>
        <v>#N/A</v>
      </c>
      <c r="BY3469" t="e">
        <f>IF(OR(cMed=0,cMed2=0,3467&gt;nFilas),NA(),IF(AND(ISNUMBER(INDEX(rMed2,3467)),ISNUMBER(INDEX(rMed,3467))),INDEX(rMed,3467),NA()))</f>
        <v>#N/A</v>
      </c>
    </row>
    <row r="3470">
      <c r="BX3470" t="e">
        <f>IF(OR(cMed=0,cMed2=0,3468&gt;nFilas),NA(),IF(AND(ISNUMBER(INDEX(rMed2,3468)),ISNUMBER(INDEX(rMed,3468))),INDEX(rMed2,3468),NA()))</f>
        <v>#N/A</v>
      </c>
      <c r="BY3470" t="e">
        <f>IF(OR(cMed=0,cMed2=0,3468&gt;nFilas),NA(),IF(AND(ISNUMBER(INDEX(rMed2,3468)),ISNUMBER(INDEX(rMed,3468))),INDEX(rMed,3468),NA()))</f>
        <v>#N/A</v>
      </c>
    </row>
    <row r="3471">
      <c r="BX3471" t="e">
        <f>IF(OR(cMed=0,cMed2=0,3469&gt;nFilas),NA(),IF(AND(ISNUMBER(INDEX(rMed2,3469)),ISNUMBER(INDEX(rMed,3469))),INDEX(rMed2,3469),NA()))</f>
        <v>#N/A</v>
      </c>
      <c r="BY3471" t="e">
        <f>IF(OR(cMed=0,cMed2=0,3469&gt;nFilas),NA(),IF(AND(ISNUMBER(INDEX(rMed2,3469)),ISNUMBER(INDEX(rMed,3469))),INDEX(rMed,3469),NA()))</f>
        <v>#N/A</v>
      </c>
    </row>
    <row r="3472">
      <c r="BX3472" t="e">
        <f>IF(OR(cMed=0,cMed2=0,3470&gt;nFilas),NA(),IF(AND(ISNUMBER(INDEX(rMed2,3470)),ISNUMBER(INDEX(rMed,3470))),INDEX(rMed2,3470),NA()))</f>
        <v>#N/A</v>
      </c>
      <c r="BY3472" t="e">
        <f>IF(OR(cMed=0,cMed2=0,3470&gt;nFilas),NA(),IF(AND(ISNUMBER(INDEX(rMed2,3470)),ISNUMBER(INDEX(rMed,3470))),INDEX(rMed,3470),NA()))</f>
        <v>#N/A</v>
      </c>
    </row>
    <row r="3473">
      <c r="BX3473" t="e">
        <f>IF(OR(cMed=0,cMed2=0,3471&gt;nFilas),NA(),IF(AND(ISNUMBER(INDEX(rMed2,3471)),ISNUMBER(INDEX(rMed,3471))),INDEX(rMed2,3471),NA()))</f>
        <v>#N/A</v>
      </c>
      <c r="BY3473" t="e">
        <f>IF(OR(cMed=0,cMed2=0,3471&gt;nFilas),NA(),IF(AND(ISNUMBER(INDEX(rMed2,3471)),ISNUMBER(INDEX(rMed,3471))),INDEX(rMed,3471),NA()))</f>
        <v>#N/A</v>
      </c>
    </row>
    <row r="3474">
      <c r="BX3474" t="e">
        <f>IF(OR(cMed=0,cMed2=0,3472&gt;nFilas),NA(),IF(AND(ISNUMBER(INDEX(rMed2,3472)),ISNUMBER(INDEX(rMed,3472))),INDEX(rMed2,3472),NA()))</f>
        <v>#N/A</v>
      </c>
      <c r="BY3474" t="e">
        <f>IF(OR(cMed=0,cMed2=0,3472&gt;nFilas),NA(),IF(AND(ISNUMBER(INDEX(rMed2,3472)),ISNUMBER(INDEX(rMed,3472))),INDEX(rMed,3472),NA()))</f>
        <v>#N/A</v>
      </c>
    </row>
    <row r="3475">
      <c r="BX3475" t="e">
        <f>IF(OR(cMed=0,cMed2=0,3473&gt;nFilas),NA(),IF(AND(ISNUMBER(INDEX(rMed2,3473)),ISNUMBER(INDEX(rMed,3473))),INDEX(rMed2,3473),NA()))</f>
        <v>#N/A</v>
      </c>
      <c r="BY3475" t="e">
        <f>IF(OR(cMed=0,cMed2=0,3473&gt;nFilas),NA(),IF(AND(ISNUMBER(INDEX(rMed2,3473)),ISNUMBER(INDEX(rMed,3473))),INDEX(rMed,3473),NA()))</f>
        <v>#N/A</v>
      </c>
    </row>
    <row r="3476">
      <c r="BX3476" t="e">
        <f>IF(OR(cMed=0,cMed2=0,3474&gt;nFilas),NA(),IF(AND(ISNUMBER(INDEX(rMed2,3474)),ISNUMBER(INDEX(rMed,3474))),INDEX(rMed2,3474),NA()))</f>
        <v>#N/A</v>
      </c>
      <c r="BY3476" t="e">
        <f>IF(OR(cMed=0,cMed2=0,3474&gt;nFilas),NA(),IF(AND(ISNUMBER(INDEX(rMed2,3474)),ISNUMBER(INDEX(rMed,3474))),INDEX(rMed,3474),NA()))</f>
        <v>#N/A</v>
      </c>
    </row>
    <row r="3477">
      <c r="BX3477" t="e">
        <f>IF(OR(cMed=0,cMed2=0,3475&gt;nFilas),NA(),IF(AND(ISNUMBER(INDEX(rMed2,3475)),ISNUMBER(INDEX(rMed,3475))),INDEX(rMed2,3475),NA()))</f>
        <v>#N/A</v>
      </c>
      <c r="BY3477" t="e">
        <f>IF(OR(cMed=0,cMed2=0,3475&gt;nFilas),NA(),IF(AND(ISNUMBER(INDEX(rMed2,3475)),ISNUMBER(INDEX(rMed,3475))),INDEX(rMed,3475),NA()))</f>
        <v>#N/A</v>
      </c>
    </row>
    <row r="3478">
      <c r="BX3478" t="e">
        <f>IF(OR(cMed=0,cMed2=0,3476&gt;nFilas),NA(),IF(AND(ISNUMBER(INDEX(rMed2,3476)),ISNUMBER(INDEX(rMed,3476))),INDEX(rMed2,3476),NA()))</f>
        <v>#N/A</v>
      </c>
      <c r="BY3478" t="e">
        <f>IF(OR(cMed=0,cMed2=0,3476&gt;nFilas),NA(),IF(AND(ISNUMBER(INDEX(rMed2,3476)),ISNUMBER(INDEX(rMed,3476))),INDEX(rMed,3476),NA()))</f>
        <v>#N/A</v>
      </c>
    </row>
    <row r="3479">
      <c r="BX3479" t="e">
        <f>IF(OR(cMed=0,cMed2=0,3477&gt;nFilas),NA(),IF(AND(ISNUMBER(INDEX(rMed2,3477)),ISNUMBER(INDEX(rMed,3477))),INDEX(rMed2,3477),NA()))</f>
        <v>#N/A</v>
      </c>
      <c r="BY3479" t="e">
        <f>IF(OR(cMed=0,cMed2=0,3477&gt;nFilas),NA(),IF(AND(ISNUMBER(INDEX(rMed2,3477)),ISNUMBER(INDEX(rMed,3477))),INDEX(rMed,3477),NA()))</f>
        <v>#N/A</v>
      </c>
    </row>
    <row r="3480">
      <c r="BX3480" t="e">
        <f>IF(OR(cMed=0,cMed2=0,3478&gt;nFilas),NA(),IF(AND(ISNUMBER(INDEX(rMed2,3478)),ISNUMBER(INDEX(rMed,3478))),INDEX(rMed2,3478),NA()))</f>
        <v>#N/A</v>
      </c>
      <c r="BY3480" t="e">
        <f>IF(OR(cMed=0,cMed2=0,3478&gt;nFilas),NA(),IF(AND(ISNUMBER(INDEX(rMed2,3478)),ISNUMBER(INDEX(rMed,3478))),INDEX(rMed,3478),NA()))</f>
        <v>#N/A</v>
      </c>
    </row>
    <row r="3481">
      <c r="BX3481" t="e">
        <f>IF(OR(cMed=0,cMed2=0,3479&gt;nFilas),NA(),IF(AND(ISNUMBER(INDEX(rMed2,3479)),ISNUMBER(INDEX(rMed,3479))),INDEX(rMed2,3479),NA()))</f>
        <v>#N/A</v>
      </c>
      <c r="BY3481" t="e">
        <f>IF(OR(cMed=0,cMed2=0,3479&gt;nFilas),NA(),IF(AND(ISNUMBER(INDEX(rMed2,3479)),ISNUMBER(INDEX(rMed,3479))),INDEX(rMed,3479),NA()))</f>
        <v>#N/A</v>
      </c>
    </row>
    <row r="3482">
      <c r="BX3482" t="e">
        <f>IF(OR(cMed=0,cMed2=0,3480&gt;nFilas),NA(),IF(AND(ISNUMBER(INDEX(rMed2,3480)),ISNUMBER(INDEX(rMed,3480))),INDEX(rMed2,3480),NA()))</f>
        <v>#N/A</v>
      </c>
      <c r="BY3482" t="e">
        <f>IF(OR(cMed=0,cMed2=0,3480&gt;nFilas),NA(),IF(AND(ISNUMBER(INDEX(rMed2,3480)),ISNUMBER(INDEX(rMed,3480))),INDEX(rMed,3480),NA()))</f>
        <v>#N/A</v>
      </c>
    </row>
    <row r="3483">
      <c r="BX3483" t="e">
        <f>IF(OR(cMed=0,cMed2=0,3481&gt;nFilas),NA(),IF(AND(ISNUMBER(INDEX(rMed2,3481)),ISNUMBER(INDEX(rMed,3481))),INDEX(rMed2,3481),NA()))</f>
        <v>#N/A</v>
      </c>
      <c r="BY3483" t="e">
        <f>IF(OR(cMed=0,cMed2=0,3481&gt;nFilas),NA(),IF(AND(ISNUMBER(INDEX(rMed2,3481)),ISNUMBER(INDEX(rMed,3481))),INDEX(rMed,3481),NA()))</f>
        <v>#N/A</v>
      </c>
    </row>
    <row r="3484">
      <c r="BX3484" t="e">
        <f>IF(OR(cMed=0,cMed2=0,3482&gt;nFilas),NA(),IF(AND(ISNUMBER(INDEX(rMed2,3482)),ISNUMBER(INDEX(rMed,3482))),INDEX(rMed2,3482),NA()))</f>
        <v>#N/A</v>
      </c>
      <c r="BY3484" t="e">
        <f>IF(OR(cMed=0,cMed2=0,3482&gt;nFilas),NA(),IF(AND(ISNUMBER(INDEX(rMed2,3482)),ISNUMBER(INDEX(rMed,3482))),INDEX(rMed,3482),NA()))</f>
        <v>#N/A</v>
      </c>
    </row>
    <row r="3485">
      <c r="BX3485" t="e">
        <f>IF(OR(cMed=0,cMed2=0,3483&gt;nFilas),NA(),IF(AND(ISNUMBER(INDEX(rMed2,3483)),ISNUMBER(INDEX(rMed,3483))),INDEX(rMed2,3483),NA()))</f>
        <v>#N/A</v>
      </c>
      <c r="BY3485" t="e">
        <f>IF(OR(cMed=0,cMed2=0,3483&gt;nFilas),NA(),IF(AND(ISNUMBER(INDEX(rMed2,3483)),ISNUMBER(INDEX(rMed,3483))),INDEX(rMed,3483),NA()))</f>
        <v>#N/A</v>
      </c>
    </row>
    <row r="3486">
      <c r="BX3486" t="e">
        <f>IF(OR(cMed=0,cMed2=0,3484&gt;nFilas),NA(),IF(AND(ISNUMBER(INDEX(rMed2,3484)),ISNUMBER(INDEX(rMed,3484))),INDEX(rMed2,3484),NA()))</f>
        <v>#N/A</v>
      </c>
      <c r="BY3486" t="e">
        <f>IF(OR(cMed=0,cMed2=0,3484&gt;nFilas),NA(),IF(AND(ISNUMBER(INDEX(rMed2,3484)),ISNUMBER(INDEX(rMed,3484))),INDEX(rMed,3484),NA()))</f>
        <v>#N/A</v>
      </c>
    </row>
    <row r="3487">
      <c r="BX3487" t="e">
        <f>IF(OR(cMed=0,cMed2=0,3485&gt;nFilas),NA(),IF(AND(ISNUMBER(INDEX(rMed2,3485)),ISNUMBER(INDEX(rMed,3485))),INDEX(rMed2,3485),NA()))</f>
        <v>#N/A</v>
      </c>
      <c r="BY3487" t="e">
        <f>IF(OR(cMed=0,cMed2=0,3485&gt;nFilas),NA(),IF(AND(ISNUMBER(INDEX(rMed2,3485)),ISNUMBER(INDEX(rMed,3485))),INDEX(rMed,3485),NA()))</f>
        <v>#N/A</v>
      </c>
    </row>
    <row r="3488">
      <c r="BX3488" t="e">
        <f>IF(OR(cMed=0,cMed2=0,3486&gt;nFilas),NA(),IF(AND(ISNUMBER(INDEX(rMed2,3486)),ISNUMBER(INDEX(rMed,3486))),INDEX(rMed2,3486),NA()))</f>
        <v>#N/A</v>
      </c>
      <c r="BY3488" t="e">
        <f>IF(OR(cMed=0,cMed2=0,3486&gt;nFilas),NA(),IF(AND(ISNUMBER(INDEX(rMed2,3486)),ISNUMBER(INDEX(rMed,3486))),INDEX(rMed,3486),NA()))</f>
        <v>#N/A</v>
      </c>
    </row>
    <row r="3489">
      <c r="BX3489" t="e">
        <f>IF(OR(cMed=0,cMed2=0,3487&gt;nFilas),NA(),IF(AND(ISNUMBER(INDEX(rMed2,3487)),ISNUMBER(INDEX(rMed,3487))),INDEX(rMed2,3487),NA()))</f>
        <v>#N/A</v>
      </c>
      <c r="BY3489" t="e">
        <f>IF(OR(cMed=0,cMed2=0,3487&gt;nFilas),NA(),IF(AND(ISNUMBER(INDEX(rMed2,3487)),ISNUMBER(INDEX(rMed,3487))),INDEX(rMed,3487),NA()))</f>
        <v>#N/A</v>
      </c>
    </row>
    <row r="3490">
      <c r="BX3490" t="e">
        <f>IF(OR(cMed=0,cMed2=0,3488&gt;nFilas),NA(),IF(AND(ISNUMBER(INDEX(rMed2,3488)),ISNUMBER(INDEX(rMed,3488))),INDEX(rMed2,3488),NA()))</f>
        <v>#N/A</v>
      </c>
      <c r="BY3490" t="e">
        <f>IF(OR(cMed=0,cMed2=0,3488&gt;nFilas),NA(),IF(AND(ISNUMBER(INDEX(rMed2,3488)),ISNUMBER(INDEX(rMed,3488))),INDEX(rMed,3488),NA()))</f>
        <v>#N/A</v>
      </c>
    </row>
    <row r="3491">
      <c r="BX3491" t="e">
        <f>IF(OR(cMed=0,cMed2=0,3489&gt;nFilas),NA(),IF(AND(ISNUMBER(INDEX(rMed2,3489)),ISNUMBER(INDEX(rMed,3489))),INDEX(rMed2,3489),NA()))</f>
        <v>#N/A</v>
      </c>
      <c r="BY3491" t="e">
        <f>IF(OR(cMed=0,cMed2=0,3489&gt;nFilas),NA(),IF(AND(ISNUMBER(INDEX(rMed2,3489)),ISNUMBER(INDEX(rMed,3489))),INDEX(rMed,3489),NA()))</f>
        <v>#N/A</v>
      </c>
    </row>
    <row r="3492">
      <c r="BX3492" t="e">
        <f>IF(OR(cMed=0,cMed2=0,3490&gt;nFilas),NA(),IF(AND(ISNUMBER(INDEX(rMed2,3490)),ISNUMBER(INDEX(rMed,3490))),INDEX(rMed2,3490),NA()))</f>
        <v>#N/A</v>
      </c>
      <c r="BY3492" t="e">
        <f>IF(OR(cMed=0,cMed2=0,3490&gt;nFilas),NA(),IF(AND(ISNUMBER(INDEX(rMed2,3490)),ISNUMBER(INDEX(rMed,3490))),INDEX(rMed,3490),NA()))</f>
        <v>#N/A</v>
      </c>
    </row>
    <row r="3493">
      <c r="BX3493" t="e">
        <f>IF(OR(cMed=0,cMed2=0,3491&gt;nFilas),NA(),IF(AND(ISNUMBER(INDEX(rMed2,3491)),ISNUMBER(INDEX(rMed,3491))),INDEX(rMed2,3491),NA()))</f>
        <v>#N/A</v>
      </c>
      <c r="BY3493" t="e">
        <f>IF(OR(cMed=0,cMed2=0,3491&gt;nFilas),NA(),IF(AND(ISNUMBER(INDEX(rMed2,3491)),ISNUMBER(INDEX(rMed,3491))),INDEX(rMed,3491),NA()))</f>
        <v>#N/A</v>
      </c>
    </row>
    <row r="3494">
      <c r="BX3494" t="e">
        <f>IF(OR(cMed=0,cMed2=0,3492&gt;nFilas),NA(),IF(AND(ISNUMBER(INDEX(rMed2,3492)),ISNUMBER(INDEX(rMed,3492))),INDEX(rMed2,3492),NA()))</f>
        <v>#N/A</v>
      </c>
      <c r="BY3494" t="e">
        <f>IF(OR(cMed=0,cMed2=0,3492&gt;nFilas),NA(),IF(AND(ISNUMBER(INDEX(rMed2,3492)),ISNUMBER(INDEX(rMed,3492))),INDEX(rMed,3492),NA()))</f>
        <v>#N/A</v>
      </c>
    </row>
    <row r="3495">
      <c r="BX3495" t="e">
        <f>IF(OR(cMed=0,cMed2=0,3493&gt;nFilas),NA(),IF(AND(ISNUMBER(INDEX(rMed2,3493)),ISNUMBER(INDEX(rMed,3493))),INDEX(rMed2,3493),NA()))</f>
        <v>#N/A</v>
      </c>
      <c r="BY3495" t="e">
        <f>IF(OR(cMed=0,cMed2=0,3493&gt;nFilas),NA(),IF(AND(ISNUMBER(INDEX(rMed2,3493)),ISNUMBER(INDEX(rMed,3493))),INDEX(rMed,3493),NA()))</f>
        <v>#N/A</v>
      </c>
    </row>
    <row r="3496">
      <c r="BX3496" t="e">
        <f>IF(OR(cMed=0,cMed2=0,3494&gt;nFilas),NA(),IF(AND(ISNUMBER(INDEX(rMed2,3494)),ISNUMBER(INDEX(rMed,3494))),INDEX(rMed2,3494),NA()))</f>
        <v>#N/A</v>
      </c>
      <c r="BY3496" t="e">
        <f>IF(OR(cMed=0,cMed2=0,3494&gt;nFilas),NA(),IF(AND(ISNUMBER(INDEX(rMed2,3494)),ISNUMBER(INDEX(rMed,3494))),INDEX(rMed,3494),NA()))</f>
        <v>#N/A</v>
      </c>
    </row>
    <row r="3497">
      <c r="BX3497" t="e">
        <f>IF(OR(cMed=0,cMed2=0,3495&gt;nFilas),NA(),IF(AND(ISNUMBER(INDEX(rMed2,3495)),ISNUMBER(INDEX(rMed,3495))),INDEX(rMed2,3495),NA()))</f>
        <v>#N/A</v>
      </c>
      <c r="BY3497" t="e">
        <f>IF(OR(cMed=0,cMed2=0,3495&gt;nFilas),NA(),IF(AND(ISNUMBER(INDEX(rMed2,3495)),ISNUMBER(INDEX(rMed,3495))),INDEX(rMed,3495),NA()))</f>
        <v>#N/A</v>
      </c>
    </row>
    <row r="3498">
      <c r="BX3498" t="e">
        <f>IF(OR(cMed=0,cMed2=0,3496&gt;nFilas),NA(),IF(AND(ISNUMBER(INDEX(rMed2,3496)),ISNUMBER(INDEX(rMed,3496))),INDEX(rMed2,3496),NA()))</f>
        <v>#N/A</v>
      </c>
      <c r="BY3498" t="e">
        <f>IF(OR(cMed=0,cMed2=0,3496&gt;nFilas),NA(),IF(AND(ISNUMBER(INDEX(rMed2,3496)),ISNUMBER(INDEX(rMed,3496))),INDEX(rMed,3496),NA()))</f>
        <v>#N/A</v>
      </c>
    </row>
    <row r="3499">
      <c r="BX3499" t="e">
        <f>IF(OR(cMed=0,cMed2=0,3497&gt;nFilas),NA(),IF(AND(ISNUMBER(INDEX(rMed2,3497)),ISNUMBER(INDEX(rMed,3497))),INDEX(rMed2,3497),NA()))</f>
        <v>#N/A</v>
      </c>
      <c r="BY3499" t="e">
        <f>IF(OR(cMed=0,cMed2=0,3497&gt;nFilas),NA(),IF(AND(ISNUMBER(INDEX(rMed2,3497)),ISNUMBER(INDEX(rMed,3497))),INDEX(rMed,3497),NA()))</f>
        <v>#N/A</v>
      </c>
    </row>
    <row r="3500">
      <c r="BX3500" t="e">
        <f>IF(OR(cMed=0,cMed2=0,3498&gt;nFilas),NA(),IF(AND(ISNUMBER(INDEX(rMed2,3498)),ISNUMBER(INDEX(rMed,3498))),INDEX(rMed2,3498),NA()))</f>
        <v>#N/A</v>
      </c>
      <c r="BY3500" t="e">
        <f>IF(OR(cMed=0,cMed2=0,3498&gt;nFilas),NA(),IF(AND(ISNUMBER(INDEX(rMed2,3498)),ISNUMBER(INDEX(rMed,3498))),INDEX(rMed,3498),NA()))</f>
        <v>#N/A</v>
      </c>
    </row>
    <row r="3501">
      <c r="BX3501" t="e">
        <f>IF(OR(cMed=0,cMed2=0,3499&gt;nFilas),NA(),IF(AND(ISNUMBER(INDEX(rMed2,3499)),ISNUMBER(INDEX(rMed,3499))),INDEX(rMed2,3499),NA()))</f>
        <v>#N/A</v>
      </c>
      <c r="BY3501" t="e">
        <f>IF(OR(cMed=0,cMed2=0,3499&gt;nFilas),NA(),IF(AND(ISNUMBER(INDEX(rMed2,3499)),ISNUMBER(INDEX(rMed,3499))),INDEX(rMed,3499),NA()))</f>
        <v>#N/A</v>
      </c>
    </row>
    <row r="3502">
      <c r="BX3502" t="e">
        <f>IF(OR(cMed=0,cMed2=0,3500&gt;nFilas),NA(),IF(AND(ISNUMBER(INDEX(rMed2,3500)),ISNUMBER(INDEX(rMed,3500))),INDEX(rMed2,3500),NA()))</f>
        <v>#N/A</v>
      </c>
      <c r="BY3502" t="e">
        <f>IF(OR(cMed=0,cMed2=0,3500&gt;nFilas),NA(),IF(AND(ISNUMBER(INDEX(rMed2,3500)),ISNUMBER(INDEX(rMed,3500))),INDEX(rMed,3500),NA()))</f>
        <v>#N/A</v>
      </c>
    </row>
    <row r="3503">
      <c r="BX3503" t="e">
        <f>IF(OR(cMed=0,cMed2=0,3501&gt;nFilas),NA(),IF(AND(ISNUMBER(INDEX(rMed2,3501)),ISNUMBER(INDEX(rMed,3501))),INDEX(rMed2,3501),NA()))</f>
        <v>#N/A</v>
      </c>
      <c r="BY3503" t="e">
        <f>IF(OR(cMed=0,cMed2=0,3501&gt;nFilas),NA(),IF(AND(ISNUMBER(INDEX(rMed2,3501)),ISNUMBER(INDEX(rMed,3501))),INDEX(rMed,3501),NA()))</f>
        <v>#N/A</v>
      </c>
    </row>
    <row r="3504">
      <c r="BX3504" t="e">
        <f>IF(OR(cMed=0,cMed2=0,3502&gt;nFilas),NA(),IF(AND(ISNUMBER(INDEX(rMed2,3502)),ISNUMBER(INDEX(rMed,3502))),INDEX(rMed2,3502),NA()))</f>
        <v>#N/A</v>
      </c>
      <c r="BY3504" t="e">
        <f>IF(OR(cMed=0,cMed2=0,3502&gt;nFilas),NA(),IF(AND(ISNUMBER(INDEX(rMed2,3502)),ISNUMBER(INDEX(rMed,3502))),INDEX(rMed,3502),NA()))</f>
        <v>#N/A</v>
      </c>
    </row>
    <row r="3505">
      <c r="BX3505" t="e">
        <f>IF(OR(cMed=0,cMed2=0,3503&gt;nFilas),NA(),IF(AND(ISNUMBER(INDEX(rMed2,3503)),ISNUMBER(INDEX(rMed,3503))),INDEX(rMed2,3503),NA()))</f>
        <v>#N/A</v>
      </c>
      <c r="BY3505" t="e">
        <f>IF(OR(cMed=0,cMed2=0,3503&gt;nFilas),NA(),IF(AND(ISNUMBER(INDEX(rMed2,3503)),ISNUMBER(INDEX(rMed,3503))),INDEX(rMed,3503),NA()))</f>
        <v>#N/A</v>
      </c>
    </row>
    <row r="3506">
      <c r="BX3506" t="e">
        <f>IF(OR(cMed=0,cMed2=0,3504&gt;nFilas),NA(),IF(AND(ISNUMBER(INDEX(rMed2,3504)),ISNUMBER(INDEX(rMed,3504))),INDEX(rMed2,3504),NA()))</f>
        <v>#N/A</v>
      </c>
      <c r="BY3506" t="e">
        <f>IF(OR(cMed=0,cMed2=0,3504&gt;nFilas),NA(),IF(AND(ISNUMBER(INDEX(rMed2,3504)),ISNUMBER(INDEX(rMed,3504))),INDEX(rMed,3504),NA()))</f>
        <v>#N/A</v>
      </c>
    </row>
    <row r="3507">
      <c r="BX3507" t="e">
        <f>IF(OR(cMed=0,cMed2=0,3505&gt;nFilas),NA(),IF(AND(ISNUMBER(INDEX(rMed2,3505)),ISNUMBER(INDEX(rMed,3505))),INDEX(rMed2,3505),NA()))</f>
        <v>#N/A</v>
      </c>
      <c r="BY3507" t="e">
        <f>IF(OR(cMed=0,cMed2=0,3505&gt;nFilas),NA(),IF(AND(ISNUMBER(INDEX(rMed2,3505)),ISNUMBER(INDEX(rMed,3505))),INDEX(rMed,3505),NA()))</f>
        <v>#N/A</v>
      </c>
    </row>
    <row r="3508">
      <c r="BX3508" t="e">
        <f>IF(OR(cMed=0,cMed2=0,3506&gt;nFilas),NA(),IF(AND(ISNUMBER(INDEX(rMed2,3506)),ISNUMBER(INDEX(rMed,3506))),INDEX(rMed2,3506),NA()))</f>
        <v>#N/A</v>
      </c>
      <c r="BY3508" t="e">
        <f>IF(OR(cMed=0,cMed2=0,3506&gt;nFilas),NA(),IF(AND(ISNUMBER(INDEX(rMed2,3506)),ISNUMBER(INDEX(rMed,3506))),INDEX(rMed,3506),NA()))</f>
        <v>#N/A</v>
      </c>
    </row>
    <row r="3509">
      <c r="BX3509" t="e">
        <f>IF(OR(cMed=0,cMed2=0,3507&gt;nFilas),NA(),IF(AND(ISNUMBER(INDEX(rMed2,3507)),ISNUMBER(INDEX(rMed,3507))),INDEX(rMed2,3507),NA()))</f>
        <v>#N/A</v>
      </c>
      <c r="BY3509" t="e">
        <f>IF(OR(cMed=0,cMed2=0,3507&gt;nFilas),NA(),IF(AND(ISNUMBER(INDEX(rMed2,3507)),ISNUMBER(INDEX(rMed,3507))),INDEX(rMed,3507),NA()))</f>
        <v>#N/A</v>
      </c>
    </row>
    <row r="3510">
      <c r="BX3510" t="e">
        <f>IF(OR(cMed=0,cMed2=0,3508&gt;nFilas),NA(),IF(AND(ISNUMBER(INDEX(rMed2,3508)),ISNUMBER(INDEX(rMed,3508))),INDEX(rMed2,3508),NA()))</f>
        <v>#N/A</v>
      </c>
      <c r="BY3510" t="e">
        <f>IF(OR(cMed=0,cMed2=0,3508&gt;nFilas),NA(),IF(AND(ISNUMBER(INDEX(rMed2,3508)),ISNUMBER(INDEX(rMed,3508))),INDEX(rMed,3508),NA()))</f>
        <v>#N/A</v>
      </c>
    </row>
    <row r="3511">
      <c r="BX3511" t="e">
        <f>IF(OR(cMed=0,cMed2=0,3509&gt;nFilas),NA(),IF(AND(ISNUMBER(INDEX(rMed2,3509)),ISNUMBER(INDEX(rMed,3509))),INDEX(rMed2,3509),NA()))</f>
        <v>#N/A</v>
      </c>
      <c r="BY3511" t="e">
        <f>IF(OR(cMed=0,cMed2=0,3509&gt;nFilas),NA(),IF(AND(ISNUMBER(INDEX(rMed2,3509)),ISNUMBER(INDEX(rMed,3509))),INDEX(rMed,3509),NA()))</f>
        <v>#N/A</v>
      </c>
    </row>
    <row r="3512">
      <c r="BX3512" t="e">
        <f>IF(OR(cMed=0,cMed2=0,3510&gt;nFilas),NA(),IF(AND(ISNUMBER(INDEX(rMed2,3510)),ISNUMBER(INDEX(rMed,3510))),INDEX(rMed2,3510),NA()))</f>
        <v>#N/A</v>
      </c>
      <c r="BY3512" t="e">
        <f>IF(OR(cMed=0,cMed2=0,3510&gt;nFilas),NA(),IF(AND(ISNUMBER(INDEX(rMed2,3510)),ISNUMBER(INDEX(rMed,3510))),INDEX(rMed,3510),NA()))</f>
        <v>#N/A</v>
      </c>
    </row>
    <row r="3513">
      <c r="BX3513" t="e">
        <f>IF(OR(cMed=0,cMed2=0,3511&gt;nFilas),NA(),IF(AND(ISNUMBER(INDEX(rMed2,3511)),ISNUMBER(INDEX(rMed,3511))),INDEX(rMed2,3511),NA()))</f>
        <v>#N/A</v>
      </c>
      <c r="BY3513" t="e">
        <f>IF(OR(cMed=0,cMed2=0,3511&gt;nFilas),NA(),IF(AND(ISNUMBER(INDEX(rMed2,3511)),ISNUMBER(INDEX(rMed,3511))),INDEX(rMed,3511),NA()))</f>
        <v>#N/A</v>
      </c>
    </row>
    <row r="3514">
      <c r="BX3514" t="e">
        <f>IF(OR(cMed=0,cMed2=0,3512&gt;nFilas),NA(),IF(AND(ISNUMBER(INDEX(rMed2,3512)),ISNUMBER(INDEX(rMed,3512))),INDEX(rMed2,3512),NA()))</f>
        <v>#N/A</v>
      </c>
      <c r="BY3514" t="e">
        <f>IF(OR(cMed=0,cMed2=0,3512&gt;nFilas),NA(),IF(AND(ISNUMBER(INDEX(rMed2,3512)),ISNUMBER(INDEX(rMed,3512))),INDEX(rMed,3512),NA()))</f>
        <v>#N/A</v>
      </c>
    </row>
    <row r="3515">
      <c r="BX3515" t="e">
        <f>IF(OR(cMed=0,cMed2=0,3513&gt;nFilas),NA(),IF(AND(ISNUMBER(INDEX(rMed2,3513)),ISNUMBER(INDEX(rMed,3513))),INDEX(rMed2,3513),NA()))</f>
        <v>#N/A</v>
      </c>
      <c r="BY3515" t="e">
        <f>IF(OR(cMed=0,cMed2=0,3513&gt;nFilas),NA(),IF(AND(ISNUMBER(INDEX(rMed2,3513)),ISNUMBER(INDEX(rMed,3513))),INDEX(rMed,3513),NA()))</f>
        <v>#N/A</v>
      </c>
    </row>
    <row r="3516">
      <c r="BX3516" t="e">
        <f>IF(OR(cMed=0,cMed2=0,3514&gt;nFilas),NA(),IF(AND(ISNUMBER(INDEX(rMed2,3514)),ISNUMBER(INDEX(rMed,3514))),INDEX(rMed2,3514),NA()))</f>
        <v>#N/A</v>
      </c>
      <c r="BY3516" t="e">
        <f>IF(OR(cMed=0,cMed2=0,3514&gt;nFilas),NA(),IF(AND(ISNUMBER(INDEX(rMed2,3514)),ISNUMBER(INDEX(rMed,3514))),INDEX(rMed,3514),NA()))</f>
        <v>#N/A</v>
      </c>
    </row>
    <row r="3517">
      <c r="BX3517" t="e">
        <f>IF(OR(cMed=0,cMed2=0,3515&gt;nFilas),NA(),IF(AND(ISNUMBER(INDEX(rMed2,3515)),ISNUMBER(INDEX(rMed,3515))),INDEX(rMed2,3515),NA()))</f>
        <v>#N/A</v>
      </c>
      <c r="BY3517" t="e">
        <f>IF(OR(cMed=0,cMed2=0,3515&gt;nFilas),NA(),IF(AND(ISNUMBER(INDEX(rMed2,3515)),ISNUMBER(INDEX(rMed,3515))),INDEX(rMed,3515),NA()))</f>
        <v>#N/A</v>
      </c>
    </row>
    <row r="3518">
      <c r="BX3518" t="e">
        <f>IF(OR(cMed=0,cMed2=0,3516&gt;nFilas),NA(),IF(AND(ISNUMBER(INDEX(rMed2,3516)),ISNUMBER(INDEX(rMed,3516))),INDEX(rMed2,3516),NA()))</f>
        <v>#N/A</v>
      </c>
      <c r="BY3518" t="e">
        <f>IF(OR(cMed=0,cMed2=0,3516&gt;nFilas),NA(),IF(AND(ISNUMBER(INDEX(rMed2,3516)),ISNUMBER(INDEX(rMed,3516))),INDEX(rMed,3516),NA()))</f>
        <v>#N/A</v>
      </c>
    </row>
    <row r="3519">
      <c r="BX3519" t="e">
        <f>IF(OR(cMed=0,cMed2=0,3517&gt;nFilas),NA(),IF(AND(ISNUMBER(INDEX(rMed2,3517)),ISNUMBER(INDEX(rMed,3517))),INDEX(rMed2,3517),NA()))</f>
        <v>#N/A</v>
      </c>
      <c r="BY3519" t="e">
        <f>IF(OR(cMed=0,cMed2=0,3517&gt;nFilas),NA(),IF(AND(ISNUMBER(INDEX(rMed2,3517)),ISNUMBER(INDEX(rMed,3517))),INDEX(rMed,3517),NA()))</f>
        <v>#N/A</v>
      </c>
    </row>
    <row r="3520">
      <c r="BX3520" t="e">
        <f>IF(OR(cMed=0,cMed2=0,3518&gt;nFilas),NA(),IF(AND(ISNUMBER(INDEX(rMed2,3518)),ISNUMBER(INDEX(rMed,3518))),INDEX(rMed2,3518),NA()))</f>
        <v>#N/A</v>
      </c>
      <c r="BY3520" t="e">
        <f>IF(OR(cMed=0,cMed2=0,3518&gt;nFilas),NA(),IF(AND(ISNUMBER(INDEX(rMed2,3518)),ISNUMBER(INDEX(rMed,3518))),INDEX(rMed,3518),NA()))</f>
        <v>#N/A</v>
      </c>
    </row>
    <row r="3521">
      <c r="BX3521" t="e">
        <f>IF(OR(cMed=0,cMed2=0,3519&gt;nFilas),NA(),IF(AND(ISNUMBER(INDEX(rMed2,3519)),ISNUMBER(INDEX(rMed,3519))),INDEX(rMed2,3519),NA()))</f>
        <v>#N/A</v>
      </c>
      <c r="BY3521" t="e">
        <f>IF(OR(cMed=0,cMed2=0,3519&gt;nFilas),NA(),IF(AND(ISNUMBER(INDEX(rMed2,3519)),ISNUMBER(INDEX(rMed,3519))),INDEX(rMed,3519),NA()))</f>
        <v>#N/A</v>
      </c>
    </row>
    <row r="3522">
      <c r="BX3522" t="e">
        <f>IF(OR(cMed=0,cMed2=0,3520&gt;nFilas),NA(),IF(AND(ISNUMBER(INDEX(rMed2,3520)),ISNUMBER(INDEX(rMed,3520))),INDEX(rMed2,3520),NA()))</f>
        <v>#N/A</v>
      </c>
      <c r="BY3522" t="e">
        <f>IF(OR(cMed=0,cMed2=0,3520&gt;nFilas),NA(),IF(AND(ISNUMBER(INDEX(rMed2,3520)),ISNUMBER(INDEX(rMed,3520))),INDEX(rMed,3520),NA()))</f>
        <v>#N/A</v>
      </c>
    </row>
    <row r="3523">
      <c r="BX3523" t="e">
        <f>IF(OR(cMed=0,cMed2=0,3521&gt;nFilas),NA(),IF(AND(ISNUMBER(INDEX(rMed2,3521)),ISNUMBER(INDEX(rMed,3521))),INDEX(rMed2,3521),NA()))</f>
        <v>#N/A</v>
      </c>
      <c r="BY3523" t="e">
        <f>IF(OR(cMed=0,cMed2=0,3521&gt;nFilas),NA(),IF(AND(ISNUMBER(INDEX(rMed2,3521)),ISNUMBER(INDEX(rMed,3521))),INDEX(rMed,3521),NA()))</f>
        <v>#N/A</v>
      </c>
    </row>
    <row r="3524">
      <c r="BX3524" t="e">
        <f>IF(OR(cMed=0,cMed2=0,3522&gt;nFilas),NA(),IF(AND(ISNUMBER(INDEX(rMed2,3522)),ISNUMBER(INDEX(rMed,3522))),INDEX(rMed2,3522),NA()))</f>
        <v>#N/A</v>
      </c>
      <c r="BY3524" t="e">
        <f>IF(OR(cMed=0,cMed2=0,3522&gt;nFilas),NA(),IF(AND(ISNUMBER(INDEX(rMed2,3522)),ISNUMBER(INDEX(rMed,3522))),INDEX(rMed,3522),NA()))</f>
        <v>#N/A</v>
      </c>
    </row>
    <row r="3525">
      <c r="BX3525" t="e">
        <f>IF(OR(cMed=0,cMed2=0,3523&gt;nFilas),NA(),IF(AND(ISNUMBER(INDEX(rMed2,3523)),ISNUMBER(INDEX(rMed,3523))),INDEX(rMed2,3523),NA()))</f>
        <v>#N/A</v>
      </c>
      <c r="BY3525" t="e">
        <f>IF(OR(cMed=0,cMed2=0,3523&gt;nFilas),NA(),IF(AND(ISNUMBER(INDEX(rMed2,3523)),ISNUMBER(INDEX(rMed,3523))),INDEX(rMed,3523),NA()))</f>
        <v>#N/A</v>
      </c>
    </row>
    <row r="3526">
      <c r="BX3526" t="e">
        <f>IF(OR(cMed=0,cMed2=0,3524&gt;nFilas),NA(),IF(AND(ISNUMBER(INDEX(rMed2,3524)),ISNUMBER(INDEX(rMed,3524))),INDEX(rMed2,3524),NA()))</f>
        <v>#N/A</v>
      </c>
      <c r="BY3526" t="e">
        <f>IF(OR(cMed=0,cMed2=0,3524&gt;nFilas),NA(),IF(AND(ISNUMBER(INDEX(rMed2,3524)),ISNUMBER(INDEX(rMed,3524))),INDEX(rMed,3524),NA()))</f>
        <v>#N/A</v>
      </c>
    </row>
    <row r="3527">
      <c r="BX3527" t="e">
        <f>IF(OR(cMed=0,cMed2=0,3525&gt;nFilas),NA(),IF(AND(ISNUMBER(INDEX(rMed2,3525)),ISNUMBER(INDEX(rMed,3525))),INDEX(rMed2,3525),NA()))</f>
        <v>#N/A</v>
      </c>
      <c r="BY3527" t="e">
        <f>IF(OR(cMed=0,cMed2=0,3525&gt;nFilas),NA(),IF(AND(ISNUMBER(INDEX(rMed2,3525)),ISNUMBER(INDEX(rMed,3525))),INDEX(rMed,3525),NA()))</f>
        <v>#N/A</v>
      </c>
    </row>
    <row r="3528">
      <c r="BX3528" t="e">
        <f>IF(OR(cMed=0,cMed2=0,3526&gt;nFilas),NA(),IF(AND(ISNUMBER(INDEX(rMed2,3526)),ISNUMBER(INDEX(rMed,3526))),INDEX(rMed2,3526),NA()))</f>
        <v>#N/A</v>
      </c>
      <c r="BY3528" t="e">
        <f>IF(OR(cMed=0,cMed2=0,3526&gt;nFilas),NA(),IF(AND(ISNUMBER(INDEX(rMed2,3526)),ISNUMBER(INDEX(rMed,3526))),INDEX(rMed,3526),NA()))</f>
        <v>#N/A</v>
      </c>
    </row>
    <row r="3529">
      <c r="BX3529" t="e">
        <f>IF(OR(cMed=0,cMed2=0,3527&gt;nFilas),NA(),IF(AND(ISNUMBER(INDEX(rMed2,3527)),ISNUMBER(INDEX(rMed,3527))),INDEX(rMed2,3527),NA()))</f>
        <v>#N/A</v>
      </c>
      <c r="BY3529" t="e">
        <f>IF(OR(cMed=0,cMed2=0,3527&gt;nFilas),NA(),IF(AND(ISNUMBER(INDEX(rMed2,3527)),ISNUMBER(INDEX(rMed,3527))),INDEX(rMed,3527),NA()))</f>
        <v>#N/A</v>
      </c>
    </row>
    <row r="3530">
      <c r="BX3530" t="e">
        <f>IF(OR(cMed=0,cMed2=0,3528&gt;nFilas),NA(),IF(AND(ISNUMBER(INDEX(rMed2,3528)),ISNUMBER(INDEX(rMed,3528))),INDEX(rMed2,3528),NA()))</f>
        <v>#N/A</v>
      </c>
      <c r="BY3530" t="e">
        <f>IF(OR(cMed=0,cMed2=0,3528&gt;nFilas),NA(),IF(AND(ISNUMBER(INDEX(rMed2,3528)),ISNUMBER(INDEX(rMed,3528))),INDEX(rMed,3528),NA()))</f>
        <v>#N/A</v>
      </c>
    </row>
    <row r="3531">
      <c r="BX3531" t="e">
        <f>IF(OR(cMed=0,cMed2=0,3529&gt;nFilas),NA(),IF(AND(ISNUMBER(INDEX(rMed2,3529)),ISNUMBER(INDEX(rMed,3529))),INDEX(rMed2,3529),NA()))</f>
        <v>#N/A</v>
      </c>
      <c r="BY3531" t="e">
        <f>IF(OR(cMed=0,cMed2=0,3529&gt;nFilas),NA(),IF(AND(ISNUMBER(INDEX(rMed2,3529)),ISNUMBER(INDEX(rMed,3529))),INDEX(rMed,3529),NA()))</f>
        <v>#N/A</v>
      </c>
    </row>
    <row r="3532">
      <c r="BX3532" t="e">
        <f>IF(OR(cMed=0,cMed2=0,3530&gt;nFilas),NA(),IF(AND(ISNUMBER(INDEX(rMed2,3530)),ISNUMBER(INDEX(rMed,3530))),INDEX(rMed2,3530),NA()))</f>
        <v>#N/A</v>
      </c>
      <c r="BY3532" t="e">
        <f>IF(OR(cMed=0,cMed2=0,3530&gt;nFilas),NA(),IF(AND(ISNUMBER(INDEX(rMed2,3530)),ISNUMBER(INDEX(rMed,3530))),INDEX(rMed,3530),NA()))</f>
        <v>#N/A</v>
      </c>
    </row>
    <row r="3533">
      <c r="BX3533" t="e">
        <f>IF(OR(cMed=0,cMed2=0,3531&gt;nFilas),NA(),IF(AND(ISNUMBER(INDEX(rMed2,3531)),ISNUMBER(INDEX(rMed,3531))),INDEX(rMed2,3531),NA()))</f>
        <v>#N/A</v>
      </c>
      <c r="BY3533" t="e">
        <f>IF(OR(cMed=0,cMed2=0,3531&gt;nFilas),NA(),IF(AND(ISNUMBER(INDEX(rMed2,3531)),ISNUMBER(INDEX(rMed,3531))),INDEX(rMed,3531),NA()))</f>
        <v>#N/A</v>
      </c>
    </row>
    <row r="3534">
      <c r="BX3534" t="e">
        <f>IF(OR(cMed=0,cMed2=0,3532&gt;nFilas),NA(),IF(AND(ISNUMBER(INDEX(rMed2,3532)),ISNUMBER(INDEX(rMed,3532))),INDEX(rMed2,3532),NA()))</f>
        <v>#N/A</v>
      </c>
      <c r="BY3534" t="e">
        <f>IF(OR(cMed=0,cMed2=0,3532&gt;nFilas),NA(),IF(AND(ISNUMBER(INDEX(rMed2,3532)),ISNUMBER(INDEX(rMed,3532))),INDEX(rMed,3532),NA()))</f>
        <v>#N/A</v>
      </c>
    </row>
    <row r="3535">
      <c r="BX3535" t="e">
        <f>IF(OR(cMed=0,cMed2=0,3533&gt;nFilas),NA(),IF(AND(ISNUMBER(INDEX(rMed2,3533)),ISNUMBER(INDEX(rMed,3533))),INDEX(rMed2,3533),NA()))</f>
        <v>#N/A</v>
      </c>
      <c r="BY3535" t="e">
        <f>IF(OR(cMed=0,cMed2=0,3533&gt;nFilas),NA(),IF(AND(ISNUMBER(INDEX(rMed2,3533)),ISNUMBER(INDEX(rMed,3533))),INDEX(rMed,3533),NA()))</f>
        <v>#N/A</v>
      </c>
    </row>
    <row r="3536">
      <c r="BX3536" t="e">
        <f>IF(OR(cMed=0,cMed2=0,3534&gt;nFilas),NA(),IF(AND(ISNUMBER(INDEX(rMed2,3534)),ISNUMBER(INDEX(rMed,3534))),INDEX(rMed2,3534),NA()))</f>
        <v>#N/A</v>
      </c>
      <c r="BY3536" t="e">
        <f>IF(OR(cMed=0,cMed2=0,3534&gt;nFilas),NA(),IF(AND(ISNUMBER(INDEX(rMed2,3534)),ISNUMBER(INDEX(rMed,3534))),INDEX(rMed,3534),NA()))</f>
        <v>#N/A</v>
      </c>
    </row>
    <row r="3537">
      <c r="BX3537" t="e">
        <f>IF(OR(cMed=0,cMed2=0,3535&gt;nFilas),NA(),IF(AND(ISNUMBER(INDEX(rMed2,3535)),ISNUMBER(INDEX(rMed,3535))),INDEX(rMed2,3535),NA()))</f>
        <v>#N/A</v>
      </c>
      <c r="BY3537" t="e">
        <f>IF(OR(cMed=0,cMed2=0,3535&gt;nFilas),NA(),IF(AND(ISNUMBER(INDEX(rMed2,3535)),ISNUMBER(INDEX(rMed,3535))),INDEX(rMed,3535),NA()))</f>
        <v>#N/A</v>
      </c>
    </row>
    <row r="3538">
      <c r="BX3538" t="e">
        <f>IF(OR(cMed=0,cMed2=0,3536&gt;nFilas),NA(),IF(AND(ISNUMBER(INDEX(rMed2,3536)),ISNUMBER(INDEX(rMed,3536))),INDEX(rMed2,3536),NA()))</f>
        <v>#N/A</v>
      </c>
      <c r="BY3538" t="e">
        <f>IF(OR(cMed=0,cMed2=0,3536&gt;nFilas),NA(),IF(AND(ISNUMBER(INDEX(rMed2,3536)),ISNUMBER(INDEX(rMed,3536))),INDEX(rMed,3536),NA()))</f>
        <v>#N/A</v>
      </c>
    </row>
    <row r="3539">
      <c r="BX3539" t="e">
        <f>IF(OR(cMed=0,cMed2=0,3537&gt;nFilas),NA(),IF(AND(ISNUMBER(INDEX(rMed2,3537)),ISNUMBER(INDEX(rMed,3537))),INDEX(rMed2,3537),NA()))</f>
        <v>#N/A</v>
      </c>
      <c r="BY3539" t="e">
        <f>IF(OR(cMed=0,cMed2=0,3537&gt;nFilas),NA(),IF(AND(ISNUMBER(INDEX(rMed2,3537)),ISNUMBER(INDEX(rMed,3537))),INDEX(rMed,3537),NA()))</f>
        <v>#N/A</v>
      </c>
    </row>
    <row r="3540">
      <c r="BX3540" t="e">
        <f>IF(OR(cMed=0,cMed2=0,3538&gt;nFilas),NA(),IF(AND(ISNUMBER(INDEX(rMed2,3538)),ISNUMBER(INDEX(rMed,3538))),INDEX(rMed2,3538),NA()))</f>
        <v>#N/A</v>
      </c>
      <c r="BY3540" t="e">
        <f>IF(OR(cMed=0,cMed2=0,3538&gt;nFilas),NA(),IF(AND(ISNUMBER(INDEX(rMed2,3538)),ISNUMBER(INDEX(rMed,3538))),INDEX(rMed,3538),NA()))</f>
        <v>#N/A</v>
      </c>
    </row>
    <row r="3541">
      <c r="BX3541" t="e">
        <f>IF(OR(cMed=0,cMed2=0,3539&gt;nFilas),NA(),IF(AND(ISNUMBER(INDEX(rMed2,3539)),ISNUMBER(INDEX(rMed,3539))),INDEX(rMed2,3539),NA()))</f>
        <v>#N/A</v>
      </c>
      <c r="BY3541" t="e">
        <f>IF(OR(cMed=0,cMed2=0,3539&gt;nFilas),NA(),IF(AND(ISNUMBER(INDEX(rMed2,3539)),ISNUMBER(INDEX(rMed,3539))),INDEX(rMed,3539),NA()))</f>
        <v>#N/A</v>
      </c>
    </row>
    <row r="3542">
      <c r="BX3542" t="e">
        <f>IF(OR(cMed=0,cMed2=0,3540&gt;nFilas),NA(),IF(AND(ISNUMBER(INDEX(rMed2,3540)),ISNUMBER(INDEX(rMed,3540))),INDEX(rMed2,3540),NA()))</f>
        <v>#N/A</v>
      </c>
      <c r="BY3542" t="e">
        <f>IF(OR(cMed=0,cMed2=0,3540&gt;nFilas),NA(),IF(AND(ISNUMBER(INDEX(rMed2,3540)),ISNUMBER(INDEX(rMed,3540))),INDEX(rMed,3540),NA()))</f>
        <v>#N/A</v>
      </c>
    </row>
    <row r="3543">
      <c r="BX3543" t="e">
        <f>IF(OR(cMed=0,cMed2=0,3541&gt;nFilas),NA(),IF(AND(ISNUMBER(INDEX(rMed2,3541)),ISNUMBER(INDEX(rMed,3541))),INDEX(rMed2,3541),NA()))</f>
        <v>#N/A</v>
      </c>
      <c r="BY3543" t="e">
        <f>IF(OR(cMed=0,cMed2=0,3541&gt;nFilas),NA(),IF(AND(ISNUMBER(INDEX(rMed2,3541)),ISNUMBER(INDEX(rMed,3541))),INDEX(rMed,3541),NA()))</f>
        <v>#N/A</v>
      </c>
    </row>
    <row r="3544">
      <c r="BX3544" t="e">
        <f>IF(OR(cMed=0,cMed2=0,3542&gt;nFilas),NA(),IF(AND(ISNUMBER(INDEX(rMed2,3542)),ISNUMBER(INDEX(rMed,3542))),INDEX(rMed2,3542),NA()))</f>
        <v>#N/A</v>
      </c>
      <c r="BY3544" t="e">
        <f>IF(OR(cMed=0,cMed2=0,3542&gt;nFilas),NA(),IF(AND(ISNUMBER(INDEX(rMed2,3542)),ISNUMBER(INDEX(rMed,3542))),INDEX(rMed,3542),NA()))</f>
        <v>#N/A</v>
      </c>
    </row>
    <row r="3545">
      <c r="BX3545" t="e">
        <f>IF(OR(cMed=0,cMed2=0,3543&gt;nFilas),NA(),IF(AND(ISNUMBER(INDEX(rMed2,3543)),ISNUMBER(INDEX(rMed,3543))),INDEX(rMed2,3543),NA()))</f>
        <v>#N/A</v>
      </c>
      <c r="BY3545" t="e">
        <f>IF(OR(cMed=0,cMed2=0,3543&gt;nFilas),NA(),IF(AND(ISNUMBER(INDEX(rMed2,3543)),ISNUMBER(INDEX(rMed,3543))),INDEX(rMed,3543),NA()))</f>
        <v>#N/A</v>
      </c>
    </row>
    <row r="3546">
      <c r="BX3546" t="e">
        <f>IF(OR(cMed=0,cMed2=0,3544&gt;nFilas),NA(),IF(AND(ISNUMBER(INDEX(rMed2,3544)),ISNUMBER(INDEX(rMed,3544))),INDEX(rMed2,3544),NA()))</f>
        <v>#N/A</v>
      </c>
      <c r="BY3546" t="e">
        <f>IF(OR(cMed=0,cMed2=0,3544&gt;nFilas),NA(),IF(AND(ISNUMBER(INDEX(rMed2,3544)),ISNUMBER(INDEX(rMed,3544))),INDEX(rMed,3544),NA()))</f>
        <v>#N/A</v>
      </c>
    </row>
    <row r="3547">
      <c r="BX3547" t="e">
        <f>IF(OR(cMed=0,cMed2=0,3545&gt;nFilas),NA(),IF(AND(ISNUMBER(INDEX(rMed2,3545)),ISNUMBER(INDEX(rMed,3545))),INDEX(rMed2,3545),NA()))</f>
        <v>#N/A</v>
      </c>
      <c r="BY3547" t="e">
        <f>IF(OR(cMed=0,cMed2=0,3545&gt;nFilas),NA(),IF(AND(ISNUMBER(INDEX(rMed2,3545)),ISNUMBER(INDEX(rMed,3545))),INDEX(rMed,3545),NA()))</f>
        <v>#N/A</v>
      </c>
    </row>
    <row r="3548">
      <c r="BX3548" t="e">
        <f>IF(OR(cMed=0,cMed2=0,3546&gt;nFilas),NA(),IF(AND(ISNUMBER(INDEX(rMed2,3546)),ISNUMBER(INDEX(rMed,3546))),INDEX(rMed2,3546),NA()))</f>
        <v>#N/A</v>
      </c>
      <c r="BY3548" t="e">
        <f>IF(OR(cMed=0,cMed2=0,3546&gt;nFilas),NA(),IF(AND(ISNUMBER(INDEX(rMed2,3546)),ISNUMBER(INDEX(rMed,3546))),INDEX(rMed,3546),NA()))</f>
        <v>#N/A</v>
      </c>
    </row>
    <row r="3549">
      <c r="BX3549" t="e">
        <f>IF(OR(cMed=0,cMed2=0,3547&gt;nFilas),NA(),IF(AND(ISNUMBER(INDEX(rMed2,3547)),ISNUMBER(INDEX(rMed,3547))),INDEX(rMed2,3547),NA()))</f>
        <v>#N/A</v>
      </c>
      <c r="BY3549" t="e">
        <f>IF(OR(cMed=0,cMed2=0,3547&gt;nFilas),NA(),IF(AND(ISNUMBER(INDEX(rMed2,3547)),ISNUMBER(INDEX(rMed,3547))),INDEX(rMed,3547),NA()))</f>
        <v>#N/A</v>
      </c>
    </row>
    <row r="3550">
      <c r="BX3550" t="e">
        <f>IF(OR(cMed=0,cMed2=0,3548&gt;nFilas),NA(),IF(AND(ISNUMBER(INDEX(rMed2,3548)),ISNUMBER(INDEX(rMed,3548))),INDEX(rMed2,3548),NA()))</f>
        <v>#N/A</v>
      </c>
      <c r="BY3550" t="e">
        <f>IF(OR(cMed=0,cMed2=0,3548&gt;nFilas),NA(),IF(AND(ISNUMBER(INDEX(rMed2,3548)),ISNUMBER(INDEX(rMed,3548))),INDEX(rMed,3548),NA()))</f>
        <v>#N/A</v>
      </c>
    </row>
    <row r="3551">
      <c r="BX3551" t="e">
        <f>IF(OR(cMed=0,cMed2=0,3549&gt;nFilas),NA(),IF(AND(ISNUMBER(INDEX(rMed2,3549)),ISNUMBER(INDEX(rMed,3549))),INDEX(rMed2,3549),NA()))</f>
        <v>#N/A</v>
      </c>
      <c r="BY3551" t="e">
        <f>IF(OR(cMed=0,cMed2=0,3549&gt;nFilas),NA(),IF(AND(ISNUMBER(INDEX(rMed2,3549)),ISNUMBER(INDEX(rMed,3549))),INDEX(rMed,3549),NA()))</f>
        <v>#N/A</v>
      </c>
    </row>
    <row r="3552">
      <c r="BX3552" t="e">
        <f>IF(OR(cMed=0,cMed2=0,3550&gt;nFilas),NA(),IF(AND(ISNUMBER(INDEX(rMed2,3550)),ISNUMBER(INDEX(rMed,3550))),INDEX(rMed2,3550),NA()))</f>
        <v>#N/A</v>
      </c>
      <c r="BY3552" t="e">
        <f>IF(OR(cMed=0,cMed2=0,3550&gt;nFilas),NA(),IF(AND(ISNUMBER(INDEX(rMed2,3550)),ISNUMBER(INDEX(rMed,3550))),INDEX(rMed,3550),NA()))</f>
        <v>#N/A</v>
      </c>
    </row>
    <row r="3553">
      <c r="BX3553" t="e">
        <f>IF(OR(cMed=0,cMed2=0,3551&gt;nFilas),NA(),IF(AND(ISNUMBER(INDEX(rMed2,3551)),ISNUMBER(INDEX(rMed,3551))),INDEX(rMed2,3551),NA()))</f>
        <v>#N/A</v>
      </c>
      <c r="BY3553" t="e">
        <f>IF(OR(cMed=0,cMed2=0,3551&gt;nFilas),NA(),IF(AND(ISNUMBER(INDEX(rMed2,3551)),ISNUMBER(INDEX(rMed,3551))),INDEX(rMed,3551),NA()))</f>
        <v>#N/A</v>
      </c>
    </row>
    <row r="3554">
      <c r="BX3554" t="e">
        <f>IF(OR(cMed=0,cMed2=0,3552&gt;nFilas),NA(),IF(AND(ISNUMBER(INDEX(rMed2,3552)),ISNUMBER(INDEX(rMed,3552))),INDEX(rMed2,3552),NA()))</f>
        <v>#N/A</v>
      </c>
      <c r="BY3554" t="e">
        <f>IF(OR(cMed=0,cMed2=0,3552&gt;nFilas),NA(),IF(AND(ISNUMBER(INDEX(rMed2,3552)),ISNUMBER(INDEX(rMed,3552))),INDEX(rMed,3552),NA()))</f>
        <v>#N/A</v>
      </c>
    </row>
    <row r="3555">
      <c r="BX3555" t="e">
        <f>IF(OR(cMed=0,cMed2=0,3553&gt;nFilas),NA(),IF(AND(ISNUMBER(INDEX(rMed2,3553)),ISNUMBER(INDEX(rMed,3553))),INDEX(rMed2,3553),NA()))</f>
        <v>#N/A</v>
      </c>
      <c r="BY3555" t="e">
        <f>IF(OR(cMed=0,cMed2=0,3553&gt;nFilas),NA(),IF(AND(ISNUMBER(INDEX(rMed2,3553)),ISNUMBER(INDEX(rMed,3553))),INDEX(rMed,3553),NA()))</f>
        <v>#N/A</v>
      </c>
    </row>
    <row r="3556">
      <c r="BX3556" t="e">
        <f>IF(OR(cMed=0,cMed2=0,3554&gt;nFilas),NA(),IF(AND(ISNUMBER(INDEX(rMed2,3554)),ISNUMBER(INDEX(rMed,3554))),INDEX(rMed2,3554),NA()))</f>
        <v>#N/A</v>
      </c>
      <c r="BY3556" t="e">
        <f>IF(OR(cMed=0,cMed2=0,3554&gt;nFilas),NA(),IF(AND(ISNUMBER(INDEX(rMed2,3554)),ISNUMBER(INDEX(rMed,3554))),INDEX(rMed,3554),NA()))</f>
        <v>#N/A</v>
      </c>
    </row>
    <row r="3557">
      <c r="BX3557" t="e">
        <f>IF(OR(cMed=0,cMed2=0,3555&gt;nFilas),NA(),IF(AND(ISNUMBER(INDEX(rMed2,3555)),ISNUMBER(INDEX(rMed,3555))),INDEX(rMed2,3555),NA()))</f>
        <v>#N/A</v>
      </c>
      <c r="BY3557" t="e">
        <f>IF(OR(cMed=0,cMed2=0,3555&gt;nFilas),NA(),IF(AND(ISNUMBER(INDEX(rMed2,3555)),ISNUMBER(INDEX(rMed,3555))),INDEX(rMed,3555),NA()))</f>
        <v>#N/A</v>
      </c>
    </row>
    <row r="3558">
      <c r="BX3558" t="e">
        <f>IF(OR(cMed=0,cMed2=0,3556&gt;nFilas),NA(),IF(AND(ISNUMBER(INDEX(rMed2,3556)),ISNUMBER(INDEX(rMed,3556))),INDEX(rMed2,3556),NA()))</f>
        <v>#N/A</v>
      </c>
      <c r="BY3558" t="e">
        <f>IF(OR(cMed=0,cMed2=0,3556&gt;nFilas),NA(),IF(AND(ISNUMBER(INDEX(rMed2,3556)),ISNUMBER(INDEX(rMed,3556))),INDEX(rMed,3556),NA()))</f>
        <v>#N/A</v>
      </c>
    </row>
    <row r="3559">
      <c r="BX3559" t="e">
        <f>IF(OR(cMed=0,cMed2=0,3557&gt;nFilas),NA(),IF(AND(ISNUMBER(INDEX(rMed2,3557)),ISNUMBER(INDEX(rMed,3557))),INDEX(rMed2,3557),NA()))</f>
        <v>#N/A</v>
      </c>
      <c r="BY3559" t="e">
        <f>IF(OR(cMed=0,cMed2=0,3557&gt;nFilas),NA(),IF(AND(ISNUMBER(INDEX(rMed2,3557)),ISNUMBER(INDEX(rMed,3557))),INDEX(rMed,3557),NA()))</f>
        <v>#N/A</v>
      </c>
    </row>
    <row r="3560">
      <c r="BX3560" t="e">
        <f>IF(OR(cMed=0,cMed2=0,3558&gt;nFilas),NA(),IF(AND(ISNUMBER(INDEX(rMed2,3558)),ISNUMBER(INDEX(rMed,3558))),INDEX(rMed2,3558),NA()))</f>
        <v>#N/A</v>
      </c>
      <c r="BY3560" t="e">
        <f>IF(OR(cMed=0,cMed2=0,3558&gt;nFilas),NA(),IF(AND(ISNUMBER(INDEX(rMed2,3558)),ISNUMBER(INDEX(rMed,3558))),INDEX(rMed,3558),NA()))</f>
        <v>#N/A</v>
      </c>
    </row>
    <row r="3561">
      <c r="BX3561" t="e">
        <f>IF(OR(cMed=0,cMed2=0,3559&gt;nFilas),NA(),IF(AND(ISNUMBER(INDEX(rMed2,3559)),ISNUMBER(INDEX(rMed,3559))),INDEX(rMed2,3559),NA()))</f>
        <v>#N/A</v>
      </c>
      <c r="BY3561" t="e">
        <f>IF(OR(cMed=0,cMed2=0,3559&gt;nFilas),NA(),IF(AND(ISNUMBER(INDEX(rMed2,3559)),ISNUMBER(INDEX(rMed,3559))),INDEX(rMed,3559),NA()))</f>
        <v>#N/A</v>
      </c>
    </row>
    <row r="3562">
      <c r="BX3562" t="e">
        <f>IF(OR(cMed=0,cMed2=0,3560&gt;nFilas),NA(),IF(AND(ISNUMBER(INDEX(rMed2,3560)),ISNUMBER(INDEX(rMed,3560))),INDEX(rMed2,3560),NA()))</f>
        <v>#N/A</v>
      </c>
      <c r="BY3562" t="e">
        <f>IF(OR(cMed=0,cMed2=0,3560&gt;nFilas),NA(),IF(AND(ISNUMBER(INDEX(rMed2,3560)),ISNUMBER(INDEX(rMed,3560))),INDEX(rMed,3560),NA()))</f>
        <v>#N/A</v>
      </c>
    </row>
    <row r="3563">
      <c r="BX3563" t="e">
        <f>IF(OR(cMed=0,cMed2=0,3561&gt;nFilas),NA(),IF(AND(ISNUMBER(INDEX(rMed2,3561)),ISNUMBER(INDEX(rMed,3561))),INDEX(rMed2,3561),NA()))</f>
        <v>#N/A</v>
      </c>
      <c r="BY3563" t="e">
        <f>IF(OR(cMed=0,cMed2=0,3561&gt;nFilas),NA(),IF(AND(ISNUMBER(INDEX(rMed2,3561)),ISNUMBER(INDEX(rMed,3561))),INDEX(rMed,3561),NA()))</f>
        <v>#N/A</v>
      </c>
    </row>
    <row r="3564">
      <c r="BX3564" t="e">
        <f>IF(OR(cMed=0,cMed2=0,3562&gt;nFilas),NA(),IF(AND(ISNUMBER(INDEX(rMed2,3562)),ISNUMBER(INDEX(rMed,3562))),INDEX(rMed2,3562),NA()))</f>
        <v>#N/A</v>
      </c>
      <c r="BY3564" t="e">
        <f>IF(OR(cMed=0,cMed2=0,3562&gt;nFilas),NA(),IF(AND(ISNUMBER(INDEX(rMed2,3562)),ISNUMBER(INDEX(rMed,3562))),INDEX(rMed,3562),NA()))</f>
        <v>#N/A</v>
      </c>
    </row>
    <row r="3565">
      <c r="BX3565" t="e">
        <f>IF(OR(cMed=0,cMed2=0,3563&gt;nFilas),NA(),IF(AND(ISNUMBER(INDEX(rMed2,3563)),ISNUMBER(INDEX(rMed,3563))),INDEX(rMed2,3563),NA()))</f>
        <v>#N/A</v>
      </c>
      <c r="BY3565" t="e">
        <f>IF(OR(cMed=0,cMed2=0,3563&gt;nFilas),NA(),IF(AND(ISNUMBER(INDEX(rMed2,3563)),ISNUMBER(INDEX(rMed,3563))),INDEX(rMed,3563),NA()))</f>
        <v>#N/A</v>
      </c>
    </row>
    <row r="3566">
      <c r="BX3566" t="e">
        <f>IF(OR(cMed=0,cMed2=0,3564&gt;nFilas),NA(),IF(AND(ISNUMBER(INDEX(rMed2,3564)),ISNUMBER(INDEX(rMed,3564))),INDEX(rMed2,3564),NA()))</f>
        <v>#N/A</v>
      </c>
      <c r="BY3566" t="e">
        <f>IF(OR(cMed=0,cMed2=0,3564&gt;nFilas),NA(),IF(AND(ISNUMBER(INDEX(rMed2,3564)),ISNUMBER(INDEX(rMed,3564))),INDEX(rMed,3564),NA()))</f>
        <v>#N/A</v>
      </c>
    </row>
    <row r="3567">
      <c r="BX3567" t="e">
        <f>IF(OR(cMed=0,cMed2=0,3565&gt;nFilas),NA(),IF(AND(ISNUMBER(INDEX(rMed2,3565)),ISNUMBER(INDEX(rMed,3565))),INDEX(rMed2,3565),NA()))</f>
        <v>#N/A</v>
      </c>
      <c r="BY3567" t="e">
        <f>IF(OR(cMed=0,cMed2=0,3565&gt;nFilas),NA(),IF(AND(ISNUMBER(INDEX(rMed2,3565)),ISNUMBER(INDEX(rMed,3565))),INDEX(rMed,3565),NA()))</f>
        <v>#N/A</v>
      </c>
    </row>
    <row r="3568">
      <c r="BX3568" t="e">
        <f>IF(OR(cMed=0,cMed2=0,3566&gt;nFilas),NA(),IF(AND(ISNUMBER(INDEX(rMed2,3566)),ISNUMBER(INDEX(rMed,3566))),INDEX(rMed2,3566),NA()))</f>
        <v>#N/A</v>
      </c>
      <c r="BY3568" t="e">
        <f>IF(OR(cMed=0,cMed2=0,3566&gt;nFilas),NA(),IF(AND(ISNUMBER(INDEX(rMed2,3566)),ISNUMBER(INDEX(rMed,3566))),INDEX(rMed,3566),NA()))</f>
        <v>#N/A</v>
      </c>
    </row>
    <row r="3569">
      <c r="BX3569" t="e">
        <f>IF(OR(cMed=0,cMed2=0,3567&gt;nFilas),NA(),IF(AND(ISNUMBER(INDEX(rMed2,3567)),ISNUMBER(INDEX(rMed,3567))),INDEX(rMed2,3567),NA()))</f>
        <v>#N/A</v>
      </c>
      <c r="BY3569" t="e">
        <f>IF(OR(cMed=0,cMed2=0,3567&gt;nFilas),NA(),IF(AND(ISNUMBER(INDEX(rMed2,3567)),ISNUMBER(INDEX(rMed,3567))),INDEX(rMed,3567),NA()))</f>
        <v>#N/A</v>
      </c>
    </row>
    <row r="3570">
      <c r="BX3570" t="e">
        <f>IF(OR(cMed=0,cMed2=0,3568&gt;nFilas),NA(),IF(AND(ISNUMBER(INDEX(rMed2,3568)),ISNUMBER(INDEX(rMed,3568))),INDEX(rMed2,3568),NA()))</f>
        <v>#N/A</v>
      </c>
      <c r="BY3570" t="e">
        <f>IF(OR(cMed=0,cMed2=0,3568&gt;nFilas),NA(),IF(AND(ISNUMBER(INDEX(rMed2,3568)),ISNUMBER(INDEX(rMed,3568))),INDEX(rMed,3568),NA()))</f>
        <v>#N/A</v>
      </c>
    </row>
    <row r="3571">
      <c r="BX3571" t="e">
        <f>IF(OR(cMed=0,cMed2=0,3569&gt;nFilas),NA(),IF(AND(ISNUMBER(INDEX(rMed2,3569)),ISNUMBER(INDEX(rMed,3569))),INDEX(rMed2,3569),NA()))</f>
        <v>#N/A</v>
      </c>
      <c r="BY3571" t="e">
        <f>IF(OR(cMed=0,cMed2=0,3569&gt;nFilas),NA(),IF(AND(ISNUMBER(INDEX(rMed2,3569)),ISNUMBER(INDEX(rMed,3569))),INDEX(rMed,3569),NA()))</f>
        <v>#N/A</v>
      </c>
    </row>
    <row r="3572">
      <c r="BX3572" t="e">
        <f>IF(OR(cMed=0,cMed2=0,3570&gt;nFilas),NA(),IF(AND(ISNUMBER(INDEX(rMed2,3570)),ISNUMBER(INDEX(rMed,3570))),INDEX(rMed2,3570),NA()))</f>
        <v>#N/A</v>
      </c>
      <c r="BY3572" t="e">
        <f>IF(OR(cMed=0,cMed2=0,3570&gt;nFilas),NA(),IF(AND(ISNUMBER(INDEX(rMed2,3570)),ISNUMBER(INDEX(rMed,3570))),INDEX(rMed,3570),NA()))</f>
        <v>#N/A</v>
      </c>
    </row>
    <row r="3573">
      <c r="BX3573" t="e">
        <f>IF(OR(cMed=0,cMed2=0,3571&gt;nFilas),NA(),IF(AND(ISNUMBER(INDEX(rMed2,3571)),ISNUMBER(INDEX(rMed,3571))),INDEX(rMed2,3571),NA()))</f>
        <v>#N/A</v>
      </c>
      <c r="BY3573" t="e">
        <f>IF(OR(cMed=0,cMed2=0,3571&gt;nFilas),NA(),IF(AND(ISNUMBER(INDEX(rMed2,3571)),ISNUMBER(INDEX(rMed,3571))),INDEX(rMed,3571),NA()))</f>
        <v>#N/A</v>
      </c>
    </row>
    <row r="3574">
      <c r="BX3574" t="e">
        <f>IF(OR(cMed=0,cMed2=0,3572&gt;nFilas),NA(),IF(AND(ISNUMBER(INDEX(rMed2,3572)),ISNUMBER(INDEX(rMed,3572))),INDEX(rMed2,3572),NA()))</f>
        <v>#N/A</v>
      </c>
      <c r="BY3574" t="e">
        <f>IF(OR(cMed=0,cMed2=0,3572&gt;nFilas),NA(),IF(AND(ISNUMBER(INDEX(rMed2,3572)),ISNUMBER(INDEX(rMed,3572))),INDEX(rMed,3572),NA()))</f>
        <v>#N/A</v>
      </c>
    </row>
    <row r="3575">
      <c r="BX3575" t="e">
        <f>IF(OR(cMed=0,cMed2=0,3573&gt;nFilas),NA(),IF(AND(ISNUMBER(INDEX(rMed2,3573)),ISNUMBER(INDEX(rMed,3573))),INDEX(rMed2,3573),NA()))</f>
        <v>#N/A</v>
      </c>
      <c r="BY3575" t="e">
        <f>IF(OR(cMed=0,cMed2=0,3573&gt;nFilas),NA(),IF(AND(ISNUMBER(INDEX(rMed2,3573)),ISNUMBER(INDEX(rMed,3573))),INDEX(rMed,3573),NA()))</f>
        <v>#N/A</v>
      </c>
    </row>
    <row r="3576">
      <c r="BX3576" t="e">
        <f>IF(OR(cMed=0,cMed2=0,3574&gt;nFilas),NA(),IF(AND(ISNUMBER(INDEX(rMed2,3574)),ISNUMBER(INDEX(rMed,3574))),INDEX(rMed2,3574),NA()))</f>
        <v>#N/A</v>
      </c>
      <c r="BY3576" t="e">
        <f>IF(OR(cMed=0,cMed2=0,3574&gt;nFilas),NA(),IF(AND(ISNUMBER(INDEX(rMed2,3574)),ISNUMBER(INDEX(rMed,3574))),INDEX(rMed,3574),NA()))</f>
        <v>#N/A</v>
      </c>
    </row>
    <row r="3577">
      <c r="BX3577" t="e">
        <f>IF(OR(cMed=0,cMed2=0,3575&gt;nFilas),NA(),IF(AND(ISNUMBER(INDEX(rMed2,3575)),ISNUMBER(INDEX(rMed,3575))),INDEX(rMed2,3575),NA()))</f>
        <v>#N/A</v>
      </c>
      <c r="BY3577" t="e">
        <f>IF(OR(cMed=0,cMed2=0,3575&gt;nFilas),NA(),IF(AND(ISNUMBER(INDEX(rMed2,3575)),ISNUMBER(INDEX(rMed,3575))),INDEX(rMed,3575),NA()))</f>
        <v>#N/A</v>
      </c>
    </row>
    <row r="3578">
      <c r="BX3578" t="e">
        <f>IF(OR(cMed=0,cMed2=0,3576&gt;nFilas),NA(),IF(AND(ISNUMBER(INDEX(rMed2,3576)),ISNUMBER(INDEX(rMed,3576))),INDEX(rMed2,3576),NA()))</f>
        <v>#N/A</v>
      </c>
      <c r="BY3578" t="e">
        <f>IF(OR(cMed=0,cMed2=0,3576&gt;nFilas),NA(),IF(AND(ISNUMBER(INDEX(rMed2,3576)),ISNUMBER(INDEX(rMed,3576))),INDEX(rMed,3576),NA()))</f>
        <v>#N/A</v>
      </c>
    </row>
    <row r="3579">
      <c r="BX3579" t="e">
        <f>IF(OR(cMed=0,cMed2=0,3577&gt;nFilas),NA(),IF(AND(ISNUMBER(INDEX(rMed2,3577)),ISNUMBER(INDEX(rMed,3577))),INDEX(rMed2,3577),NA()))</f>
        <v>#N/A</v>
      </c>
      <c r="BY3579" t="e">
        <f>IF(OR(cMed=0,cMed2=0,3577&gt;nFilas),NA(),IF(AND(ISNUMBER(INDEX(rMed2,3577)),ISNUMBER(INDEX(rMed,3577))),INDEX(rMed,3577),NA()))</f>
        <v>#N/A</v>
      </c>
    </row>
    <row r="3580">
      <c r="BX3580" t="e">
        <f>IF(OR(cMed=0,cMed2=0,3578&gt;nFilas),NA(),IF(AND(ISNUMBER(INDEX(rMed2,3578)),ISNUMBER(INDEX(rMed,3578))),INDEX(rMed2,3578),NA()))</f>
        <v>#N/A</v>
      </c>
      <c r="BY3580" t="e">
        <f>IF(OR(cMed=0,cMed2=0,3578&gt;nFilas),NA(),IF(AND(ISNUMBER(INDEX(rMed2,3578)),ISNUMBER(INDEX(rMed,3578))),INDEX(rMed,3578),NA()))</f>
        <v>#N/A</v>
      </c>
    </row>
    <row r="3581">
      <c r="BX3581" t="e">
        <f>IF(OR(cMed=0,cMed2=0,3579&gt;nFilas),NA(),IF(AND(ISNUMBER(INDEX(rMed2,3579)),ISNUMBER(INDEX(rMed,3579))),INDEX(rMed2,3579),NA()))</f>
        <v>#N/A</v>
      </c>
      <c r="BY3581" t="e">
        <f>IF(OR(cMed=0,cMed2=0,3579&gt;nFilas),NA(),IF(AND(ISNUMBER(INDEX(rMed2,3579)),ISNUMBER(INDEX(rMed,3579))),INDEX(rMed,3579),NA()))</f>
        <v>#N/A</v>
      </c>
    </row>
    <row r="3582">
      <c r="BX3582" t="e">
        <f>IF(OR(cMed=0,cMed2=0,3580&gt;nFilas),NA(),IF(AND(ISNUMBER(INDEX(rMed2,3580)),ISNUMBER(INDEX(rMed,3580))),INDEX(rMed2,3580),NA()))</f>
        <v>#N/A</v>
      </c>
      <c r="BY3582" t="e">
        <f>IF(OR(cMed=0,cMed2=0,3580&gt;nFilas),NA(),IF(AND(ISNUMBER(INDEX(rMed2,3580)),ISNUMBER(INDEX(rMed,3580))),INDEX(rMed,3580),NA()))</f>
        <v>#N/A</v>
      </c>
    </row>
    <row r="3583">
      <c r="BX3583" t="e">
        <f>IF(OR(cMed=0,cMed2=0,3581&gt;nFilas),NA(),IF(AND(ISNUMBER(INDEX(rMed2,3581)),ISNUMBER(INDEX(rMed,3581))),INDEX(rMed2,3581),NA()))</f>
        <v>#N/A</v>
      </c>
      <c r="BY3583" t="e">
        <f>IF(OR(cMed=0,cMed2=0,3581&gt;nFilas),NA(),IF(AND(ISNUMBER(INDEX(rMed2,3581)),ISNUMBER(INDEX(rMed,3581))),INDEX(rMed,3581),NA()))</f>
        <v>#N/A</v>
      </c>
    </row>
    <row r="3584">
      <c r="BX3584" t="e">
        <f>IF(OR(cMed=0,cMed2=0,3582&gt;nFilas),NA(),IF(AND(ISNUMBER(INDEX(rMed2,3582)),ISNUMBER(INDEX(rMed,3582))),INDEX(rMed2,3582),NA()))</f>
        <v>#N/A</v>
      </c>
      <c r="BY3584" t="e">
        <f>IF(OR(cMed=0,cMed2=0,3582&gt;nFilas),NA(),IF(AND(ISNUMBER(INDEX(rMed2,3582)),ISNUMBER(INDEX(rMed,3582))),INDEX(rMed,3582),NA()))</f>
        <v>#N/A</v>
      </c>
    </row>
    <row r="3585">
      <c r="BX3585" t="e">
        <f>IF(OR(cMed=0,cMed2=0,3583&gt;nFilas),NA(),IF(AND(ISNUMBER(INDEX(rMed2,3583)),ISNUMBER(INDEX(rMed,3583))),INDEX(rMed2,3583),NA()))</f>
        <v>#N/A</v>
      </c>
      <c r="BY3585" t="e">
        <f>IF(OR(cMed=0,cMed2=0,3583&gt;nFilas),NA(),IF(AND(ISNUMBER(INDEX(rMed2,3583)),ISNUMBER(INDEX(rMed,3583))),INDEX(rMed,3583),NA()))</f>
        <v>#N/A</v>
      </c>
    </row>
    <row r="3586">
      <c r="BX3586" t="e">
        <f>IF(OR(cMed=0,cMed2=0,3584&gt;nFilas),NA(),IF(AND(ISNUMBER(INDEX(rMed2,3584)),ISNUMBER(INDEX(rMed,3584))),INDEX(rMed2,3584),NA()))</f>
        <v>#N/A</v>
      </c>
      <c r="BY3586" t="e">
        <f>IF(OR(cMed=0,cMed2=0,3584&gt;nFilas),NA(),IF(AND(ISNUMBER(INDEX(rMed2,3584)),ISNUMBER(INDEX(rMed,3584))),INDEX(rMed,3584),NA()))</f>
        <v>#N/A</v>
      </c>
    </row>
    <row r="3587">
      <c r="BX3587" t="e">
        <f>IF(OR(cMed=0,cMed2=0,3585&gt;nFilas),NA(),IF(AND(ISNUMBER(INDEX(rMed2,3585)),ISNUMBER(INDEX(rMed,3585))),INDEX(rMed2,3585),NA()))</f>
        <v>#N/A</v>
      </c>
      <c r="BY3587" t="e">
        <f>IF(OR(cMed=0,cMed2=0,3585&gt;nFilas),NA(),IF(AND(ISNUMBER(INDEX(rMed2,3585)),ISNUMBER(INDEX(rMed,3585))),INDEX(rMed,3585),NA()))</f>
        <v>#N/A</v>
      </c>
    </row>
    <row r="3588">
      <c r="BX3588" t="e">
        <f>IF(OR(cMed=0,cMed2=0,3586&gt;nFilas),NA(),IF(AND(ISNUMBER(INDEX(rMed2,3586)),ISNUMBER(INDEX(rMed,3586))),INDEX(rMed2,3586),NA()))</f>
        <v>#N/A</v>
      </c>
      <c r="BY3588" t="e">
        <f>IF(OR(cMed=0,cMed2=0,3586&gt;nFilas),NA(),IF(AND(ISNUMBER(INDEX(rMed2,3586)),ISNUMBER(INDEX(rMed,3586))),INDEX(rMed,3586),NA()))</f>
        <v>#N/A</v>
      </c>
    </row>
    <row r="3589">
      <c r="BX3589" t="e">
        <f>IF(OR(cMed=0,cMed2=0,3587&gt;nFilas),NA(),IF(AND(ISNUMBER(INDEX(rMed2,3587)),ISNUMBER(INDEX(rMed,3587))),INDEX(rMed2,3587),NA()))</f>
        <v>#N/A</v>
      </c>
      <c r="BY3589" t="e">
        <f>IF(OR(cMed=0,cMed2=0,3587&gt;nFilas),NA(),IF(AND(ISNUMBER(INDEX(rMed2,3587)),ISNUMBER(INDEX(rMed,3587))),INDEX(rMed,3587),NA()))</f>
        <v>#N/A</v>
      </c>
    </row>
    <row r="3590">
      <c r="BX3590" t="e">
        <f>IF(OR(cMed=0,cMed2=0,3588&gt;nFilas),NA(),IF(AND(ISNUMBER(INDEX(rMed2,3588)),ISNUMBER(INDEX(rMed,3588))),INDEX(rMed2,3588),NA()))</f>
        <v>#N/A</v>
      </c>
      <c r="BY3590" t="e">
        <f>IF(OR(cMed=0,cMed2=0,3588&gt;nFilas),NA(),IF(AND(ISNUMBER(INDEX(rMed2,3588)),ISNUMBER(INDEX(rMed,3588))),INDEX(rMed,3588),NA()))</f>
        <v>#N/A</v>
      </c>
    </row>
    <row r="3591">
      <c r="BX3591" t="e">
        <f>IF(OR(cMed=0,cMed2=0,3589&gt;nFilas),NA(),IF(AND(ISNUMBER(INDEX(rMed2,3589)),ISNUMBER(INDEX(rMed,3589))),INDEX(rMed2,3589),NA()))</f>
        <v>#N/A</v>
      </c>
      <c r="BY3591" t="e">
        <f>IF(OR(cMed=0,cMed2=0,3589&gt;nFilas),NA(),IF(AND(ISNUMBER(INDEX(rMed2,3589)),ISNUMBER(INDEX(rMed,3589))),INDEX(rMed,3589),NA()))</f>
        <v>#N/A</v>
      </c>
    </row>
    <row r="3592">
      <c r="BX3592" t="e">
        <f>IF(OR(cMed=0,cMed2=0,3590&gt;nFilas),NA(),IF(AND(ISNUMBER(INDEX(rMed2,3590)),ISNUMBER(INDEX(rMed,3590))),INDEX(rMed2,3590),NA()))</f>
        <v>#N/A</v>
      </c>
      <c r="BY3592" t="e">
        <f>IF(OR(cMed=0,cMed2=0,3590&gt;nFilas),NA(),IF(AND(ISNUMBER(INDEX(rMed2,3590)),ISNUMBER(INDEX(rMed,3590))),INDEX(rMed,3590),NA()))</f>
        <v>#N/A</v>
      </c>
    </row>
    <row r="3593">
      <c r="BX3593" t="e">
        <f>IF(OR(cMed=0,cMed2=0,3591&gt;nFilas),NA(),IF(AND(ISNUMBER(INDEX(rMed2,3591)),ISNUMBER(INDEX(rMed,3591))),INDEX(rMed2,3591),NA()))</f>
        <v>#N/A</v>
      </c>
      <c r="BY3593" t="e">
        <f>IF(OR(cMed=0,cMed2=0,3591&gt;nFilas),NA(),IF(AND(ISNUMBER(INDEX(rMed2,3591)),ISNUMBER(INDEX(rMed,3591))),INDEX(rMed,3591),NA()))</f>
        <v>#N/A</v>
      </c>
    </row>
    <row r="3594">
      <c r="BX3594" t="e">
        <f>IF(OR(cMed=0,cMed2=0,3592&gt;nFilas),NA(),IF(AND(ISNUMBER(INDEX(rMed2,3592)),ISNUMBER(INDEX(rMed,3592))),INDEX(rMed2,3592),NA()))</f>
        <v>#N/A</v>
      </c>
      <c r="BY3594" t="e">
        <f>IF(OR(cMed=0,cMed2=0,3592&gt;nFilas),NA(),IF(AND(ISNUMBER(INDEX(rMed2,3592)),ISNUMBER(INDEX(rMed,3592))),INDEX(rMed,3592),NA()))</f>
        <v>#N/A</v>
      </c>
    </row>
    <row r="3595">
      <c r="BX3595" t="e">
        <f>IF(OR(cMed=0,cMed2=0,3593&gt;nFilas),NA(),IF(AND(ISNUMBER(INDEX(rMed2,3593)),ISNUMBER(INDEX(rMed,3593))),INDEX(rMed2,3593),NA()))</f>
        <v>#N/A</v>
      </c>
      <c r="BY3595" t="e">
        <f>IF(OR(cMed=0,cMed2=0,3593&gt;nFilas),NA(),IF(AND(ISNUMBER(INDEX(rMed2,3593)),ISNUMBER(INDEX(rMed,3593))),INDEX(rMed,3593),NA()))</f>
        <v>#N/A</v>
      </c>
    </row>
    <row r="3596">
      <c r="BX3596" t="e">
        <f>IF(OR(cMed=0,cMed2=0,3594&gt;nFilas),NA(),IF(AND(ISNUMBER(INDEX(rMed2,3594)),ISNUMBER(INDEX(rMed,3594))),INDEX(rMed2,3594),NA()))</f>
        <v>#N/A</v>
      </c>
      <c r="BY3596" t="e">
        <f>IF(OR(cMed=0,cMed2=0,3594&gt;nFilas),NA(),IF(AND(ISNUMBER(INDEX(rMed2,3594)),ISNUMBER(INDEX(rMed,3594))),INDEX(rMed,3594),NA()))</f>
        <v>#N/A</v>
      </c>
    </row>
    <row r="3597">
      <c r="BX3597" t="e">
        <f>IF(OR(cMed=0,cMed2=0,3595&gt;nFilas),NA(),IF(AND(ISNUMBER(INDEX(rMed2,3595)),ISNUMBER(INDEX(rMed,3595))),INDEX(rMed2,3595),NA()))</f>
        <v>#N/A</v>
      </c>
      <c r="BY3597" t="e">
        <f>IF(OR(cMed=0,cMed2=0,3595&gt;nFilas),NA(),IF(AND(ISNUMBER(INDEX(rMed2,3595)),ISNUMBER(INDEX(rMed,3595))),INDEX(rMed,3595),NA()))</f>
        <v>#N/A</v>
      </c>
    </row>
    <row r="3598">
      <c r="BX3598" t="e">
        <f>IF(OR(cMed=0,cMed2=0,3596&gt;nFilas),NA(),IF(AND(ISNUMBER(INDEX(rMed2,3596)),ISNUMBER(INDEX(rMed,3596))),INDEX(rMed2,3596),NA()))</f>
        <v>#N/A</v>
      </c>
      <c r="BY3598" t="e">
        <f>IF(OR(cMed=0,cMed2=0,3596&gt;nFilas),NA(),IF(AND(ISNUMBER(INDEX(rMed2,3596)),ISNUMBER(INDEX(rMed,3596))),INDEX(rMed,3596),NA()))</f>
        <v>#N/A</v>
      </c>
    </row>
    <row r="3599">
      <c r="BX3599" t="e">
        <f>IF(OR(cMed=0,cMed2=0,3597&gt;nFilas),NA(),IF(AND(ISNUMBER(INDEX(rMed2,3597)),ISNUMBER(INDEX(rMed,3597))),INDEX(rMed2,3597),NA()))</f>
        <v>#N/A</v>
      </c>
      <c r="BY3599" t="e">
        <f>IF(OR(cMed=0,cMed2=0,3597&gt;nFilas),NA(),IF(AND(ISNUMBER(INDEX(rMed2,3597)),ISNUMBER(INDEX(rMed,3597))),INDEX(rMed,3597),NA()))</f>
        <v>#N/A</v>
      </c>
    </row>
    <row r="3600">
      <c r="BX3600" t="e">
        <f>IF(OR(cMed=0,cMed2=0,3598&gt;nFilas),NA(),IF(AND(ISNUMBER(INDEX(rMed2,3598)),ISNUMBER(INDEX(rMed,3598))),INDEX(rMed2,3598),NA()))</f>
        <v>#N/A</v>
      </c>
      <c r="BY3600" t="e">
        <f>IF(OR(cMed=0,cMed2=0,3598&gt;nFilas),NA(),IF(AND(ISNUMBER(INDEX(rMed2,3598)),ISNUMBER(INDEX(rMed,3598))),INDEX(rMed,3598),NA()))</f>
        <v>#N/A</v>
      </c>
    </row>
    <row r="3601">
      <c r="BX3601" t="e">
        <f>IF(OR(cMed=0,cMed2=0,3599&gt;nFilas),NA(),IF(AND(ISNUMBER(INDEX(rMed2,3599)),ISNUMBER(INDEX(rMed,3599))),INDEX(rMed2,3599),NA()))</f>
        <v>#N/A</v>
      </c>
      <c r="BY3601" t="e">
        <f>IF(OR(cMed=0,cMed2=0,3599&gt;nFilas),NA(),IF(AND(ISNUMBER(INDEX(rMed2,3599)),ISNUMBER(INDEX(rMed,3599))),INDEX(rMed,3599),NA()))</f>
        <v>#N/A</v>
      </c>
    </row>
    <row r="3602">
      <c r="BX3602" t="e">
        <f>IF(OR(cMed=0,cMed2=0,3600&gt;nFilas),NA(),IF(AND(ISNUMBER(INDEX(rMed2,3600)),ISNUMBER(INDEX(rMed,3600))),INDEX(rMed2,3600),NA()))</f>
        <v>#N/A</v>
      </c>
      <c r="BY3602" t="e">
        <f>IF(OR(cMed=0,cMed2=0,3600&gt;nFilas),NA(),IF(AND(ISNUMBER(INDEX(rMed2,3600)),ISNUMBER(INDEX(rMed,3600))),INDEX(rMed,3600),NA()))</f>
        <v>#N/A</v>
      </c>
    </row>
    <row r="3603">
      <c r="BX3603" t="e">
        <f>IF(OR(cMed=0,cMed2=0,3601&gt;nFilas),NA(),IF(AND(ISNUMBER(INDEX(rMed2,3601)),ISNUMBER(INDEX(rMed,3601))),INDEX(rMed2,3601),NA()))</f>
        <v>#N/A</v>
      </c>
      <c r="BY3603" t="e">
        <f>IF(OR(cMed=0,cMed2=0,3601&gt;nFilas),NA(),IF(AND(ISNUMBER(INDEX(rMed2,3601)),ISNUMBER(INDEX(rMed,3601))),INDEX(rMed,3601),NA()))</f>
        <v>#N/A</v>
      </c>
    </row>
    <row r="3604">
      <c r="BX3604" t="e">
        <f>IF(OR(cMed=0,cMed2=0,3602&gt;nFilas),NA(),IF(AND(ISNUMBER(INDEX(rMed2,3602)),ISNUMBER(INDEX(rMed,3602))),INDEX(rMed2,3602),NA()))</f>
        <v>#N/A</v>
      </c>
      <c r="BY3604" t="e">
        <f>IF(OR(cMed=0,cMed2=0,3602&gt;nFilas),NA(),IF(AND(ISNUMBER(INDEX(rMed2,3602)),ISNUMBER(INDEX(rMed,3602))),INDEX(rMed,3602),NA()))</f>
        <v>#N/A</v>
      </c>
    </row>
    <row r="3605">
      <c r="BX3605" t="e">
        <f>IF(OR(cMed=0,cMed2=0,3603&gt;nFilas),NA(),IF(AND(ISNUMBER(INDEX(rMed2,3603)),ISNUMBER(INDEX(rMed,3603))),INDEX(rMed2,3603),NA()))</f>
        <v>#N/A</v>
      </c>
      <c r="BY3605" t="e">
        <f>IF(OR(cMed=0,cMed2=0,3603&gt;nFilas),NA(),IF(AND(ISNUMBER(INDEX(rMed2,3603)),ISNUMBER(INDEX(rMed,3603))),INDEX(rMed,3603),NA()))</f>
        <v>#N/A</v>
      </c>
    </row>
    <row r="3606">
      <c r="BX3606" t="e">
        <f>IF(OR(cMed=0,cMed2=0,3604&gt;nFilas),NA(),IF(AND(ISNUMBER(INDEX(rMed2,3604)),ISNUMBER(INDEX(rMed,3604))),INDEX(rMed2,3604),NA()))</f>
        <v>#N/A</v>
      </c>
      <c r="BY3606" t="e">
        <f>IF(OR(cMed=0,cMed2=0,3604&gt;nFilas),NA(),IF(AND(ISNUMBER(INDEX(rMed2,3604)),ISNUMBER(INDEX(rMed,3604))),INDEX(rMed,3604),NA()))</f>
        <v>#N/A</v>
      </c>
    </row>
    <row r="3607">
      <c r="BX3607" t="e">
        <f>IF(OR(cMed=0,cMed2=0,3605&gt;nFilas),NA(),IF(AND(ISNUMBER(INDEX(rMed2,3605)),ISNUMBER(INDEX(rMed,3605))),INDEX(rMed2,3605),NA()))</f>
        <v>#N/A</v>
      </c>
      <c r="BY3607" t="e">
        <f>IF(OR(cMed=0,cMed2=0,3605&gt;nFilas),NA(),IF(AND(ISNUMBER(INDEX(rMed2,3605)),ISNUMBER(INDEX(rMed,3605))),INDEX(rMed,3605),NA()))</f>
        <v>#N/A</v>
      </c>
    </row>
    <row r="3608">
      <c r="BX3608" t="e">
        <f>IF(OR(cMed=0,cMed2=0,3606&gt;nFilas),NA(),IF(AND(ISNUMBER(INDEX(rMed2,3606)),ISNUMBER(INDEX(rMed,3606))),INDEX(rMed2,3606),NA()))</f>
        <v>#N/A</v>
      </c>
      <c r="BY3608" t="e">
        <f>IF(OR(cMed=0,cMed2=0,3606&gt;nFilas),NA(),IF(AND(ISNUMBER(INDEX(rMed2,3606)),ISNUMBER(INDEX(rMed,3606))),INDEX(rMed,3606),NA()))</f>
        <v>#N/A</v>
      </c>
    </row>
    <row r="3609">
      <c r="BX3609" t="e">
        <f>IF(OR(cMed=0,cMed2=0,3607&gt;nFilas),NA(),IF(AND(ISNUMBER(INDEX(rMed2,3607)),ISNUMBER(INDEX(rMed,3607))),INDEX(rMed2,3607),NA()))</f>
        <v>#N/A</v>
      </c>
      <c r="BY3609" t="e">
        <f>IF(OR(cMed=0,cMed2=0,3607&gt;nFilas),NA(),IF(AND(ISNUMBER(INDEX(rMed2,3607)),ISNUMBER(INDEX(rMed,3607))),INDEX(rMed,3607),NA()))</f>
        <v>#N/A</v>
      </c>
    </row>
    <row r="3610">
      <c r="BX3610" t="e">
        <f>IF(OR(cMed=0,cMed2=0,3608&gt;nFilas),NA(),IF(AND(ISNUMBER(INDEX(rMed2,3608)),ISNUMBER(INDEX(rMed,3608))),INDEX(rMed2,3608),NA()))</f>
        <v>#N/A</v>
      </c>
      <c r="BY3610" t="e">
        <f>IF(OR(cMed=0,cMed2=0,3608&gt;nFilas),NA(),IF(AND(ISNUMBER(INDEX(rMed2,3608)),ISNUMBER(INDEX(rMed,3608))),INDEX(rMed,3608),NA()))</f>
        <v>#N/A</v>
      </c>
    </row>
    <row r="3611">
      <c r="BX3611" t="e">
        <f>IF(OR(cMed=0,cMed2=0,3609&gt;nFilas),NA(),IF(AND(ISNUMBER(INDEX(rMed2,3609)),ISNUMBER(INDEX(rMed,3609))),INDEX(rMed2,3609),NA()))</f>
        <v>#N/A</v>
      </c>
      <c r="BY3611" t="e">
        <f>IF(OR(cMed=0,cMed2=0,3609&gt;nFilas),NA(),IF(AND(ISNUMBER(INDEX(rMed2,3609)),ISNUMBER(INDEX(rMed,3609))),INDEX(rMed,3609),NA()))</f>
        <v>#N/A</v>
      </c>
    </row>
    <row r="3612">
      <c r="BX3612" t="e">
        <f>IF(OR(cMed=0,cMed2=0,3610&gt;nFilas),NA(),IF(AND(ISNUMBER(INDEX(rMed2,3610)),ISNUMBER(INDEX(rMed,3610))),INDEX(rMed2,3610),NA()))</f>
        <v>#N/A</v>
      </c>
      <c r="BY3612" t="e">
        <f>IF(OR(cMed=0,cMed2=0,3610&gt;nFilas),NA(),IF(AND(ISNUMBER(INDEX(rMed2,3610)),ISNUMBER(INDEX(rMed,3610))),INDEX(rMed,3610),NA()))</f>
        <v>#N/A</v>
      </c>
    </row>
    <row r="3613">
      <c r="BX3613" t="e">
        <f>IF(OR(cMed=0,cMed2=0,3611&gt;nFilas),NA(),IF(AND(ISNUMBER(INDEX(rMed2,3611)),ISNUMBER(INDEX(rMed,3611))),INDEX(rMed2,3611),NA()))</f>
        <v>#N/A</v>
      </c>
      <c r="BY3613" t="e">
        <f>IF(OR(cMed=0,cMed2=0,3611&gt;nFilas),NA(),IF(AND(ISNUMBER(INDEX(rMed2,3611)),ISNUMBER(INDEX(rMed,3611))),INDEX(rMed,3611),NA()))</f>
        <v>#N/A</v>
      </c>
    </row>
    <row r="3614">
      <c r="BX3614" t="e">
        <f>IF(OR(cMed=0,cMed2=0,3612&gt;nFilas),NA(),IF(AND(ISNUMBER(INDEX(rMed2,3612)),ISNUMBER(INDEX(rMed,3612))),INDEX(rMed2,3612),NA()))</f>
        <v>#N/A</v>
      </c>
      <c r="BY3614" t="e">
        <f>IF(OR(cMed=0,cMed2=0,3612&gt;nFilas),NA(),IF(AND(ISNUMBER(INDEX(rMed2,3612)),ISNUMBER(INDEX(rMed,3612))),INDEX(rMed,3612),NA()))</f>
        <v>#N/A</v>
      </c>
    </row>
    <row r="3615">
      <c r="BX3615" t="e">
        <f>IF(OR(cMed=0,cMed2=0,3613&gt;nFilas),NA(),IF(AND(ISNUMBER(INDEX(rMed2,3613)),ISNUMBER(INDEX(rMed,3613))),INDEX(rMed2,3613),NA()))</f>
        <v>#N/A</v>
      </c>
      <c r="BY3615" t="e">
        <f>IF(OR(cMed=0,cMed2=0,3613&gt;nFilas),NA(),IF(AND(ISNUMBER(INDEX(rMed2,3613)),ISNUMBER(INDEX(rMed,3613))),INDEX(rMed,3613),NA()))</f>
        <v>#N/A</v>
      </c>
    </row>
    <row r="3616">
      <c r="BX3616" t="e">
        <f>IF(OR(cMed=0,cMed2=0,3614&gt;nFilas),NA(),IF(AND(ISNUMBER(INDEX(rMed2,3614)),ISNUMBER(INDEX(rMed,3614))),INDEX(rMed2,3614),NA()))</f>
        <v>#N/A</v>
      </c>
      <c r="BY3616" t="e">
        <f>IF(OR(cMed=0,cMed2=0,3614&gt;nFilas),NA(),IF(AND(ISNUMBER(INDEX(rMed2,3614)),ISNUMBER(INDEX(rMed,3614))),INDEX(rMed,3614),NA()))</f>
        <v>#N/A</v>
      </c>
    </row>
    <row r="3617">
      <c r="BX3617" t="e">
        <f>IF(OR(cMed=0,cMed2=0,3615&gt;nFilas),NA(),IF(AND(ISNUMBER(INDEX(rMed2,3615)),ISNUMBER(INDEX(rMed,3615))),INDEX(rMed2,3615),NA()))</f>
        <v>#N/A</v>
      </c>
      <c r="BY3617" t="e">
        <f>IF(OR(cMed=0,cMed2=0,3615&gt;nFilas),NA(),IF(AND(ISNUMBER(INDEX(rMed2,3615)),ISNUMBER(INDEX(rMed,3615))),INDEX(rMed,3615),NA()))</f>
        <v>#N/A</v>
      </c>
    </row>
    <row r="3618">
      <c r="BX3618" t="e">
        <f>IF(OR(cMed=0,cMed2=0,3616&gt;nFilas),NA(),IF(AND(ISNUMBER(INDEX(rMed2,3616)),ISNUMBER(INDEX(rMed,3616))),INDEX(rMed2,3616),NA()))</f>
        <v>#N/A</v>
      </c>
      <c r="BY3618" t="e">
        <f>IF(OR(cMed=0,cMed2=0,3616&gt;nFilas),NA(),IF(AND(ISNUMBER(INDEX(rMed2,3616)),ISNUMBER(INDEX(rMed,3616))),INDEX(rMed,3616),NA()))</f>
        <v>#N/A</v>
      </c>
    </row>
    <row r="3619">
      <c r="BX3619" t="e">
        <f>IF(OR(cMed=0,cMed2=0,3617&gt;nFilas),NA(),IF(AND(ISNUMBER(INDEX(rMed2,3617)),ISNUMBER(INDEX(rMed,3617))),INDEX(rMed2,3617),NA()))</f>
        <v>#N/A</v>
      </c>
      <c r="BY3619" t="e">
        <f>IF(OR(cMed=0,cMed2=0,3617&gt;nFilas),NA(),IF(AND(ISNUMBER(INDEX(rMed2,3617)),ISNUMBER(INDEX(rMed,3617))),INDEX(rMed,3617),NA()))</f>
        <v>#N/A</v>
      </c>
    </row>
    <row r="3620">
      <c r="BX3620" t="e">
        <f>IF(OR(cMed=0,cMed2=0,3618&gt;nFilas),NA(),IF(AND(ISNUMBER(INDEX(rMed2,3618)),ISNUMBER(INDEX(rMed,3618))),INDEX(rMed2,3618),NA()))</f>
        <v>#N/A</v>
      </c>
      <c r="BY3620" t="e">
        <f>IF(OR(cMed=0,cMed2=0,3618&gt;nFilas),NA(),IF(AND(ISNUMBER(INDEX(rMed2,3618)),ISNUMBER(INDEX(rMed,3618))),INDEX(rMed,3618),NA()))</f>
        <v>#N/A</v>
      </c>
    </row>
    <row r="3621">
      <c r="BX3621" t="e">
        <f>IF(OR(cMed=0,cMed2=0,3619&gt;nFilas),NA(),IF(AND(ISNUMBER(INDEX(rMed2,3619)),ISNUMBER(INDEX(rMed,3619))),INDEX(rMed2,3619),NA()))</f>
        <v>#N/A</v>
      </c>
      <c r="BY3621" t="e">
        <f>IF(OR(cMed=0,cMed2=0,3619&gt;nFilas),NA(),IF(AND(ISNUMBER(INDEX(rMed2,3619)),ISNUMBER(INDEX(rMed,3619))),INDEX(rMed,3619),NA()))</f>
        <v>#N/A</v>
      </c>
    </row>
    <row r="3622">
      <c r="BX3622" t="e">
        <f>IF(OR(cMed=0,cMed2=0,3620&gt;nFilas),NA(),IF(AND(ISNUMBER(INDEX(rMed2,3620)),ISNUMBER(INDEX(rMed,3620))),INDEX(rMed2,3620),NA()))</f>
        <v>#N/A</v>
      </c>
      <c r="BY3622" t="e">
        <f>IF(OR(cMed=0,cMed2=0,3620&gt;nFilas),NA(),IF(AND(ISNUMBER(INDEX(rMed2,3620)),ISNUMBER(INDEX(rMed,3620))),INDEX(rMed,3620),NA()))</f>
        <v>#N/A</v>
      </c>
    </row>
    <row r="3623">
      <c r="BX3623" t="e">
        <f>IF(OR(cMed=0,cMed2=0,3621&gt;nFilas),NA(),IF(AND(ISNUMBER(INDEX(rMed2,3621)),ISNUMBER(INDEX(rMed,3621))),INDEX(rMed2,3621),NA()))</f>
        <v>#N/A</v>
      </c>
      <c r="BY3623" t="e">
        <f>IF(OR(cMed=0,cMed2=0,3621&gt;nFilas),NA(),IF(AND(ISNUMBER(INDEX(rMed2,3621)),ISNUMBER(INDEX(rMed,3621))),INDEX(rMed,3621),NA()))</f>
        <v>#N/A</v>
      </c>
    </row>
    <row r="3624">
      <c r="BX3624" t="e">
        <f>IF(OR(cMed=0,cMed2=0,3622&gt;nFilas),NA(),IF(AND(ISNUMBER(INDEX(rMed2,3622)),ISNUMBER(INDEX(rMed,3622))),INDEX(rMed2,3622),NA()))</f>
        <v>#N/A</v>
      </c>
      <c r="BY3624" t="e">
        <f>IF(OR(cMed=0,cMed2=0,3622&gt;nFilas),NA(),IF(AND(ISNUMBER(INDEX(rMed2,3622)),ISNUMBER(INDEX(rMed,3622))),INDEX(rMed,3622),NA()))</f>
        <v>#N/A</v>
      </c>
    </row>
    <row r="3625">
      <c r="BX3625" t="e">
        <f>IF(OR(cMed=0,cMed2=0,3623&gt;nFilas),NA(),IF(AND(ISNUMBER(INDEX(rMed2,3623)),ISNUMBER(INDEX(rMed,3623))),INDEX(rMed2,3623),NA()))</f>
        <v>#N/A</v>
      </c>
      <c r="BY3625" t="e">
        <f>IF(OR(cMed=0,cMed2=0,3623&gt;nFilas),NA(),IF(AND(ISNUMBER(INDEX(rMed2,3623)),ISNUMBER(INDEX(rMed,3623))),INDEX(rMed,3623),NA()))</f>
        <v>#N/A</v>
      </c>
    </row>
    <row r="3626">
      <c r="BX3626" t="e">
        <f>IF(OR(cMed=0,cMed2=0,3624&gt;nFilas),NA(),IF(AND(ISNUMBER(INDEX(rMed2,3624)),ISNUMBER(INDEX(rMed,3624))),INDEX(rMed2,3624),NA()))</f>
        <v>#N/A</v>
      </c>
      <c r="BY3626" t="e">
        <f>IF(OR(cMed=0,cMed2=0,3624&gt;nFilas),NA(),IF(AND(ISNUMBER(INDEX(rMed2,3624)),ISNUMBER(INDEX(rMed,3624))),INDEX(rMed,3624),NA()))</f>
        <v>#N/A</v>
      </c>
    </row>
    <row r="3627">
      <c r="BX3627" t="e">
        <f>IF(OR(cMed=0,cMed2=0,3625&gt;nFilas),NA(),IF(AND(ISNUMBER(INDEX(rMed2,3625)),ISNUMBER(INDEX(rMed,3625))),INDEX(rMed2,3625),NA()))</f>
        <v>#N/A</v>
      </c>
      <c r="BY3627" t="e">
        <f>IF(OR(cMed=0,cMed2=0,3625&gt;nFilas),NA(),IF(AND(ISNUMBER(INDEX(rMed2,3625)),ISNUMBER(INDEX(rMed,3625))),INDEX(rMed,3625),NA()))</f>
        <v>#N/A</v>
      </c>
    </row>
    <row r="3628">
      <c r="BX3628" t="e">
        <f>IF(OR(cMed=0,cMed2=0,3626&gt;nFilas),NA(),IF(AND(ISNUMBER(INDEX(rMed2,3626)),ISNUMBER(INDEX(rMed,3626))),INDEX(rMed2,3626),NA()))</f>
        <v>#N/A</v>
      </c>
      <c r="BY3628" t="e">
        <f>IF(OR(cMed=0,cMed2=0,3626&gt;nFilas),NA(),IF(AND(ISNUMBER(INDEX(rMed2,3626)),ISNUMBER(INDEX(rMed,3626))),INDEX(rMed,3626),NA()))</f>
        <v>#N/A</v>
      </c>
    </row>
    <row r="3629">
      <c r="BX3629" t="e">
        <f>IF(OR(cMed=0,cMed2=0,3627&gt;nFilas),NA(),IF(AND(ISNUMBER(INDEX(rMed2,3627)),ISNUMBER(INDEX(rMed,3627))),INDEX(rMed2,3627),NA()))</f>
        <v>#N/A</v>
      </c>
      <c r="BY3629" t="e">
        <f>IF(OR(cMed=0,cMed2=0,3627&gt;nFilas),NA(),IF(AND(ISNUMBER(INDEX(rMed2,3627)),ISNUMBER(INDEX(rMed,3627))),INDEX(rMed,3627),NA()))</f>
        <v>#N/A</v>
      </c>
    </row>
    <row r="3630">
      <c r="BX3630" t="e">
        <f>IF(OR(cMed=0,cMed2=0,3628&gt;nFilas),NA(),IF(AND(ISNUMBER(INDEX(rMed2,3628)),ISNUMBER(INDEX(rMed,3628))),INDEX(rMed2,3628),NA()))</f>
        <v>#N/A</v>
      </c>
      <c r="BY3630" t="e">
        <f>IF(OR(cMed=0,cMed2=0,3628&gt;nFilas),NA(),IF(AND(ISNUMBER(INDEX(rMed2,3628)),ISNUMBER(INDEX(rMed,3628))),INDEX(rMed,3628),NA()))</f>
        <v>#N/A</v>
      </c>
    </row>
    <row r="3631">
      <c r="BX3631" t="e">
        <f>IF(OR(cMed=0,cMed2=0,3629&gt;nFilas),NA(),IF(AND(ISNUMBER(INDEX(rMed2,3629)),ISNUMBER(INDEX(rMed,3629))),INDEX(rMed2,3629),NA()))</f>
        <v>#N/A</v>
      </c>
      <c r="BY3631" t="e">
        <f>IF(OR(cMed=0,cMed2=0,3629&gt;nFilas),NA(),IF(AND(ISNUMBER(INDEX(rMed2,3629)),ISNUMBER(INDEX(rMed,3629))),INDEX(rMed,3629),NA()))</f>
        <v>#N/A</v>
      </c>
    </row>
    <row r="3632">
      <c r="BX3632" t="e">
        <f>IF(OR(cMed=0,cMed2=0,3630&gt;nFilas),NA(),IF(AND(ISNUMBER(INDEX(rMed2,3630)),ISNUMBER(INDEX(rMed,3630))),INDEX(rMed2,3630),NA()))</f>
        <v>#N/A</v>
      </c>
      <c r="BY3632" t="e">
        <f>IF(OR(cMed=0,cMed2=0,3630&gt;nFilas),NA(),IF(AND(ISNUMBER(INDEX(rMed2,3630)),ISNUMBER(INDEX(rMed,3630))),INDEX(rMed,3630),NA()))</f>
        <v>#N/A</v>
      </c>
    </row>
    <row r="3633">
      <c r="BX3633" t="e">
        <f>IF(OR(cMed=0,cMed2=0,3631&gt;nFilas),NA(),IF(AND(ISNUMBER(INDEX(rMed2,3631)),ISNUMBER(INDEX(rMed,3631))),INDEX(rMed2,3631),NA()))</f>
        <v>#N/A</v>
      </c>
      <c r="BY3633" t="e">
        <f>IF(OR(cMed=0,cMed2=0,3631&gt;nFilas),NA(),IF(AND(ISNUMBER(INDEX(rMed2,3631)),ISNUMBER(INDEX(rMed,3631))),INDEX(rMed,3631),NA()))</f>
        <v>#N/A</v>
      </c>
    </row>
    <row r="3634">
      <c r="BX3634" t="e">
        <f>IF(OR(cMed=0,cMed2=0,3632&gt;nFilas),NA(),IF(AND(ISNUMBER(INDEX(rMed2,3632)),ISNUMBER(INDEX(rMed,3632))),INDEX(rMed2,3632),NA()))</f>
        <v>#N/A</v>
      </c>
      <c r="BY3634" t="e">
        <f>IF(OR(cMed=0,cMed2=0,3632&gt;nFilas),NA(),IF(AND(ISNUMBER(INDEX(rMed2,3632)),ISNUMBER(INDEX(rMed,3632))),INDEX(rMed,3632),NA()))</f>
        <v>#N/A</v>
      </c>
    </row>
    <row r="3635">
      <c r="BX3635" t="e">
        <f>IF(OR(cMed=0,cMed2=0,3633&gt;nFilas),NA(),IF(AND(ISNUMBER(INDEX(rMed2,3633)),ISNUMBER(INDEX(rMed,3633))),INDEX(rMed2,3633),NA()))</f>
        <v>#N/A</v>
      </c>
      <c r="BY3635" t="e">
        <f>IF(OR(cMed=0,cMed2=0,3633&gt;nFilas),NA(),IF(AND(ISNUMBER(INDEX(rMed2,3633)),ISNUMBER(INDEX(rMed,3633))),INDEX(rMed,3633),NA()))</f>
        <v>#N/A</v>
      </c>
    </row>
    <row r="3636">
      <c r="BX3636" t="e">
        <f>IF(OR(cMed=0,cMed2=0,3634&gt;nFilas),NA(),IF(AND(ISNUMBER(INDEX(rMed2,3634)),ISNUMBER(INDEX(rMed,3634))),INDEX(rMed2,3634),NA()))</f>
        <v>#N/A</v>
      </c>
      <c r="BY3636" t="e">
        <f>IF(OR(cMed=0,cMed2=0,3634&gt;nFilas),NA(),IF(AND(ISNUMBER(INDEX(rMed2,3634)),ISNUMBER(INDEX(rMed,3634))),INDEX(rMed,3634),NA()))</f>
        <v>#N/A</v>
      </c>
    </row>
    <row r="3637">
      <c r="BX3637" t="e">
        <f>IF(OR(cMed=0,cMed2=0,3635&gt;nFilas),NA(),IF(AND(ISNUMBER(INDEX(rMed2,3635)),ISNUMBER(INDEX(rMed,3635))),INDEX(rMed2,3635),NA()))</f>
        <v>#N/A</v>
      </c>
      <c r="BY3637" t="e">
        <f>IF(OR(cMed=0,cMed2=0,3635&gt;nFilas),NA(),IF(AND(ISNUMBER(INDEX(rMed2,3635)),ISNUMBER(INDEX(rMed,3635))),INDEX(rMed,3635),NA()))</f>
        <v>#N/A</v>
      </c>
    </row>
    <row r="3638">
      <c r="BX3638" t="e">
        <f>IF(OR(cMed=0,cMed2=0,3636&gt;nFilas),NA(),IF(AND(ISNUMBER(INDEX(rMed2,3636)),ISNUMBER(INDEX(rMed,3636))),INDEX(rMed2,3636),NA()))</f>
        <v>#N/A</v>
      </c>
      <c r="BY3638" t="e">
        <f>IF(OR(cMed=0,cMed2=0,3636&gt;nFilas),NA(),IF(AND(ISNUMBER(INDEX(rMed2,3636)),ISNUMBER(INDEX(rMed,3636))),INDEX(rMed,3636),NA()))</f>
        <v>#N/A</v>
      </c>
    </row>
    <row r="3639">
      <c r="BX3639" t="e">
        <f>IF(OR(cMed=0,cMed2=0,3637&gt;nFilas),NA(),IF(AND(ISNUMBER(INDEX(rMed2,3637)),ISNUMBER(INDEX(rMed,3637))),INDEX(rMed2,3637),NA()))</f>
        <v>#N/A</v>
      </c>
      <c r="BY3639" t="e">
        <f>IF(OR(cMed=0,cMed2=0,3637&gt;nFilas),NA(),IF(AND(ISNUMBER(INDEX(rMed2,3637)),ISNUMBER(INDEX(rMed,3637))),INDEX(rMed,3637),NA()))</f>
        <v>#N/A</v>
      </c>
    </row>
    <row r="3640">
      <c r="BX3640" t="e">
        <f>IF(OR(cMed=0,cMed2=0,3638&gt;nFilas),NA(),IF(AND(ISNUMBER(INDEX(rMed2,3638)),ISNUMBER(INDEX(rMed,3638))),INDEX(rMed2,3638),NA()))</f>
        <v>#N/A</v>
      </c>
      <c r="BY3640" t="e">
        <f>IF(OR(cMed=0,cMed2=0,3638&gt;nFilas),NA(),IF(AND(ISNUMBER(INDEX(rMed2,3638)),ISNUMBER(INDEX(rMed,3638))),INDEX(rMed,3638),NA()))</f>
        <v>#N/A</v>
      </c>
    </row>
    <row r="3641">
      <c r="BX3641" t="e">
        <f>IF(OR(cMed=0,cMed2=0,3639&gt;nFilas),NA(),IF(AND(ISNUMBER(INDEX(rMed2,3639)),ISNUMBER(INDEX(rMed,3639))),INDEX(rMed2,3639),NA()))</f>
        <v>#N/A</v>
      </c>
      <c r="BY3641" t="e">
        <f>IF(OR(cMed=0,cMed2=0,3639&gt;nFilas),NA(),IF(AND(ISNUMBER(INDEX(rMed2,3639)),ISNUMBER(INDEX(rMed,3639))),INDEX(rMed,3639),NA()))</f>
        <v>#N/A</v>
      </c>
    </row>
    <row r="3642">
      <c r="BX3642" t="e">
        <f>IF(OR(cMed=0,cMed2=0,3640&gt;nFilas),NA(),IF(AND(ISNUMBER(INDEX(rMed2,3640)),ISNUMBER(INDEX(rMed,3640))),INDEX(rMed2,3640),NA()))</f>
        <v>#N/A</v>
      </c>
      <c r="BY3642" t="e">
        <f>IF(OR(cMed=0,cMed2=0,3640&gt;nFilas),NA(),IF(AND(ISNUMBER(INDEX(rMed2,3640)),ISNUMBER(INDEX(rMed,3640))),INDEX(rMed,3640),NA()))</f>
        <v>#N/A</v>
      </c>
    </row>
    <row r="3643">
      <c r="BX3643" t="e">
        <f>IF(OR(cMed=0,cMed2=0,3641&gt;nFilas),NA(),IF(AND(ISNUMBER(INDEX(rMed2,3641)),ISNUMBER(INDEX(rMed,3641))),INDEX(rMed2,3641),NA()))</f>
        <v>#N/A</v>
      </c>
      <c r="BY3643" t="e">
        <f>IF(OR(cMed=0,cMed2=0,3641&gt;nFilas),NA(),IF(AND(ISNUMBER(INDEX(rMed2,3641)),ISNUMBER(INDEX(rMed,3641))),INDEX(rMed,3641),NA()))</f>
        <v>#N/A</v>
      </c>
    </row>
    <row r="3644">
      <c r="BX3644" t="e">
        <f>IF(OR(cMed=0,cMed2=0,3642&gt;nFilas),NA(),IF(AND(ISNUMBER(INDEX(rMed2,3642)),ISNUMBER(INDEX(rMed,3642))),INDEX(rMed2,3642),NA()))</f>
        <v>#N/A</v>
      </c>
      <c r="BY3644" t="e">
        <f>IF(OR(cMed=0,cMed2=0,3642&gt;nFilas),NA(),IF(AND(ISNUMBER(INDEX(rMed2,3642)),ISNUMBER(INDEX(rMed,3642))),INDEX(rMed,3642),NA()))</f>
        <v>#N/A</v>
      </c>
    </row>
    <row r="3645">
      <c r="BX3645" t="e">
        <f>IF(OR(cMed=0,cMed2=0,3643&gt;nFilas),NA(),IF(AND(ISNUMBER(INDEX(rMed2,3643)),ISNUMBER(INDEX(rMed,3643))),INDEX(rMed2,3643),NA()))</f>
        <v>#N/A</v>
      </c>
      <c r="BY3645" t="e">
        <f>IF(OR(cMed=0,cMed2=0,3643&gt;nFilas),NA(),IF(AND(ISNUMBER(INDEX(rMed2,3643)),ISNUMBER(INDEX(rMed,3643))),INDEX(rMed,3643),NA()))</f>
        <v>#N/A</v>
      </c>
    </row>
    <row r="3646">
      <c r="BX3646" t="e">
        <f>IF(OR(cMed=0,cMed2=0,3644&gt;nFilas),NA(),IF(AND(ISNUMBER(INDEX(rMed2,3644)),ISNUMBER(INDEX(rMed,3644))),INDEX(rMed2,3644),NA()))</f>
        <v>#N/A</v>
      </c>
      <c r="BY3646" t="e">
        <f>IF(OR(cMed=0,cMed2=0,3644&gt;nFilas),NA(),IF(AND(ISNUMBER(INDEX(rMed2,3644)),ISNUMBER(INDEX(rMed,3644))),INDEX(rMed,3644),NA()))</f>
        <v>#N/A</v>
      </c>
    </row>
    <row r="3647">
      <c r="BX3647" t="e">
        <f>IF(OR(cMed=0,cMed2=0,3645&gt;nFilas),NA(),IF(AND(ISNUMBER(INDEX(rMed2,3645)),ISNUMBER(INDEX(rMed,3645))),INDEX(rMed2,3645),NA()))</f>
        <v>#N/A</v>
      </c>
      <c r="BY3647" t="e">
        <f>IF(OR(cMed=0,cMed2=0,3645&gt;nFilas),NA(),IF(AND(ISNUMBER(INDEX(rMed2,3645)),ISNUMBER(INDEX(rMed,3645))),INDEX(rMed,3645),NA()))</f>
        <v>#N/A</v>
      </c>
    </row>
    <row r="3648">
      <c r="BX3648" t="e">
        <f>IF(OR(cMed=0,cMed2=0,3646&gt;nFilas),NA(),IF(AND(ISNUMBER(INDEX(rMed2,3646)),ISNUMBER(INDEX(rMed,3646))),INDEX(rMed2,3646),NA()))</f>
        <v>#N/A</v>
      </c>
      <c r="BY3648" t="e">
        <f>IF(OR(cMed=0,cMed2=0,3646&gt;nFilas),NA(),IF(AND(ISNUMBER(INDEX(rMed2,3646)),ISNUMBER(INDEX(rMed,3646))),INDEX(rMed,3646),NA()))</f>
        <v>#N/A</v>
      </c>
    </row>
    <row r="3649">
      <c r="BX3649" t="e">
        <f>IF(OR(cMed=0,cMed2=0,3647&gt;nFilas),NA(),IF(AND(ISNUMBER(INDEX(rMed2,3647)),ISNUMBER(INDEX(rMed,3647))),INDEX(rMed2,3647),NA()))</f>
        <v>#N/A</v>
      </c>
      <c r="BY3649" t="e">
        <f>IF(OR(cMed=0,cMed2=0,3647&gt;nFilas),NA(),IF(AND(ISNUMBER(INDEX(rMed2,3647)),ISNUMBER(INDEX(rMed,3647))),INDEX(rMed,3647),NA()))</f>
        <v>#N/A</v>
      </c>
    </row>
    <row r="3650">
      <c r="BX3650" t="e">
        <f>IF(OR(cMed=0,cMed2=0,3648&gt;nFilas),NA(),IF(AND(ISNUMBER(INDEX(rMed2,3648)),ISNUMBER(INDEX(rMed,3648))),INDEX(rMed2,3648),NA()))</f>
        <v>#N/A</v>
      </c>
      <c r="BY3650" t="e">
        <f>IF(OR(cMed=0,cMed2=0,3648&gt;nFilas),NA(),IF(AND(ISNUMBER(INDEX(rMed2,3648)),ISNUMBER(INDEX(rMed,3648))),INDEX(rMed,3648),NA()))</f>
        <v>#N/A</v>
      </c>
    </row>
    <row r="3651">
      <c r="BX3651" t="e">
        <f>IF(OR(cMed=0,cMed2=0,3649&gt;nFilas),NA(),IF(AND(ISNUMBER(INDEX(rMed2,3649)),ISNUMBER(INDEX(rMed,3649))),INDEX(rMed2,3649),NA()))</f>
        <v>#N/A</v>
      </c>
      <c r="BY3651" t="e">
        <f>IF(OR(cMed=0,cMed2=0,3649&gt;nFilas),NA(),IF(AND(ISNUMBER(INDEX(rMed2,3649)),ISNUMBER(INDEX(rMed,3649))),INDEX(rMed,3649),NA()))</f>
        <v>#N/A</v>
      </c>
    </row>
    <row r="3652">
      <c r="BX3652" t="e">
        <f>IF(OR(cMed=0,cMed2=0,3650&gt;nFilas),NA(),IF(AND(ISNUMBER(INDEX(rMed2,3650)),ISNUMBER(INDEX(rMed,3650))),INDEX(rMed2,3650),NA()))</f>
        <v>#N/A</v>
      </c>
      <c r="BY3652" t="e">
        <f>IF(OR(cMed=0,cMed2=0,3650&gt;nFilas),NA(),IF(AND(ISNUMBER(INDEX(rMed2,3650)),ISNUMBER(INDEX(rMed,3650))),INDEX(rMed,3650),NA()))</f>
        <v>#N/A</v>
      </c>
    </row>
    <row r="3653">
      <c r="BX3653" t="e">
        <f>IF(OR(cMed=0,cMed2=0,3651&gt;nFilas),NA(),IF(AND(ISNUMBER(INDEX(rMed2,3651)),ISNUMBER(INDEX(rMed,3651))),INDEX(rMed2,3651),NA()))</f>
        <v>#N/A</v>
      </c>
      <c r="BY3653" t="e">
        <f>IF(OR(cMed=0,cMed2=0,3651&gt;nFilas),NA(),IF(AND(ISNUMBER(INDEX(rMed2,3651)),ISNUMBER(INDEX(rMed,3651))),INDEX(rMed,3651),NA()))</f>
        <v>#N/A</v>
      </c>
    </row>
    <row r="3654">
      <c r="BX3654" t="e">
        <f>IF(OR(cMed=0,cMed2=0,3652&gt;nFilas),NA(),IF(AND(ISNUMBER(INDEX(rMed2,3652)),ISNUMBER(INDEX(rMed,3652))),INDEX(rMed2,3652),NA()))</f>
        <v>#N/A</v>
      </c>
      <c r="BY3654" t="e">
        <f>IF(OR(cMed=0,cMed2=0,3652&gt;nFilas),NA(),IF(AND(ISNUMBER(INDEX(rMed2,3652)),ISNUMBER(INDEX(rMed,3652))),INDEX(rMed,3652),NA()))</f>
        <v>#N/A</v>
      </c>
    </row>
    <row r="3655">
      <c r="BX3655" t="e">
        <f>IF(OR(cMed=0,cMed2=0,3653&gt;nFilas),NA(),IF(AND(ISNUMBER(INDEX(rMed2,3653)),ISNUMBER(INDEX(rMed,3653))),INDEX(rMed2,3653),NA()))</f>
        <v>#N/A</v>
      </c>
      <c r="BY3655" t="e">
        <f>IF(OR(cMed=0,cMed2=0,3653&gt;nFilas),NA(),IF(AND(ISNUMBER(INDEX(rMed2,3653)),ISNUMBER(INDEX(rMed,3653))),INDEX(rMed,3653),NA()))</f>
        <v>#N/A</v>
      </c>
    </row>
    <row r="3656">
      <c r="BX3656" t="e">
        <f>IF(OR(cMed=0,cMed2=0,3654&gt;nFilas),NA(),IF(AND(ISNUMBER(INDEX(rMed2,3654)),ISNUMBER(INDEX(rMed,3654))),INDEX(rMed2,3654),NA()))</f>
        <v>#N/A</v>
      </c>
      <c r="BY3656" t="e">
        <f>IF(OR(cMed=0,cMed2=0,3654&gt;nFilas),NA(),IF(AND(ISNUMBER(INDEX(rMed2,3654)),ISNUMBER(INDEX(rMed,3654))),INDEX(rMed,3654),NA()))</f>
        <v>#N/A</v>
      </c>
    </row>
    <row r="3657">
      <c r="BX3657" t="e">
        <f>IF(OR(cMed=0,cMed2=0,3655&gt;nFilas),NA(),IF(AND(ISNUMBER(INDEX(rMed2,3655)),ISNUMBER(INDEX(rMed,3655))),INDEX(rMed2,3655),NA()))</f>
        <v>#N/A</v>
      </c>
      <c r="BY3657" t="e">
        <f>IF(OR(cMed=0,cMed2=0,3655&gt;nFilas),NA(),IF(AND(ISNUMBER(INDEX(rMed2,3655)),ISNUMBER(INDEX(rMed,3655))),INDEX(rMed,3655),NA()))</f>
        <v>#N/A</v>
      </c>
    </row>
    <row r="3658">
      <c r="BX3658" t="e">
        <f>IF(OR(cMed=0,cMed2=0,3656&gt;nFilas),NA(),IF(AND(ISNUMBER(INDEX(rMed2,3656)),ISNUMBER(INDEX(rMed,3656))),INDEX(rMed2,3656),NA()))</f>
        <v>#N/A</v>
      </c>
      <c r="BY3658" t="e">
        <f>IF(OR(cMed=0,cMed2=0,3656&gt;nFilas),NA(),IF(AND(ISNUMBER(INDEX(rMed2,3656)),ISNUMBER(INDEX(rMed,3656))),INDEX(rMed,3656),NA()))</f>
        <v>#N/A</v>
      </c>
    </row>
    <row r="3659">
      <c r="BX3659" t="e">
        <f>IF(OR(cMed=0,cMed2=0,3657&gt;nFilas),NA(),IF(AND(ISNUMBER(INDEX(rMed2,3657)),ISNUMBER(INDEX(rMed,3657))),INDEX(rMed2,3657),NA()))</f>
        <v>#N/A</v>
      </c>
      <c r="BY3659" t="e">
        <f>IF(OR(cMed=0,cMed2=0,3657&gt;nFilas),NA(),IF(AND(ISNUMBER(INDEX(rMed2,3657)),ISNUMBER(INDEX(rMed,3657))),INDEX(rMed,3657),NA()))</f>
        <v>#N/A</v>
      </c>
    </row>
    <row r="3660">
      <c r="BX3660" t="e">
        <f>IF(OR(cMed=0,cMed2=0,3658&gt;nFilas),NA(),IF(AND(ISNUMBER(INDEX(rMed2,3658)),ISNUMBER(INDEX(rMed,3658))),INDEX(rMed2,3658),NA()))</f>
        <v>#N/A</v>
      </c>
      <c r="BY3660" t="e">
        <f>IF(OR(cMed=0,cMed2=0,3658&gt;nFilas),NA(),IF(AND(ISNUMBER(INDEX(rMed2,3658)),ISNUMBER(INDEX(rMed,3658))),INDEX(rMed,3658),NA()))</f>
        <v>#N/A</v>
      </c>
    </row>
    <row r="3661">
      <c r="BX3661" t="e">
        <f>IF(OR(cMed=0,cMed2=0,3659&gt;nFilas),NA(),IF(AND(ISNUMBER(INDEX(rMed2,3659)),ISNUMBER(INDEX(rMed,3659))),INDEX(rMed2,3659),NA()))</f>
        <v>#N/A</v>
      </c>
      <c r="BY3661" t="e">
        <f>IF(OR(cMed=0,cMed2=0,3659&gt;nFilas),NA(),IF(AND(ISNUMBER(INDEX(rMed2,3659)),ISNUMBER(INDEX(rMed,3659))),INDEX(rMed,3659),NA()))</f>
        <v>#N/A</v>
      </c>
    </row>
    <row r="3662">
      <c r="BX3662" t="e">
        <f>IF(OR(cMed=0,cMed2=0,3660&gt;nFilas),NA(),IF(AND(ISNUMBER(INDEX(rMed2,3660)),ISNUMBER(INDEX(rMed,3660))),INDEX(rMed2,3660),NA()))</f>
        <v>#N/A</v>
      </c>
      <c r="BY3662" t="e">
        <f>IF(OR(cMed=0,cMed2=0,3660&gt;nFilas),NA(),IF(AND(ISNUMBER(INDEX(rMed2,3660)),ISNUMBER(INDEX(rMed,3660))),INDEX(rMed,3660),NA()))</f>
        <v>#N/A</v>
      </c>
    </row>
    <row r="3663">
      <c r="BX3663" t="e">
        <f>IF(OR(cMed=0,cMed2=0,3661&gt;nFilas),NA(),IF(AND(ISNUMBER(INDEX(rMed2,3661)),ISNUMBER(INDEX(rMed,3661))),INDEX(rMed2,3661),NA()))</f>
        <v>#N/A</v>
      </c>
      <c r="BY3663" t="e">
        <f>IF(OR(cMed=0,cMed2=0,3661&gt;nFilas),NA(),IF(AND(ISNUMBER(INDEX(rMed2,3661)),ISNUMBER(INDEX(rMed,3661))),INDEX(rMed,3661),NA()))</f>
        <v>#N/A</v>
      </c>
    </row>
    <row r="3664">
      <c r="BX3664" t="e">
        <f>IF(OR(cMed=0,cMed2=0,3662&gt;nFilas),NA(),IF(AND(ISNUMBER(INDEX(rMed2,3662)),ISNUMBER(INDEX(rMed,3662))),INDEX(rMed2,3662),NA()))</f>
        <v>#N/A</v>
      </c>
      <c r="BY3664" t="e">
        <f>IF(OR(cMed=0,cMed2=0,3662&gt;nFilas),NA(),IF(AND(ISNUMBER(INDEX(rMed2,3662)),ISNUMBER(INDEX(rMed,3662))),INDEX(rMed,3662),NA()))</f>
        <v>#N/A</v>
      </c>
    </row>
    <row r="3665">
      <c r="BX3665" t="e">
        <f>IF(OR(cMed=0,cMed2=0,3663&gt;nFilas),NA(),IF(AND(ISNUMBER(INDEX(rMed2,3663)),ISNUMBER(INDEX(rMed,3663))),INDEX(rMed2,3663),NA()))</f>
        <v>#N/A</v>
      </c>
      <c r="BY3665" t="e">
        <f>IF(OR(cMed=0,cMed2=0,3663&gt;nFilas),NA(),IF(AND(ISNUMBER(INDEX(rMed2,3663)),ISNUMBER(INDEX(rMed,3663))),INDEX(rMed,3663),NA()))</f>
        <v>#N/A</v>
      </c>
    </row>
    <row r="3666">
      <c r="BX3666" t="e">
        <f>IF(OR(cMed=0,cMed2=0,3664&gt;nFilas),NA(),IF(AND(ISNUMBER(INDEX(rMed2,3664)),ISNUMBER(INDEX(rMed,3664))),INDEX(rMed2,3664),NA()))</f>
        <v>#N/A</v>
      </c>
      <c r="BY3666" t="e">
        <f>IF(OR(cMed=0,cMed2=0,3664&gt;nFilas),NA(),IF(AND(ISNUMBER(INDEX(rMed2,3664)),ISNUMBER(INDEX(rMed,3664))),INDEX(rMed,3664),NA()))</f>
        <v>#N/A</v>
      </c>
    </row>
    <row r="3667">
      <c r="BX3667" t="e">
        <f>IF(OR(cMed=0,cMed2=0,3665&gt;nFilas),NA(),IF(AND(ISNUMBER(INDEX(rMed2,3665)),ISNUMBER(INDEX(rMed,3665))),INDEX(rMed2,3665),NA()))</f>
        <v>#N/A</v>
      </c>
      <c r="BY3667" t="e">
        <f>IF(OR(cMed=0,cMed2=0,3665&gt;nFilas),NA(),IF(AND(ISNUMBER(INDEX(rMed2,3665)),ISNUMBER(INDEX(rMed,3665))),INDEX(rMed,3665),NA()))</f>
        <v>#N/A</v>
      </c>
    </row>
    <row r="3668">
      <c r="BX3668" t="e">
        <f>IF(OR(cMed=0,cMed2=0,3666&gt;nFilas),NA(),IF(AND(ISNUMBER(INDEX(rMed2,3666)),ISNUMBER(INDEX(rMed,3666))),INDEX(rMed2,3666),NA()))</f>
        <v>#N/A</v>
      </c>
      <c r="BY3668" t="e">
        <f>IF(OR(cMed=0,cMed2=0,3666&gt;nFilas),NA(),IF(AND(ISNUMBER(INDEX(rMed2,3666)),ISNUMBER(INDEX(rMed,3666))),INDEX(rMed,3666),NA()))</f>
        <v>#N/A</v>
      </c>
    </row>
    <row r="3669">
      <c r="BX3669" t="e">
        <f>IF(OR(cMed=0,cMed2=0,3667&gt;nFilas),NA(),IF(AND(ISNUMBER(INDEX(rMed2,3667)),ISNUMBER(INDEX(rMed,3667))),INDEX(rMed2,3667),NA()))</f>
        <v>#N/A</v>
      </c>
      <c r="BY3669" t="e">
        <f>IF(OR(cMed=0,cMed2=0,3667&gt;nFilas),NA(),IF(AND(ISNUMBER(INDEX(rMed2,3667)),ISNUMBER(INDEX(rMed,3667))),INDEX(rMed,3667),NA()))</f>
        <v>#N/A</v>
      </c>
    </row>
    <row r="3670">
      <c r="BX3670" t="e">
        <f>IF(OR(cMed=0,cMed2=0,3668&gt;nFilas),NA(),IF(AND(ISNUMBER(INDEX(rMed2,3668)),ISNUMBER(INDEX(rMed,3668))),INDEX(rMed2,3668),NA()))</f>
        <v>#N/A</v>
      </c>
      <c r="BY3670" t="e">
        <f>IF(OR(cMed=0,cMed2=0,3668&gt;nFilas),NA(),IF(AND(ISNUMBER(INDEX(rMed2,3668)),ISNUMBER(INDEX(rMed,3668))),INDEX(rMed,3668),NA()))</f>
        <v>#N/A</v>
      </c>
    </row>
    <row r="3671">
      <c r="BX3671" t="e">
        <f>IF(OR(cMed=0,cMed2=0,3669&gt;nFilas),NA(),IF(AND(ISNUMBER(INDEX(rMed2,3669)),ISNUMBER(INDEX(rMed,3669))),INDEX(rMed2,3669),NA()))</f>
        <v>#N/A</v>
      </c>
      <c r="BY3671" t="e">
        <f>IF(OR(cMed=0,cMed2=0,3669&gt;nFilas),NA(),IF(AND(ISNUMBER(INDEX(rMed2,3669)),ISNUMBER(INDEX(rMed,3669))),INDEX(rMed,3669),NA()))</f>
        <v>#N/A</v>
      </c>
    </row>
    <row r="3672">
      <c r="BX3672" t="e">
        <f>IF(OR(cMed=0,cMed2=0,3670&gt;nFilas),NA(),IF(AND(ISNUMBER(INDEX(rMed2,3670)),ISNUMBER(INDEX(rMed,3670))),INDEX(rMed2,3670),NA()))</f>
        <v>#N/A</v>
      </c>
      <c r="BY3672" t="e">
        <f>IF(OR(cMed=0,cMed2=0,3670&gt;nFilas),NA(),IF(AND(ISNUMBER(INDEX(rMed2,3670)),ISNUMBER(INDEX(rMed,3670))),INDEX(rMed,3670),NA()))</f>
        <v>#N/A</v>
      </c>
    </row>
    <row r="3673">
      <c r="BX3673" t="e">
        <f>IF(OR(cMed=0,cMed2=0,3671&gt;nFilas),NA(),IF(AND(ISNUMBER(INDEX(rMed2,3671)),ISNUMBER(INDEX(rMed,3671))),INDEX(rMed2,3671),NA()))</f>
        <v>#N/A</v>
      </c>
      <c r="BY3673" t="e">
        <f>IF(OR(cMed=0,cMed2=0,3671&gt;nFilas),NA(),IF(AND(ISNUMBER(INDEX(rMed2,3671)),ISNUMBER(INDEX(rMed,3671))),INDEX(rMed,3671),NA()))</f>
        <v>#N/A</v>
      </c>
    </row>
    <row r="3674">
      <c r="BX3674" t="e">
        <f>IF(OR(cMed=0,cMed2=0,3672&gt;nFilas),NA(),IF(AND(ISNUMBER(INDEX(rMed2,3672)),ISNUMBER(INDEX(rMed,3672))),INDEX(rMed2,3672),NA()))</f>
        <v>#N/A</v>
      </c>
      <c r="BY3674" t="e">
        <f>IF(OR(cMed=0,cMed2=0,3672&gt;nFilas),NA(),IF(AND(ISNUMBER(INDEX(rMed2,3672)),ISNUMBER(INDEX(rMed,3672))),INDEX(rMed,3672),NA()))</f>
        <v>#N/A</v>
      </c>
    </row>
    <row r="3675">
      <c r="BX3675" t="e">
        <f>IF(OR(cMed=0,cMed2=0,3673&gt;nFilas),NA(),IF(AND(ISNUMBER(INDEX(rMed2,3673)),ISNUMBER(INDEX(rMed,3673))),INDEX(rMed2,3673),NA()))</f>
        <v>#N/A</v>
      </c>
      <c r="BY3675" t="e">
        <f>IF(OR(cMed=0,cMed2=0,3673&gt;nFilas),NA(),IF(AND(ISNUMBER(INDEX(rMed2,3673)),ISNUMBER(INDEX(rMed,3673))),INDEX(rMed,3673),NA()))</f>
        <v>#N/A</v>
      </c>
    </row>
    <row r="3676">
      <c r="BX3676" t="e">
        <f>IF(OR(cMed=0,cMed2=0,3674&gt;nFilas),NA(),IF(AND(ISNUMBER(INDEX(rMed2,3674)),ISNUMBER(INDEX(rMed,3674))),INDEX(rMed2,3674),NA()))</f>
        <v>#N/A</v>
      </c>
      <c r="BY3676" t="e">
        <f>IF(OR(cMed=0,cMed2=0,3674&gt;nFilas),NA(),IF(AND(ISNUMBER(INDEX(rMed2,3674)),ISNUMBER(INDEX(rMed,3674))),INDEX(rMed,3674),NA()))</f>
        <v>#N/A</v>
      </c>
    </row>
    <row r="3677">
      <c r="BX3677" t="e">
        <f>IF(OR(cMed=0,cMed2=0,3675&gt;nFilas),NA(),IF(AND(ISNUMBER(INDEX(rMed2,3675)),ISNUMBER(INDEX(rMed,3675))),INDEX(rMed2,3675),NA()))</f>
        <v>#N/A</v>
      </c>
      <c r="BY3677" t="e">
        <f>IF(OR(cMed=0,cMed2=0,3675&gt;nFilas),NA(),IF(AND(ISNUMBER(INDEX(rMed2,3675)),ISNUMBER(INDEX(rMed,3675))),INDEX(rMed,3675),NA()))</f>
        <v>#N/A</v>
      </c>
    </row>
    <row r="3678">
      <c r="BX3678" t="e">
        <f>IF(OR(cMed=0,cMed2=0,3676&gt;nFilas),NA(),IF(AND(ISNUMBER(INDEX(rMed2,3676)),ISNUMBER(INDEX(rMed,3676))),INDEX(rMed2,3676),NA()))</f>
        <v>#N/A</v>
      </c>
      <c r="BY3678" t="e">
        <f>IF(OR(cMed=0,cMed2=0,3676&gt;nFilas),NA(),IF(AND(ISNUMBER(INDEX(rMed2,3676)),ISNUMBER(INDEX(rMed,3676))),INDEX(rMed,3676),NA()))</f>
        <v>#N/A</v>
      </c>
    </row>
    <row r="3679">
      <c r="BX3679" t="e">
        <f>IF(OR(cMed=0,cMed2=0,3677&gt;nFilas),NA(),IF(AND(ISNUMBER(INDEX(rMed2,3677)),ISNUMBER(INDEX(rMed,3677))),INDEX(rMed2,3677),NA()))</f>
        <v>#N/A</v>
      </c>
      <c r="BY3679" t="e">
        <f>IF(OR(cMed=0,cMed2=0,3677&gt;nFilas),NA(),IF(AND(ISNUMBER(INDEX(rMed2,3677)),ISNUMBER(INDEX(rMed,3677))),INDEX(rMed,3677),NA()))</f>
        <v>#N/A</v>
      </c>
    </row>
    <row r="3680">
      <c r="BX3680" t="e">
        <f>IF(OR(cMed=0,cMed2=0,3678&gt;nFilas),NA(),IF(AND(ISNUMBER(INDEX(rMed2,3678)),ISNUMBER(INDEX(rMed,3678))),INDEX(rMed2,3678),NA()))</f>
        <v>#N/A</v>
      </c>
      <c r="BY3680" t="e">
        <f>IF(OR(cMed=0,cMed2=0,3678&gt;nFilas),NA(),IF(AND(ISNUMBER(INDEX(rMed2,3678)),ISNUMBER(INDEX(rMed,3678))),INDEX(rMed,3678),NA()))</f>
        <v>#N/A</v>
      </c>
    </row>
    <row r="3681">
      <c r="BX3681" t="e">
        <f>IF(OR(cMed=0,cMed2=0,3679&gt;nFilas),NA(),IF(AND(ISNUMBER(INDEX(rMed2,3679)),ISNUMBER(INDEX(rMed,3679))),INDEX(rMed2,3679),NA()))</f>
        <v>#N/A</v>
      </c>
      <c r="BY3681" t="e">
        <f>IF(OR(cMed=0,cMed2=0,3679&gt;nFilas),NA(),IF(AND(ISNUMBER(INDEX(rMed2,3679)),ISNUMBER(INDEX(rMed,3679))),INDEX(rMed,3679),NA()))</f>
        <v>#N/A</v>
      </c>
    </row>
    <row r="3682">
      <c r="BX3682" t="e">
        <f>IF(OR(cMed=0,cMed2=0,3680&gt;nFilas),NA(),IF(AND(ISNUMBER(INDEX(rMed2,3680)),ISNUMBER(INDEX(rMed,3680))),INDEX(rMed2,3680),NA()))</f>
        <v>#N/A</v>
      </c>
      <c r="BY3682" t="e">
        <f>IF(OR(cMed=0,cMed2=0,3680&gt;nFilas),NA(),IF(AND(ISNUMBER(INDEX(rMed2,3680)),ISNUMBER(INDEX(rMed,3680))),INDEX(rMed,3680),NA()))</f>
        <v>#N/A</v>
      </c>
    </row>
    <row r="3683">
      <c r="BX3683" t="e">
        <f>IF(OR(cMed=0,cMed2=0,3681&gt;nFilas),NA(),IF(AND(ISNUMBER(INDEX(rMed2,3681)),ISNUMBER(INDEX(rMed,3681))),INDEX(rMed2,3681),NA()))</f>
        <v>#N/A</v>
      </c>
      <c r="BY3683" t="e">
        <f>IF(OR(cMed=0,cMed2=0,3681&gt;nFilas),NA(),IF(AND(ISNUMBER(INDEX(rMed2,3681)),ISNUMBER(INDEX(rMed,3681))),INDEX(rMed,3681),NA()))</f>
        <v>#N/A</v>
      </c>
    </row>
    <row r="3684">
      <c r="BX3684" t="e">
        <f>IF(OR(cMed=0,cMed2=0,3682&gt;nFilas),NA(),IF(AND(ISNUMBER(INDEX(rMed2,3682)),ISNUMBER(INDEX(rMed,3682))),INDEX(rMed2,3682),NA()))</f>
        <v>#N/A</v>
      </c>
      <c r="BY3684" t="e">
        <f>IF(OR(cMed=0,cMed2=0,3682&gt;nFilas),NA(),IF(AND(ISNUMBER(INDEX(rMed2,3682)),ISNUMBER(INDEX(rMed,3682))),INDEX(rMed,3682),NA()))</f>
        <v>#N/A</v>
      </c>
    </row>
    <row r="3685">
      <c r="BX3685" t="e">
        <f>IF(OR(cMed=0,cMed2=0,3683&gt;nFilas),NA(),IF(AND(ISNUMBER(INDEX(rMed2,3683)),ISNUMBER(INDEX(rMed,3683))),INDEX(rMed2,3683),NA()))</f>
        <v>#N/A</v>
      </c>
      <c r="BY3685" t="e">
        <f>IF(OR(cMed=0,cMed2=0,3683&gt;nFilas),NA(),IF(AND(ISNUMBER(INDEX(rMed2,3683)),ISNUMBER(INDEX(rMed,3683))),INDEX(rMed,3683),NA()))</f>
        <v>#N/A</v>
      </c>
    </row>
    <row r="3686">
      <c r="BX3686" t="e">
        <f>IF(OR(cMed=0,cMed2=0,3684&gt;nFilas),NA(),IF(AND(ISNUMBER(INDEX(rMed2,3684)),ISNUMBER(INDEX(rMed,3684))),INDEX(rMed2,3684),NA()))</f>
        <v>#N/A</v>
      </c>
      <c r="BY3686" t="e">
        <f>IF(OR(cMed=0,cMed2=0,3684&gt;nFilas),NA(),IF(AND(ISNUMBER(INDEX(rMed2,3684)),ISNUMBER(INDEX(rMed,3684))),INDEX(rMed,3684),NA()))</f>
        <v>#N/A</v>
      </c>
    </row>
    <row r="3687">
      <c r="BX3687" t="e">
        <f>IF(OR(cMed=0,cMed2=0,3685&gt;nFilas),NA(),IF(AND(ISNUMBER(INDEX(rMed2,3685)),ISNUMBER(INDEX(rMed,3685))),INDEX(rMed2,3685),NA()))</f>
        <v>#N/A</v>
      </c>
      <c r="BY3687" t="e">
        <f>IF(OR(cMed=0,cMed2=0,3685&gt;nFilas),NA(),IF(AND(ISNUMBER(INDEX(rMed2,3685)),ISNUMBER(INDEX(rMed,3685))),INDEX(rMed,3685),NA()))</f>
        <v>#N/A</v>
      </c>
    </row>
    <row r="3688">
      <c r="BX3688" t="e">
        <f>IF(OR(cMed=0,cMed2=0,3686&gt;nFilas),NA(),IF(AND(ISNUMBER(INDEX(rMed2,3686)),ISNUMBER(INDEX(rMed,3686))),INDEX(rMed2,3686),NA()))</f>
        <v>#N/A</v>
      </c>
      <c r="BY3688" t="e">
        <f>IF(OR(cMed=0,cMed2=0,3686&gt;nFilas),NA(),IF(AND(ISNUMBER(INDEX(rMed2,3686)),ISNUMBER(INDEX(rMed,3686))),INDEX(rMed,3686),NA()))</f>
        <v>#N/A</v>
      </c>
    </row>
    <row r="3689">
      <c r="BX3689" t="e">
        <f>IF(OR(cMed=0,cMed2=0,3687&gt;nFilas),NA(),IF(AND(ISNUMBER(INDEX(rMed2,3687)),ISNUMBER(INDEX(rMed,3687))),INDEX(rMed2,3687),NA()))</f>
        <v>#N/A</v>
      </c>
      <c r="BY3689" t="e">
        <f>IF(OR(cMed=0,cMed2=0,3687&gt;nFilas),NA(),IF(AND(ISNUMBER(INDEX(rMed2,3687)),ISNUMBER(INDEX(rMed,3687))),INDEX(rMed,3687),NA()))</f>
        <v>#N/A</v>
      </c>
    </row>
    <row r="3690">
      <c r="BX3690" t="e">
        <f>IF(OR(cMed=0,cMed2=0,3688&gt;nFilas),NA(),IF(AND(ISNUMBER(INDEX(rMed2,3688)),ISNUMBER(INDEX(rMed,3688))),INDEX(rMed2,3688),NA()))</f>
        <v>#N/A</v>
      </c>
      <c r="BY3690" t="e">
        <f>IF(OR(cMed=0,cMed2=0,3688&gt;nFilas),NA(),IF(AND(ISNUMBER(INDEX(rMed2,3688)),ISNUMBER(INDEX(rMed,3688))),INDEX(rMed,3688),NA()))</f>
        <v>#N/A</v>
      </c>
    </row>
    <row r="3691">
      <c r="BX3691" t="e">
        <f>IF(OR(cMed=0,cMed2=0,3689&gt;nFilas),NA(),IF(AND(ISNUMBER(INDEX(rMed2,3689)),ISNUMBER(INDEX(rMed,3689))),INDEX(rMed2,3689),NA()))</f>
        <v>#N/A</v>
      </c>
      <c r="BY3691" t="e">
        <f>IF(OR(cMed=0,cMed2=0,3689&gt;nFilas),NA(),IF(AND(ISNUMBER(INDEX(rMed2,3689)),ISNUMBER(INDEX(rMed,3689))),INDEX(rMed,3689),NA()))</f>
        <v>#N/A</v>
      </c>
    </row>
    <row r="3692">
      <c r="BX3692" t="e">
        <f>IF(OR(cMed=0,cMed2=0,3690&gt;nFilas),NA(),IF(AND(ISNUMBER(INDEX(rMed2,3690)),ISNUMBER(INDEX(rMed,3690))),INDEX(rMed2,3690),NA()))</f>
        <v>#N/A</v>
      </c>
      <c r="BY3692" t="e">
        <f>IF(OR(cMed=0,cMed2=0,3690&gt;nFilas),NA(),IF(AND(ISNUMBER(INDEX(rMed2,3690)),ISNUMBER(INDEX(rMed,3690))),INDEX(rMed,3690),NA()))</f>
        <v>#N/A</v>
      </c>
    </row>
    <row r="3693">
      <c r="BX3693" t="e">
        <f>IF(OR(cMed=0,cMed2=0,3691&gt;nFilas),NA(),IF(AND(ISNUMBER(INDEX(rMed2,3691)),ISNUMBER(INDEX(rMed,3691))),INDEX(rMed2,3691),NA()))</f>
        <v>#N/A</v>
      </c>
      <c r="BY3693" t="e">
        <f>IF(OR(cMed=0,cMed2=0,3691&gt;nFilas),NA(),IF(AND(ISNUMBER(INDEX(rMed2,3691)),ISNUMBER(INDEX(rMed,3691))),INDEX(rMed,3691),NA()))</f>
        <v>#N/A</v>
      </c>
    </row>
    <row r="3694">
      <c r="BX3694" t="e">
        <f>IF(OR(cMed=0,cMed2=0,3692&gt;nFilas),NA(),IF(AND(ISNUMBER(INDEX(rMed2,3692)),ISNUMBER(INDEX(rMed,3692))),INDEX(rMed2,3692),NA()))</f>
        <v>#N/A</v>
      </c>
      <c r="BY3694" t="e">
        <f>IF(OR(cMed=0,cMed2=0,3692&gt;nFilas),NA(),IF(AND(ISNUMBER(INDEX(rMed2,3692)),ISNUMBER(INDEX(rMed,3692))),INDEX(rMed,3692),NA()))</f>
        <v>#N/A</v>
      </c>
    </row>
    <row r="3695">
      <c r="BX3695" t="e">
        <f>IF(OR(cMed=0,cMed2=0,3693&gt;nFilas),NA(),IF(AND(ISNUMBER(INDEX(rMed2,3693)),ISNUMBER(INDEX(rMed,3693))),INDEX(rMed2,3693),NA()))</f>
        <v>#N/A</v>
      </c>
      <c r="BY3695" t="e">
        <f>IF(OR(cMed=0,cMed2=0,3693&gt;nFilas),NA(),IF(AND(ISNUMBER(INDEX(rMed2,3693)),ISNUMBER(INDEX(rMed,3693))),INDEX(rMed,3693),NA()))</f>
        <v>#N/A</v>
      </c>
    </row>
    <row r="3696">
      <c r="BX3696" t="e">
        <f>IF(OR(cMed=0,cMed2=0,3694&gt;nFilas),NA(),IF(AND(ISNUMBER(INDEX(rMed2,3694)),ISNUMBER(INDEX(rMed,3694))),INDEX(rMed2,3694),NA()))</f>
        <v>#N/A</v>
      </c>
      <c r="BY3696" t="e">
        <f>IF(OR(cMed=0,cMed2=0,3694&gt;nFilas),NA(),IF(AND(ISNUMBER(INDEX(rMed2,3694)),ISNUMBER(INDEX(rMed,3694))),INDEX(rMed,3694),NA()))</f>
        <v>#N/A</v>
      </c>
    </row>
    <row r="3697">
      <c r="BX3697" t="e">
        <f>IF(OR(cMed=0,cMed2=0,3695&gt;nFilas),NA(),IF(AND(ISNUMBER(INDEX(rMed2,3695)),ISNUMBER(INDEX(rMed,3695))),INDEX(rMed2,3695),NA()))</f>
        <v>#N/A</v>
      </c>
      <c r="BY3697" t="e">
        <f>IF(OR(cMed=0,cMed2=0,3695&gt;nFilas),NA(),IF(AND(ISNUMBER(INDEX(rMed2,3695)),ISNUMBER(INDEX(rMed,3695))),INDEX(rMed,3695),NA()))</f>
        <v>#N/A</v>
      </c>
    </row>
    <row r="3698">
      <c r="BX3698" t="e">
        <f>IF(OR(cMed=0,cMed2=0,3696&gt;nFilas),NA(),IF(AND(ISNUMBER(INDEX(rMed2,3696)),ISNUMBER(INDEX(rMed,3696))),INDEX(rMed2,3696),NA()))</f>
        <v>#N/A</v>
      </c>
      <c r="BY3698" t="e">
        <f>IF(OR(cMed=0,cMed2=0,3696&gt;nFilas),NA(),IF(AND(ISNUMBER(INDEX(rMed2,3696)),ISNUMBER(INDEX(rMed,3696))),INDEX(rMed,3696),NA()))</f>
        <v>#N/A</v>
      </c>
    </row>
    <row r="3699">
      <c r="BX3699" t="e">
        <f>IF(OR(cMed=0,cMed2=0,3697&gt;nFilas),NA(),IF(AND(ISNUMBER(INDEX(rMed2,3697)),ISNUMBER(INDEX(rMed,3697))),INDEX(rMed2,3697),NA()))</f>
        <v>#N/A</v>
      </c>
      <c r="BY3699" t="e">
        <f>IF(OR(cMed=0,cMed2=0,3697&gt;nFilas),NA(),IF(AND(ISNUMBER(INDEX(rMed2,3697)),ISNUMBER(INDEX(rMed,3697))),INDEX(rMed,3697),NA()))</f>
        <v>#N/A</v>
      </c>
    </row>
    <row r="3700">
      <c r="BX3700" t="e">
        <f>IF(OR(cMed=0,cMed2=0,3698&gt;nFilas),NA(),IF(AND(ISNUMBER(INDEX(rMed2,3698)),ISNUMBER(INDEX(rMed,3698))),INDEX(rMed2,3698),NA()))</f>
        <v>#N/A</v>
      </c>
      <c r="BY3700" t="e">
        <f>IF(OR(cMed=0,cMed2=0,3698&gt;nFilas),NA(),IF(AND(ISNUMBER(INDEX(rMed2,3698)),ISNUMBER(INDEX(rMed,3698))),INDEX(rMed,3698),NA()))</f>
        <v>#N/A</v>
      </c>
    </row>
    <row r="3701">
      <c r="BX3701" t="e">
        <f>IF(OR(cMed=0,cMed2=0,3699&gt;nFilas),NA(),IF(AND(ISNUMBER(INDEX(rMed2,3699)),ISNUMBER(INDEX(rMed,3699))),INDEX(rMed2,3699),NA()))</f>
        <v>#N/A</v>
      </c>
      <c r="BY3701" t="e">
        <f>IF(OR(cMed=0,cMed2=0,3699&gt;nFilas),NA(),IF(AND(ISNUMBER(INDEX(rMed2,3699)),ISNUMBER(INDEX(rMed,3699))),INDEX(rMed,3699),NA()))</f>
        <v>#N/A</v>
      </c>
    </row>
    <row r="3702">
      <c r="BX3702" t="e">
        <f>IF(OR(cMed=0,cMed2=0,3700&gt;nFilas),NA(),IF(AND(ISNUMBER(INDEX(rMed2,3700)),ISNUMBER(INDEX(rMed,3700))),INDEX(rMed2,3700),NA()))</f>
        <v>#N/A</v>
      </c>
      <c r="BY3702" t="e">
        <f>IF(OR(cMed=0,cMed2=0,3700&gt;nFilas),NA(),IF(AND(ISNUMBER(INDEX(rMed2,3700)),ISNUMBER(INDEX(rMed,3700))),INDEX(rMed,3700),NA()))</f>
        <v>#N/A</v>
      </c>
    </row>
    <row r="3703">
      <c r="BX3703" t="e">
        <f>IF(OR(cMed=0,cMed2=0,3701&gt;nFilas),NA(),IF(AND(ISNUMBER(INDEX(rMed2,3701)),ISNUMBER(INDEX(rMed,3701))),INDEX(rMed2,3701),NA()))</f>
        <v>#N/A</v>
      </c>
      <c r="BY3703" t="e">
        <f>IF(OR(cMed=0,cMed2=0,3701&gt;nFilas),NA(),IF(AND(ISNUMBER(INDEX(rMed2,3701)),ISNUMBER(INDEX(rMed,3701))),INDEX(rMed,3701),NA()))</f>
        <v>#N/A</v>
      </c>
    </row>
    <row r="3704">
      <c r="BX3704" t="e">
        <f>IF(OR(cMed=0,cMed2=0,3702&gt;nFilas),NA(),IF(AND(ISNUMBER(INDEX(rMed2,3702)),ISNUMBER(INDEX(rMed,3702))),INDEX(rMed2,3702),NA()))</f>
        <v>#N/A</v>
      </c>
      <c r="BY3704" t="e">
        <f>IF(OR(cMed=0,cMed2=0,3702&gt;nFilas),NA(),IF(AND(ISNUMBER(INDEX(rMed2,3702)),ISNUMBER(INDEX(rMed,3702))),INDEX(rMed,3702),NA()))</f>
        <v>#N/A</v>
      </c>
    </row>
    <row r="3705">
      <c r="BX3705" t="e">
        <f>IF(OR(cMed=0,cMed2=0,3703&gt;nFilas),NA(),IF(AND(ISNUMBER(INDEX(rMed2,3703)),ISNUMBER(INDEX(rMed,3703))),INDEX(rMed2,3703),NA()))</f>
        <v>#N/A</v>
      </c>
      <c r="BY3705" t="e">
        <f>IF(OR(cMed=0,cMed2=0,3703&gt;nFilas),NA(),IF(AND(ISNUMBER(INDEX(rMed2,3703)),ISNUMBER(INDEX(rMed,3703))),INDEX(rMed,3703),NA()))</f>
        <v>#N/A</v>
      </c>
    </row>
    <row r="3706">
      <c r="BX3706" t="e">
        <f>IF(OR(cMed=0,cMed2=0,3704&gt;nFilas),NA(),IF(AND(ISNUMBER(INDEX(rMed2,3704)),ISNUMBER(INDEX(rMed,3704))),INDEX(rMed2,3704),NA()))</f>
        <v>#N/A</v>
      </c>
      <c r="BY3706" t="e">
        <f>IF(OR(cMed=0,cMed2=0,3704&gt;nFilas),NA(),IF(AND(ISNUMBER(INDEX(rMed2,3704)),ISNUMBER(INDEX(rMed,3704))),INDEX(rMed,3704),NA()))</f>
        <v>#N/A</v>
      </c>
    </row>
    <row r="3707">
      <c r="BX3707" t="e">
        <f>IF(OR(cMed=0,cMed2=0,3705&gt;nFilas),NA(),IF(AND(ISNUMBER(INDEX(rMed2,3705)),ISNUMBER(INDEX(rMed,3705))),INDEX(rMed2,3705),NA()))</f>
        <v>#N/A</v>
      </c>
      <c r="BY3707" t="e">
        <f>IF(OR(cMed=0,cMed2=0,3705&gt;nFilas),NA(),IF(AND(ISNUMBER(INDEX(rMed2,3705)),ISNUMBER(INDEX(rMed,3705))),INDEX(rMed,3705),NA()))</f>
        <v>#N/A</v>
      </c>
    </row>
    <row r="3708">
      <c r="BX3708" t="e">
        <f>IF(OR(cMed=0,cMed2=0,3706&gt;nFilas),NA(),IF(AND(ISNUMBER(INDEX(rMed2,3706)),ISNUMBER(INDEX(rMed,3706))),INDEX(rMed2,3706),NA()))</f>
        <v>#N/A</v>
      </c>
      <c r="BY3708" t="e">
        <f>IF(OR(cMed=0,cMed2=0,3706&gt;nFilas),NA(),IF(AND(ISNUMBER(INDEX(rMed2,3706)),ISNUMBER(INDEX(rMed,3706))),INDEX(rMed,3706),NA()))</f>
        <v>#N/A</v>
      </c>
    </row>
    <row r="3709">
      <c r="BX3709" t="e">
        <f>IF(OR(cMed=0,cMed2=0,3707&gt;nFilas),NA(),IF(AND(ISNUMBER(INDEX(rMed2,3707)),ISNUMBER(INDEX(rMed,3707))),INDEX(rMed2,3707),NA()))</f>
        <v>#N/A</v>
      </c>
      <c r="BY3709" t="e">
        <f>IF(OR(cMed=0,cMed2=0,3707&gt;nFilas),NA(),IF(AND(ISNUMBER(INDEX(rMed2,3707)),ISNUMBER(INDEX(rMed,3707))),INDEX(rMed,3707),NA()))</f>
        <v>#N/A</v>
      </c>
    </row>
    <row r="3710">
      <c r="BX3710" t="e">
        <f>IF(OR(cMed=0,cMed2=0,3708&gt;nFilas),NA(),IF(AND(ISNUMBER(INDEX(rMed2,3708)),ISNUMBER(INDEX(rMed,3708))),INDEX(rMed2,3708),NA()))</f>
        <v>#N/A</v>
      </c>
      <c r="BY3710" t="e">
        <f>IF(OR(cMed=0,cMed2=0,3708&gt;nFilas),NA(),IF(AND(ISNUMBER(INDEX(rMed2,3708)),ISNUMBER(INDEX(rMed,3708))),INDEX(rMed,3708),NA()))</f>
        <v>#N/A</v>
      </c>
    </row>
    <row r="3711">
      <c r="BX3711" t="e">
        <f>IF(OR(cMed=0,cMed2=0,3709&gt;nFilas),NA(),IF(AND(ISNUMBER(INDEX(rMed2,3709)),ISNUMBER(INDEX(rMed,3709))),INDEX(rMed2,3709),NA()))</f>
        <v>#N/A</v>
      </c>
      <c r="BY3711" t="e">
        <f>IF(OR(cMed=0,cMed2=0,3709&gt;nFilas),NA(),IF(AND(ISNUMBER(INDEX(rMed2,3709)),ISNUMBER(INDEX(rMed,3709))),INDEX(rMed,3709),NA()))</f>
        <v>#N/A</v>
      </c>
    </row>
    <row r="3712">
      <c r="BX3712" t="e">
        <f>IF(OR(cMed=0,cMed2=0,3710&gt;nFilas),NA(),IF(AND(ISNUMBER(INDEX(rMed2,3710)),ISNUMBER(INDEX(rMed,3710))),INDEX(rMed2,3710),NA()))</f>
        <v>#N/A</v>
      </c>
      <c r="BY3712" t="e">
        <f>IF(OR(cMed=0,cMed2=0,3710&gt;nFilas),NA(),IF(AND(ISNUMBER(INDEX(rMed2,3710)),ISNUMBER(INDEX(rMed,3710))),INDEX(rMed,3710),NA()))</f>
        <v>#N/A</v>
      </c>
    </row>
    <row r="3713">
      <c r="BX3713" t="e">
        <f>IF(OR(cMed=0,cMed2=0,3711&gt;nFilas),NA(),IF(AND(ISNUMBER(INDEX(rMed2,3711)),ISNUMBER(INDEX(rMed,3711))),INDEX(rMed2,3711),NA()))</f>
        <v>#N/A</v>
      </c>
      <c r="BY3713" t="e">
        <f>IF(OR(cMed=0,cMed2=0,3711&gt;nFilas),NA(),IF(AND(ISNUMBER(INDEX(rMed2,3711)),ISNUMBER(INDEX(rMed,3711))),INDEX(rMed,3711),NA()))</f>
        <v>#N/A</v>
      </c>
    </row>
    <row r="3714">
      <c r="BX3714" t="e">
        <f>IF(OR(cMed=0,cMed2=0,3712&gt;nFilas),NA(),IF(AND(ISNUMBER(INDEX(rMed2,3712)),ISNUMBER(INDEX(rMed,3712))),INDEX(rMed2,3712),NA()))</f>
        <v>#N/A</v>
      </c>
      <c r="BY3714" t="e">
        <f>IF(OR(cMed=0,cMed2=0,3712&gt;nFilas),NA(),IF(AND(ISNUMBER(INDEX(rMed2,3712)),ISNUMBER(INDEX(rMed,3712))),INDEX(rMed,3712),NA()))</f>
        <v>#N/A</v>
      </c>
    </row>
    <row r="3715">
      <c r="BX3715" t="e">
        <f>IF(OR(cMed=0,cMed2=0,3713&gt;nFilas),NA(),IF(AND(ISNUMBER(INDEX(rMed2,3713)),ISNUMBER(INDEX(rMed,3713))),INDEX(rMed2,3713),NA()))</f>
        <v>#N/A</v>
      </c>
      <c r="BY3715" t="e">
        <f>IF(OR(cMed=0,cMed2=0,3713&gt;nFilas),NA(),IF(AND(ISNUMBER(INDEX(rMed2,3713)),ISNUMBER(INDEX(rMed,3713))),INDEX(rMed,3713),NA()))</f>
        <v>#N/A</v>
      </c>
    </row>
    <row r="3716">
      <c r="BX3716" t="e">
        <f>IF(OR(cMed=0,cMed2=0,3714&gt;nFilas),NA(),IF(AND(ISNUMBER(INDEX(rMed2,3714)),ISNUMBER(INDEX(rMed,3714))),INDEX(rMed2,3714),NA()))</f>
        <v>#N/A</v>
      </c>
      <c r="BY3716" t="e">
        <f>IF(OR(cMed=0,cMed2=0,3714&gt;nFilas),NA(),IF(AND(ISNUMBER(INDEX(rMed2,3714)),ISNUMBER(INDEX(rMed,3714))),INDEX(rMed,3714),NA()))</f>
        <v>#N/A</v>
      </c>
    </row>
    <row r="3717">
      <c r="BX3717" t="e">
        <f>IF(OR(cMed=0,cMed2=0,3715&gt;nFilas),NA(),IF(AND(ISNUMBER(INDEX(rMed2,3715)),ISNUMBER(INDEX(rMed,3715))),INDEX(rMed2,3715),NA()))</f>
        <v>#N/A</v>
      </c>
      <c r="BY3717" t="e">
        <f>IF(OR(cMed=0,cMed2=0,3715&gt;nFilas),NA(),IF(AND(ISNUMBER(INDEX(rMed2,3715)),ISNUMBER(INDEX(rMed,3715))),INDEX(rMed,3715),NA()))</f>
        <v>#N/A</v>
      </c>
    </row>
    <row r="3718">
      <c r="BX3718" t="e">
        <f>IF(OR(cMed=0,cMed2=0,3716&gt;nFilas),NA(),IF(AND(ISNUMBER(INDEX(rMed2,3716)),ISNUMBER(INDEX(rMed,3716))),INDEX(rMed2,3716),NA()))</f>
        <v>#N/A</v>
      </c>
      <c r="BY3718" t="e">
        <f>IF(OR(cMed=0,cMed2=0,3716&gt;nFilas),NA(),IF(AND(ISNUMBER(INDEX(rMed2,3716)),ISNUMBER(INDEX(rMed,3716))),INDEX(rMed,3716),NA()))</f>
        <v>#N/A</v>
      </c>
    </row>
    <row r="3719">
      <c r="BX3719" t="e">
        <f>IF(OR(cMed=0,cMed2=0,3717&gt;nFilas),NA(),IF(AND(ISNUMBER(INDEX(rMed2,3717)),ISNUMBER(INDEX(rMed,3717))),INDEX(rMed2,3717),NA()))</f>
        <v>#N/A</v>
      </c>
      <c r="BY3719" t="e">
        <f>IF(OR(cMed=0,cMed2=0,3717&gt;nFilas),NA(),IF(AND(ISNUMBER(INDEX(rMed2,3717)),ISNUMBER(INDEX(rMed,3717))),INDEX(rMed,3717),NA()))</f>
        <v>#N/A</v>
      </c>
    </row>
    <row r="3720">
      <c r="BX3720" t="e">
        <f>IF(OR(cMed=0,cMed2=0,3718&gt;nFilas),NA(),IF(AND(ISNUMBER(INDEX(rMed2,3718)),ISNUMBER(INDEX(rMed,3718))),INDEX(rMed2,3718),NA()))</f>
        <v>#N/A</v>
      </c>
      <c r="BY3720" t="e">
        <f>IF(OR(cMed=0,cMed2=0,3718&gt;nFilas),NA(),IF(AND(ISNUMBER(INDEX(rMed2,3718)),ISNUMBER(INDEX(rMed,3718))),INDEX(rMed,3718),NA()))</f>
        <v>#N/A</v>
      </c>
    </row>
    <row r="3721">
      <c r="BX3721" t="e">
        <f>IF(OR(cMed=0,cMed2=0,3719&gt;nFilas),NA(),IF(AND(ISNUMBER(INDEX(rMed2,3719)),ISNUMBER(INDEX(rMed,3719))),INDEX(rMed2,3719),NA()))</f>
        <v>#N/A</v>
      </c>
      <c r="BY3721" t="e">
        <f>IF(OR(cMed=0,cMed2=0,3719&gt;nFilas),NA(),IF(AND(ISNUMBER(INDEX(rMed2,3719)),ISNUMBER(INDEX(rMed,3719))),INDEX(rMed,3719),NA()))</f>
        <v>#N/A</v>
      </c>
    </row>
    <row r="3722">
      <c r="BX3722" t="e">
        <f>IF(OR(cMed=0,cMed2=0,3720&gt;nFilas),NA(),IF(AND(ISNUMBER(INDEX(rMed2,3720)),ISNUMBER(INDEX(rMed,3720))),INDEX(rMed2,3720),NA()))</f>
        <v>#N/A</v>
      </c>
      <c r="BY3722" t="e">
        <f>IF(OR(cMed=0,cMed2=0,3720&gt;nFilas),NA(),IF(AND(ISNUMBER(INDEX(rMed2,3720)),ISNUMBER(INDEX(rMed,3720))),INDEX(rMed,3720),NA()))</f>
        <v>#N/A</v>
      </c>
    </row>
    <row r="3723">
      <c r="BX3723" t="e">
        <f>IF(OR(cMed=0,cMed2=0,3721&gt;nFilas),NA(),IF(AND(ISNUMBER(INDEX(rMed2,3721)),ISNUMBER(INDEX(rMed,3721))),INDEX(rMed2,3721),NA()))</f>
        <v>#N/A</v>
      </c>
      <c r="BY3723" t="e">
        <f>IF(OR(cMed=0,cMed2=0,3721&gt;nFilas),NA(),IF(AND(ISNUMBER(INDEX(rMed2,3721)),ISNUMBER(INDEX(rMed,3721))),INDEX(rMed,3721),NA()))</f>
        <v>#N/A</v>
      </c>
    </row>
    <row r="3724">
      <c r="BX3724" t="e">
        <f>IF(OR(cMed=0,cMed2=0,3722&gt;nFilas),NA(),IF(AND(ISNUMBER(INDEX(rMed2,3722)),ISNUMBER(INDEX(rMed,3722))),INDEX(rMed2,3722),NA()))</f>
        <v>#N/A</v>
      </c>
      <c r="BY3724" t="e">
        <f>IF(OR(cMed=0,cMed2=0,3722&gt;nFilas),NA(),IF(AND(ISNUMBER(INDEX(rMed2,3722)),ISNUMBER(INDEX(rMed,3722))),INDEX(rMed,3722),NA()))</f>
        <v>#N/A</v>
      </c>
    </row>
    <row r="3725">
      <c r="BX3725" t="e">
        <f>IF(OR(cMed=0,cMed2=0,3723&gt;nFilas),NA(),IF(AND(ISNUMBER(INDEX(rMed2,3723)),ISNUMBER(INDEX(rMed,3723))),INDEX(rMed2,3723),NA()))</f>
        <v>#N/A</v>
      </c>
      <c r="BY3725" t="e">
        <f>IF(OR(cMed=0,cMed2=0,3723&gt;nFilas),NA(),IF(AND(ISNUMBER(INDEX(rMed2,3723)),ISNUMBER(INDEX(rMed,3723))),INDEX(rMed,3723),NA()))</f>
        <v>#N/A</v>
      </c>
    </row>
    <row r="3726">
      <c r="BX3726" t="e">
        <f>IF(OR(cMed=0,cMed2=0,3724&gt;nFilas),NA(),IF(AND(ISNUMBER(INDEX(rMed2,3724)),ISNUMBER(INDEX(rMed,3724))),INDEX(rMed2,3724),NA()))</f>
        <v>#N/A</v>
      </c>
      <c r="BY3726" t="e">
        <f>IF(OR(cMed=0,cMed2=0,3724&gt;nFilas),NA(),IF(AND(ISNUMBER(INDEX(rMed2,3724)),ISNUMBER(INDEX(rMed,3724))),INDEX(rMed,3724),NA()))</f>
        <v>#N/A</v>
      </c>
    </row>
    <row r="3727">
      <c r="BX3727" t="e">
        <f>IF(OR(cMed=0,cMed2=0,3725&gt;nFilas),NA(),IF(AND(ISNUMBER(INDEX(rMed2,3725)),ISNUMBER(INDEX(rMed,3725))),INDEX(rMed2,3725),NA()))</f>
        <v>#N/A</v>
      </c>
      <c r="BY3727" t="e">
        <f>IF(OR(cMed=0,cMed2=0,3725&gt;nFilas),NA(),IF(AND(ISNUMBER(INDEX(rMed2,3725)),ISNUMBER(INDEX(rMed,3725))),INDEX(rMed,3725),NA()))</f>
        <v>#N/A</v>
      </c>
    </row>
    <row r="3728">
      <c r="BX3728" t="e">
        <f>IF(OR(cMed=0,cMed2=0,3726&gt;nFilas),NA(),IF(AND(ISNUMBER(INDEX(rMed2,3726)),ISNUMBER(INDEX(rMed,3726))),INDEX(rMed2,3726),NA()))</f>
        <v>#N/A</v>
      </c>
      <c r="BY3728" t="e">
        <f>IF(OR(cMed=0,cMed2=0,3726&gt;nFilas),NA(),IF(AND(ISNUMBER(INDEX(rMed2,3726)),ISNUMBER(INDEX(rMed,3726))),INDEX(rMed,3726),NA()))</f>
        <v>#N/A</v>
      </c>
    </row>
    <row r="3729">
      <c r="BX3729" t="e">
        <f>IF(OR(cMed=0,cMed2=0,3727&gt;nFilas),NA(),IF(AND(ISNUMBER(INDEX(rMed2,3727)),ISNUMBER(INDEX(rMed,3727))),INDEX(rMed2,3727),NA()))</f>
        <v>#N/A</v>
      </c>
      <c r="BY3729" t="e">
        <f>IF(OR(cMed=0,cMed2=0,3727&gt;nFilas),NA(),IF(AND(ISNUMBER(INDEX(rMed2,3727)),ISNUMBER(INDEX(rMed,3727))),INDEX(rMed,3727),NA()))</f>
        <v>#N/A</v>
      </c>
    </row>
    <row r="3730">
      <c r="BX3730" t="e">
        <f>IF(OR(cMed=0,cMed2=0,3728&gt;nFilas),NA(),IF(AND(ISNUMBER(INDEX(rMed2,3728)),ISNUMBER(INDEX(rMed,3728))),INDEX(rMed2,3728),NA()))</f>
        <v>#N/A</v>
      </c>
      <c r="BY3730" t="e">
        <f>IF(OR(cMed=0,cMed2=0,3728&gt;nFilas),NA(),IF(AND(ISNUMBER(INDEX(rMed2,3728)),ISNUMBER(INDEX(rMed,3728))),INDEX(rMed,3728),NA()))</f>
        <v>#N/A</v>
      </c>
    </row>
    <row r="3731">
      <c r="BX3731" t="e">
        <f>IF(OR(cMed=0,cMed2=0,3729&gt;nFilas),NA(),IF(AND(ISNUMBER(INDEX(rMed2,3729)),ISNUMBER(INDEX(rMed,3729))),INDEX(rMed2,3729),NA()))</f>
        <v>#N/A</v>
      </c>
      <c r="BY3731" t="e">
        <f>IF(OR(cMed=0,cMed2=0,3729&gt;nFilas),NA(),IF(AND(ISNUMBER(INDEX(rMed2,3729)),ISNUMBER(INDEX(rMed,3729))),INDEX(rMed,3729),NA()))</f>
        <v>#N/A</v>
      </c>
    </row>
    <row r="3732">
      <c r="BX3732" t="e">
        <f>IF(OR(cMed=0,cMed2=0,3730&gt;nFilas),NA(),IF(AND(ISNUMBER(INDEX(rMed2,3730)),ISNUMBER(INDEX(rMed,3730))),INDEX(rMed2,3730),NA()))</f>
        <v>#N/A</v>
      </c>
      <c r="BY3732" t="e">
        <f>IF(OR(cMed=0,cMed2=0,3730&gt;nFilas),NA(),IF(AND(ISNUMBER(INDEX(rMed2,3730)),ISNUMBER(INDEX(rMed,3730))),INDEX(rMed,3730),NA()))</f>
        <v>#N/A</v>
      </c>
    </row>
    <row r="3733">
      <c r="BX3733" t="e">
        <f>IF(OR(cMed=0,cMed2=0,3731&gt;nFilas),NA(),IF(AND(ISNUMBER(INDEX(rMed2,3731)),ISNUMBER(INDEX(rMed,3731))),INDEX(rMed2,3731),NA()))</f>
        <v>#N/A</v>
      </c>
      <c r="BY3733" t="e">
        <f>IF(OR(cMed=0,cMed2=0,3731&gt;nFilas),NA(),IF(AND(ISNUMBER(INDEX(rMed2,3731)),ISNUMBER(INDEX(rMed,3731))),INDEX(rMed,3731),NA()))</f>
        <v>#N/A</v>
      </c>
    </row>
    <row r="3734">
      <c r="BX3734" t="e">
        <f>IF(OR(cMed=0,cMed2=0,3732&gt;nFilas),NA(),IF(AND(ISNUMBER(INDEX(rMed2,3732)),ISNUMBER(INDEX(rMed,3732))),INDEX(rMed2,3732),NA()))</f>
        <v>#N/A</v>
      </c>
      <c r="BY3734" t="e">
        <f>IF(OR(cMed=0,cMed2=0,3732&gt;nFilas),NA(),IF(AND(ISNUMBER(INDEX(rMed2,3732)),ISNUMBER(INDEX(rMed,3732))),INDEX(rMed,3732),NA()))</f>
        <v>#N/A</v>
      </c>
    </row>
    <row r="3735">
      <c r="BX3735" t="e">
        <f>IF(OR(cMed=0,cMed2=0,3733&gt;nFilas),NA(),IF(AND(ISNUMBER(INDEX(rMed2,3733)),ISNUMBER(INDEX(rMed,3733))),INDEX(rMed2,3733),NA()))</f>
        <v>#N/A</v>
      </c>
      <c r="BY3735" t="e">
        <f>IF(OR(cMed=0,cMed2=0,3733&gt;nFilas),NA(),IF(AND(ISNUMBER(INDEX(rMed2,3733)),ISNUMBER(INDEX(rMed,3733))),INDEX(rMed,3733),NA()))</f>
        <v>#N/A</v>
      </c>
    </row>
    <row r="3736">
      <c r="BX3736" t="e">
        <f>IF(OR(cMed=0,cMed2=0,3734&gt;nFilas),NA(),IF(AND(ISNUMBER(INDEX(rMed2,3734)),ISNUMBER(INDEX(rMed,3734))),INDEX(rMed2,3734),NA()))</f>
        <v>#N/A</v>
      </c>
      <c r="BY3736" t="e">
        <f>IF(OR(cMed=0,cMed2=0,3734&gt;nFilas),NA(),IF(AND(ISNUMBER(INDEX(rMed2,3734)),ISNUMBER(INDEX(rMed,3734))),INDEX(rMed,3734),NA()))</f>
        <v>#N/A</v>
      </c>
    </row>
    <row r="3737">
      <c r="BX3737" t="e">
        <f>IF(OR(cMed=0,cMed2=0,3735&gt;nFilas),NA(),IF(AND(ISNUMBER(INDEX(rMed2,3735)),ISNUMBER(INDEX(rMed,3735))),INDEX(rMed2,3735),NA()))</f>
        <v>#N/A</v>
      </c>
      <c r="BY3737" t="e">
        <f>IF(OR(cMed=0,cMed2=0,3735&gt;nFilas),NA(),IF(AND(ISNUMBER(INDEX(rMed2,3735)),ISNUMBER(INDEX(rMed,3735))),INDEX(rMed,3735),NA()))</f>
        <v>#N/A</v>
      </c>
    </row>
    <row r="3738">
      <c r="BX3738" t="e">
        <f>IF(OR(cMed=0,cMed2=0,3736&gt;nFilas),NA(),IF(AND(ISNUMBER(INDEX(rMed2,3736)),ISNUMBER(INDEX(rMed,3736))),INDEX(rMed2,3736),NA()))</f>
        <v>#N/A</v>
      </c>
      <c r="BY3738" t="e">
        <f>IF(OR(cMed=0,cMed2=0,3736&gt;nFilas),NA(),IF(AND(ISNUMBER(INDEX(rMed2,3736)),ISNUMBER(INDEX(rMed,3736))),INDEX(rMed,3736),NA()))</f>
        <v>#N/A</v>
      </c>
    </row>
    <row r="3739">
      <c r="BX3739" t="e">
        <f>IF(OR(cMed=0,cMed2=0,3737&gt;nFilas),NA(),IF(AND(ISNUMBER(INDEX(rMed2,3737)),ISNUMBER(INDEX(rMed,3737))),INDEX(rMed2,3737),NA()))</f>
        <v>#N/A</v>
      </c>
      <c r="BY3739" t="e">
        <f>IF(OR(cMed=0,cMed2=0,3737&gt;nFilas),NA(),IF(AND(ISNUMBER(INDEX(rMed2,3737)),ISNUMBER(INDEX(rMed,3737))),INDEX(rMed,3737),NA()))</f>
        <v>#N/A</v>
      </c>
    </row>
    <row r="3740">
      <c r="BX3740" t="e">
        <f>IF(OR(cMed=0,cMed2=0,3738&gt;nFilas),NA(),IF(AND(ISNUMBER(INDEX(rMed2,3738)),ISNUMBER(INDEX(rMed,3738))),INDEX(rMed2,3738),NA()))</f>
        <v>#N/A</v>
      </c>
      <c r="BY3740" t="e">
        <f>IF(OR(cMed=0,cMed2=0,3738&gt;nFilas),NA(),IF(AND(ISNUMBER(INDEX(rMed2,3738)),ISNUMBER(INDEX(rMed,3738))),INDEX(rMed,3738),NA()))</f>
        <v>#N/A</v>
      </c>
    </row>
    <row r="3741">
      <c r="BX3741" t="e">
        <f>IF(OR(cMed=0,cMed2=0,3739&gt;nFilas),NA(),IF(AND(ISNUMBER(INDEX(rMed2,3739)),ISNUMBER(INDEX(rMed,3739))),INDEX(rMed2,3739),NA()))</f>
        <v>#N/A</v>
      </c>
      <c r="BY3741" t="e">
        <f>IF(OR(cMed=0,cMed2=0,3739&gt;nFilas),NA(),IF(AND(ISNUMBER(INDEX(rMed2,3739)),ISNUMBER(INDEX(rMed,3739))),INDEX(rMed,3739),NA()))</f>
        <v>#N/A</v>
      </c>
    </row>
    <row r="3742">
      <c r="BX3742" t="e">
        <f>IF(OR(cMed=0,cMed2=0,3740&gt;nFilas),NA(),IF(AND(ISNUMBER(INDEX(rMed2,3740)),ISNUMBER(INDEX(rMed,3740))),INDEX(rMed2,3740),NA()))</f>
        <v>#N/A</v>
      </c>
      <c r="BY3742" t="e">
        <f>IF(OR(cMed=0,cMed2=0,3740&gt;nFilas),NA(),IF(AND(ISNUMBER(INDEX(rMed2,3740)),ISNUMBER(INDEX(rMed,3740))),INDEX(rMed,3740),NA()))</f>
        <v>#N/A</v>
      </c>
    </row>
    <row r="3743">
      <c r="BX3743" t="e">
        <f>IF(OR(cMed=0,cMed2=0,3741&gt;nFilas),NA(),IF(AND(ISNUMBER(INDEX(rMed2,3741)),ISNUMBER(INDEX(rMed,3741))),INDEX(rMed2,3741),NA()))</f>
        <v>#N/A</v>
      </c>
      <c r="BY3743" t="e">
        <f>IF(OR(cMed=0,cMed2=0,3741&gt;nFilas),NA(),IF(AND(ISNUMBER(INDEX(rMed2,3741)),ISNUMBER(INDEX(rMed,3741))),INDEX(rMed,3741),NA()))</f>
        <v>#N/A</v>
      </c>
    </row>
    <row r="3744">
      <c r="BX3744" t="e">
        <f>IF(OR(cMed=0,cMed2=0,3742&gt;nFilas),NA(),IF(AND(ISNUMBER(INDEX(rMed2,3742)),ISNUMBER(INDEX(rMed,3742))),INDEX(rMed2,3742),NA()))</f>
        <v>#N/A</v>
      </c>
      <c r="BY3744" t="e">
        <f>IF(OR(cMed=0,cMed2=0,3742&gt;nFilas),NA(),IF(AND(ISNUMBER(INDEX(rMed2,3742)),ISNUMBER(INDEX(rMed,3742))),INDEX(rMed,3742),NA()))</f>
        <v>#N/A</v>
      </c>
    </row>
    <row r="3745">
      <c r="BX3745" t="e">
        <f>IF(OR(cMed=0,cMed2=0,3743&gt;nFilas),NA(),IF(AND(ISNUMBER(INDEX(rMed2,3743)),ISNUMBER(INDEX(rMed,3743))),INDEX(rMed2,3743),NA()))</f>
        <v>#N/A</v>
      </c>
      <c r="BY3745" t="e">
        <f>IF(OR(cMed=0,cMed2=0,3743&gt;nFilas),NA(),IF(AND(ISNUMBER(INDEX(rMed2,3743)),ISNUMBER(INDEX(rMed,3743))),INDEX(rMed,3743),NA()))</f>
        <v>#N/A</v>
      </c>
    </row>
    <row r="3746">
      <c r="BX3746" t="e">
        <f>IF(OR(cMed=0,cMed2=0,3744&gt;nFilas),NA(),IF(AND(ISNUMBER(INDEX(rMed2,3744)),ISNUMBER(INDEX(rMed,3744))),INDEX(rMed2,3744),NA()))</f>
        <v>#N/A</v>
      </c>
      <c r="BY3746" t="e">
        <f>IF(OR(cMed=0,cMed2=0,3744&gt;nFilas),NA(),IF(AND(ISNUMBER(INDEX(rMed2,3744)),ISNUMBER(INDEX(rMed,3744))),INDEX(rMed,3744),NA()))</f>
        <v>#N/A</v>
      </c>
    </row>
    <row r="3747">
      <c r="BX3747" t="e">
        <f>IF(OR(cMed=0,cMed2=0,3745&gt;nFilas),NA(),IF(AND(ISNUMBER(INDEX(rMed2,3745)),ISNUMBER(INDEX(rMed,3745))),INDEX(rMed2,3745),NA()))</f>
        <v>#N/A</v>
      </c>
      <c r="BY3747" t="e">
        <f>IF(OR(cMed=0,cMed2=0,3745&gt;nFilas),NA(),IF(AND(ISNUMBER(INDEX(rMed2,3745)),ISNUMBER(INDEX(rMed,3745))),INDEX(rMed,3745),NA()))</f>
        <v>#N/A</v>
      </c>
    </row>
    <row r="3748">
      <c r="BX3748" t="e">
        <f>IF(OR(cMed=0,cMed2=0,3746&gt;nFilas),NA(),IF(AND(ISNUMBER(INDEX(rMed2,3746)),ISNUMBER(INDEX(rMed,3746))),INDEX(rMed2,3746),NA()))</f>
        <v>#N/A</v>
      </c>
      <c r="BY3748" t="e">
        <f>IF(OR(cMed=0,cMed2=0,3746&gt;nFilas),NA(),IF(AND(ISNUMBER(INDEX(rMed2,3746)),ISNUMBER(INDEX(rMed,3746))),INDEX(rMed,3746),NA()))</f>
        <v>#N/A</v>
      </c>
    </row>
    <row r="3749">
      <c r="BX3749" t="e">
        <f>IF(OR(cMed=0,cMed2=0,3747&gt;nFilas),NA(),IF(AND(ISNUMBER(INDEX(rMed2,3747)),ISNUMBER(INDEX(rMed,3747))),INDEX(rMed2,3747),NA()))</f>
        <v>#N/A</v>
      </c>
      <c r="BY3749" t="e">
        <f>IF(OR(cMed=0,cMed2=0,3747&gt;nFilas),NA(),IF(AND(ISNUMBER(INDEX(rMed2,3747)),ISNUMBER(INDEX(rMed,3747))),INDEX(rMed,3747),NA()))</f>
        <v>#N/A</v>
      </c>
    </row>
    <row r="3750">
      <c r="BX3750" t="e">
        <f>IF(OR(cMed=0,cMed2=0,3748&gt;nFilas),NA(),IF(AND(ISNUMBER(INDEX(rMed2,3748)),ISNUMBER(INDEX(rMed,3748))),INDEX(rMed2,3748),NA()))</f>
        <v>#N/A</v>
      </c>
      <c r="BY3750" t="e">
        <f>IF(OR(cMed=0,cMed2=0,3748&gt;nFilas),NA(),IF(AND(ISNUMBER(INDEX(rMed2,3748)),ISNUMBER(INDEX(rMed,3748))),INDEX(rMed,3748),NA()))</f>
        <v>#N/A</v>
      </c>
    </row>
    <row r="3751">
      <c r="BX3751" t="e">
        <f>IF(OR(cMed=0,cMed2=0,3749&gt;nFilas),NA(),IF(AND(ISNUMBER(INDEX(rMed2,3749)),ISNUMBER(INDEX(rMed,3749))),INDEX(rMed2,3749),NA()))</f>
        <v>#N/A</v>
      </c>
      <c r="BY3751" t="e">
        <f>IF(OR(cMed=0,cMed2=0,3749&gt;nFilas),NA(),IF(AND(ISNUMBER(INDEX(rMed2,3749)),ISNUMBER(INDEX(rMed,3749))),INDEX(rMed,3749),NA()))</f>
        <v>#N/A</v>
      </c>
    </row>
    <row r="3752">
      <c r="BX3752" t="e">
        <f>IF(OR(cMed=0,cMed2=0,3750&gt;nFilas),NA(),IF(AND(ISNUMBER(INDEX(rMed2,3750)),ISNUMBER(INDEX(rMed,3750))),INDEX(rMed2,3750),NA()))</f>
        <v>#N/A</v>
      </c>
      <c r="BY3752" t="e">
        <f>IF(OR(cMed=0,cMed2=0,3750&gt;nFilas),NA(),IF(AND(ISNUMBER(INDEX(rMed2,3750)),ISNUMBER(INDEX(rMed,3750))),INDEX(rMed,3750),NA()))</f>
        <v>#N/A</v>
      </c>
    </row>
    <row r="3753">
      <c r="BX3753" t="e">
        <f>IF(OR(cMed=0,cMed2=0,3751&gt;nFilas),NA(),IF(AND(ISNUMBER(INDEX(rMed2,3751)),ISNUMBER(INDEX(rMed,3751))),INDEX(rMed2,3751),NA()))</f>
        <v>#N/A</v>
      </c>
      <c r="BY3753" t="e">
        <f>IF(OR(cMed=0,cMed2=0,3751&gt;nFilas),NA(),IF(AND(ISNUMBER(INDEX(rMed2,3751)),ISNUMBER(INDEX(rMed,3751))),INDEX(rMed,3751),NA()))</f>
        <v>#N/A</v>
      </c>
    </row>
    <row r="3754">
      <c r="BX3754" t="e">
        <f>IF(OR(cMed=0,cMed2=0,3752&gt;nFilas),NA(),IF(AND(ISNUMBER(INDEX(rMed2,3752)),ISNUMBER(INDEX(rMed,3752))),INDEX(rMed2,3752),NA()))</f>
        <v>#N/A</v>
      </c>
      <c r="BY3754" t="e">
        <f>IF(OR(cMed=0,cMed2=0,3752&gt;nFilas),NA(),IF(AND(ISNUMBER(INDEX(rMed2,3752)),ISNUMBER(INDEX(rMed,3752))),INDEX(rMed,3752),NA()))</f>
        <v>#N/A</v>
      </c>
    </row>
    <row r="3755">
      <c r="BX3755" t="e">
        <f>IF(OR(cMed=0,cMed2=0,3753&gt;nFilas),NA(),IF(AND(ISNUMBER(INDEX(rMed2,3753)),ISNUMBER(INDEX(rMed,3753))),INDEX(rMed2,3753),NA()))</f>
        <v>#N/A</v>
      </c>
      <c r="BY3755" t="e">
        <f>IF(OR(cMed=0,cMed2=0,3753&gt;nFilas),NA(),IF(AND(ISNUMBER(INDEX(rMed2,3753)),ISNUMBER(INDEX(rMed,3753))),INDEX(rMed,3753),NA()))</f>
        <v>#N/A</v>
      </c>
    </row>
    <row r="3756">
      <c r="BX3756" t="e">
        <f>IF(OR(cMed=0,cMed2=0,3754&gt;nFilas),NA(),IF(AND(ISNUMBER(INDEX(rMed2,3754)),ISNUMBER(INDEX(rMed,3754))),INDEX(rMed2,3754),NA()))</f>
        <v>#N/A</v>
      </c>
      <c r="BY3756" t="e">
        <f>IF(OR(cMed=0,cMed2=0,3754&gt;nFilas),NA(),IF(AND(ISNUMBER(INDEX(rMed2,3754)),ISNUMBER(INDEX(rMed,3754))),INDEX(rMed,3754),NA()))</f>
        <v>#N/A</v>
      </c>
    </row>
    <row r="3757">
      <c r="BX3757" t="e">
        <f>IF(OR(cMed=0,cMed2=0,3755&gt;nFilas),NA(),IF(AND(ISNUMBER(INDEX(rMed2,3755)),ISNUMBER(INDEX(rMed,3755))),INDEX(rMed2,3755),NA()))</f>
        <v>#N/A</v>
      </c>
      <c r="BY3757" t="e">
        <f>IF(OR(cMed=0,cMed2=0,3755&gt;nFilas),NA(),IF(AND(ISNUMBER(INDEX(rMed2,3755)),ISNUMBER(INDEX(rMed,3755))),INDEX(rMed,3755),NA()))</f>
        <v>#N/A</v>
      </c>
    </row>
    <row r="3758">
      <c r="BX3758" t="e">
        <f>IF(OR(cMed=0,cMed2=0,3756&gt;nFilas),NA(),IF(AND(ISNUMBER(INDEX(rMed2,3756)),ISNUMBER(INDEX(rMed,3756))),INDEX(rMed2,3756),NA()))</f>
        <v>#N/A</v>
      </c>
      <c r="BY3758" t="e">
        <f>IF(OR(cMed=0,cMed2=0,3756&gt;nFilas),NA(),IF(AND(ISNUMBER(INDEX(rMed2,3756)),ISNUMBER(INDEX(rMed,3756))),INDEX(rMed,3756),NA()))</f>
        <v>#N/A</v>
      </c>
    </row>
    <row r="3759">
      <c r="BX3759" t="e">
        <f>IF(OR(cMed=0,cMed2=0,3757&gt;nFilas),NA(),IF(AND(ISNUMBER(INDEX(rMed2,3757)),ISNUMBER(INDEX(rMed,3757))),INDEX(rMed2,3757),NA()))</f>
        <v>#N/A</v>
      </c>
      <c r="BY3759" t="e">
        <f>IF(OR(cMed=0,cMed2=0,3757&gt;nFilas),NA(),IF(AND(ISNUMBER(INDEX(rMed2,3757)),ISNUMBER(INDEX(rMed,3757))),INDEX(rMed,3757),NA()))</f>
        <v>#N/A</v>
      </c>
    </row>
    <row r="3760">
      <c r="BX3760" t="e">
        <f>IF(OR(cMed=0,cMed2=0,3758&gt;nFilas),NA(),IF(AND(ISNUMBER(INDEX(rMed2,3758)),ISNUMBER(INDEX(rMed,3758))),INDEX(rMed2,3758),NA()))</f>
        <v>#N/A</v>
      </c>
      <c r="BY3760" t="e">
        <f>IF(OR(cMed=0,cMed2=0,3758&gt;nFilas),NA(),IF(AND(ISNUMBER(INDEX(rMed2,3758)),ISNUMBER(INDEX(rMed,3758))),INDEX(rMed,3758),NA()))</f>
        <v>#N/A</v>
      </c>
    </row>
    <row r="3761">
      <c r="BX3761" t="e">
        <f>IF(OR(cMed=0,cMed2=0,3759&gt;nFilas),NA(),IF(AND(ISNUMBER(INDEX(rMed2,3759)),ISNUMBER(INDEX(rMed,3759))),INDEX(rMed2,3759),NA()))</f>
        <v>#N/A</v>
      </c>
      <c r="BY3761" t="e">
        <f>IF(OR(cMed=0,cMed2=0,3759&gt;nFilas),NA(),IF(AND(ISNUMBER(INDEX(rMed2,3759)),ISNUMBER(INDEX(rMed,3759))),INDEX(rMed,3759),NA()))</f>
        <v>#N/A</v>
      </c>
    </row>
    <row r="3762">
      <c r="BX3762" t="e">
        <f>IF(OR(cMed=0,cMed2=0,3760&gt;nFilas),NA(),IF(AND(ISNUMBER(INDEX(rMed2,3760)),ISNUMBER(INDEX(rMed,3760))),INDEX(rMed2,3760),NA()))</f>
        <v>#N/A</v>
      </c>
      <c r="BY3762" t="e">
        <f>IF(OR(cMed=0,cMed2=0,3760&gt;nFilas),NA(),IF(AND(ISNUMBER(INDEX(rMed2,3760)),ISNUMBER(INDEX(rMed,3760))),INDEX(rMed,3760),NA()))</f>
        <v>#N/A</v>
      </c>
    </row>
    <row r="3763">
      <c r="BX3763" t="e">
        <f>IF(OR(cMed=0,cMed2=0,3761&gt;nFilas),NA(),IF(AND(ISNUMBER(INDEX(rMed2,3761)),ISNUMBER(INDEX(rMed,3761))),INDEX(rMed2,3761),NA()))</f>
        <v>#N/A</v>
      </c>
      <c r="BY3763" t="e">
        <f>IF(OR(cMed=0,cMed2=0,3761&gt;nFilas),NA(),IF(AND(ISNUMBER(INDEX(rMed2,3761)),ISNUMBER(INDEX(rMed,3761))),INDEX(rMed,3761),NA()))</f>
        <v>#N/A</v>
      </c>
    </row>
    <row r="3764">
      <c r="BX3764" t="e">
        <f>IF(OR(cMed=0,cMed2=0,3762&gt;nFilas),NA(),IF(AND(ISNUMBER(INDEX(rMed2,3762)),ISNUMBER(INDEX(rMed,3762))),INDEX(rMed2,3762),NA()))</f>
        <v>#N/A</v>
      </c>
      <c r="BY3764" t="e">
        <f>IF(OR(cMed=0,cMed2=0,3762&gt;nFilas),NA(),IF(AND(ISNUMBER(INDEX(rMed2,3762)),ISNUMBER(INDEX(rMed,3762))),INDEX(rMed,3762),NA()))</f>
        <v>#N/A</v>
      </c>
    </row>
    <row r="3765">
      <c r="BX3765" t="e">
        <f>IF(OR(cMed=0,cMed2=0,3763&gt;nFilas),NA(),IF(AND(ISNUMBER(INDEX(rMed2,3763)),ISNUMBER(INDEX(rMed,3763))),INDEX(rMed2,3763),NA()))</f>
        <v>#N/A</v>
      </c>
      <c r="BY3765" t="e">
        <f>IF(OR(cMed=0,cMed2=0,3763&gt;nFilas),NA(),IF(AND(ISNUMBER(INDEX(rMed2,3763)),ISNUMBER(INDEX(rMed,3763))),INDEX(rMed,3763),NA()))</f>
        <v>#N/A</v>
      </c>
    </row>
    <row r="3766">
      <c r="BX3766" t="e">
        <f>IF(OR(cMed=0,cMed2=0,3764&gt;nFilas),NA(),IF(AND(ISNUMBER(INDEX(rMed2,3764)),ISNUMBER(INDEX(rMed,3764))),INDEX(rMed2,3764),NA()))</f>
        <v>#N/A</v>
      </c>
      <c r="BY3766" t="e">
        <f>IF(OR(cMed=0,cMed2=0,3764&gt;nFilas),NA(),IF(AND(ISNUMBER(INDEX(rMed2,3764)),ISNUMBER(INDEX(rMed,3764))),INDEX(rMed,3764),NA()))</f>
        <v>#N/A</v>
      </c>
    </row>
    <row r="3767">
      <c r="BX3767" t="e">
        <f>IF(OR(cMed=0,cMed2=0,3765&gt;nFilas),NA(),IF(AND(ISNUMBER(INDEX(rMed2,3765)),ISNUMBER(INDEX(rMed,3765))),INDEX(rMed2,3765),NA()))</f>
        <v>#N/A</v>
      </c>
      <c r="BY3767" t="e">
        <f>IF(OR(cMed=0,cMed2=0,3765&gt;nFilas),NA(),IF(AND(ISNUMBER(INDEX(rMed2,3765)),ISNUMBER(INDEX(rMed,3765))),INDEX(rMed,3765),NA()))</f>
        <v>#N/A</v>
      </c>
    </row>
    <row r="3768">
      <c r="BX3768" t="e">
        <f>IF(OR(cMed=0,cMed2=0,3766&gt;nFilas),NA(),IF(AND(ISNUMBER(INDEX(rMed2,3766)),ISNUMBER(INDEX(rMed,3766))),INDEX(rMed2,3766),NA()))</f>
        <v>#N/A</v>
      </c>
      <c r="BY3768" t="e">
        <f>IF(OR(cMed=0,cMed2=0,3766&gt;nFilas),NA(),IF(AND(ISNUMBER(INDEX(rMed2,3766)),ISNUMBER(INDEX(rMed,3766))),INDEX(rMed,3766),NA()))</f>
        <v>#N/A</v>
      </c>
    </row>
    <row r="3769">
      <c r="BX3769" t="e">
        <f>IF(OR(cMed=0,cMed2=0,3767&gt;nFilas),NA(),IF(AND(ISNUMBER(INDEX(rMed2,3767)),ISNUMBER(INDEX(rMed,3767))),INDEX(rMed2,3767),NA()))</f>
        <v>#N/A</v>
      </c>
      <c r="BY3769" t="e">
        <f>IF(OR(cMed=0,cMed2=0,3767&gt;nFilas),NA(),IF(AND(ISNUMBER(INDEX(rMed2,3767)),ISNUMBER(INDEX(rMed,3767))),INDEX(rMed,3767),NA()))</f>
        <v>#N/A</v>
      </c>
    </row>
    <row r="3770">
      <c r="BX3770" t="e">
        <f>IF(OR(cMed=0,cMed2=0,3768&gt;nFilas),NA(),IF(AND(ISNUMBER(INDEX(rMed2,3768)),ISNUMBER(INDEX(rMed,3768))),INDEX(rMed2,3768),NA()))</f>
        <v>#N/A</v>
      </c>
      <c r="BY3770" t="e">
        <f>IF(OR(cMed=0,cMed2=0,3768&gt;nFilas),NA(),IF(AND(ISNUMBER(INDEX(rMed2,3768)),ISNUMBER(INDEX(rMed,3768))),INDEX(rMed,3768),NA()))</f>
        <v>#N/A</v>
      </c>
    </row>
    <row r="3771">
      <c r="BX3771" t="e">
        <f>IF(OR(cMed=0,cMed2=0,3769&gt;nFilas),NA(),IF(AND(ISNUMBER(INDEX(rMed2,3769)),ISNUMBER(INDEX(rMed,3769))),INDEX(rMed2,3769),NA()))</f>
        <v>#N/A</v>
      </c>
      <c r="BY3771" t="e">
        <f>IF(OR(cMed=0,cMed2=0,3769&gt;nFilas),NA(),IF(AND(ISNUMBER(INDEX(rMed2,3769)),ISNUMBER(INDEX(rMed,3769))),INDEX(rMed,3769),NA()))</f>
        <v>#N/A</v>
      </c>
    </row>
    <row r="3772">
      <c r="BX3772" t="e">
        <f>IF(OR(cMed=0,cMed2=0,3770&gt;nFilas),NA(),IF(AND(ISNUMBER(INDEX(rMed2,3770)),ISNUMBER(INDEX(rMed,3770))),INDEX(rMed2,3770),NA()))</f>
        <v>#N/A</v>
      </c>
      <c r="BY3772" t="e">
        <f>IF(OR(cMed=0,cMed2=0,3770&gt;nFilas),NA(),IF(AND(ISNUMBER(INDEX(rMed2,3770)),ISNUMBER(INDEX(rMed,3770))),INDEX(rMed,3770),NA()))</f>
        <v>#N/A</v>
      </c>
    </row>
    <row r="3773">
      <c r="BX3773" t="e">
        <f>IF(OR(cMed=0,cMed2=0,3771&gt;nFilas),NA(),IF(AND(ISNUMBER(INDEX(rMed2,3771)),ISNUMBER(INDEX(rMed,3771))),INDEX(rMed2,3771),NA()))</f>
        <v>#N/A</v>
      </c>
      <c r="BY3773" t="e">
        <f>IF(OR(cMed=0,cMed2=0,3771&gt;nFilas),NA(),IF(AND(ISNUMBER(INDEX(rMed2,3771)),ISNUMBER(INDEX(rMed,3771))),INDEX(rMed,3771),NA()))</f>
        <v>#N/A</v>
      </c>
    </row>
    <row r="3774">
      <c r="BX3774" t="e">
        <f>IF(OR(cMed=0,cMed2=0,3772&gt;nFilas),NA(),IF(AND(ISNUMBER(INDEX(rMed2,3772)),ISNUMBER(INDEX(rMed,3772))),INDEX(rMed2,3772),NA()))</f>
        <v>#N/A</v>
      </c>
      <c r="BY3774" t="e">
        <f>IF(OR(cMed=0,cMed2=0,3772&gt;nFilas),NA(),IF(AND(ISNUMBER(INDEX(rMed2,3772)),ISNUMBER(INDEX(rMed,3772))),INDEX(rMed,3772),NA()))</f>
        <v>#N/A</v>
      </c>
    </row>
    <row r="3775">
      <c r="BX3775" t="e">
        <f>IF(OR(cMed=0,cMed2=0,3773&gt;nFilas),NA(),IF(AND(ISNUMBER(INDEX(rMed2,3773)),ISNUMBER(INDEX(rMed,3773))),INDEX(rMed2,3773),NA()))</f>
        <v>#N/A</v>
      </c>
      <c r="BY3775" t="e">
        <f>IF(OR(cMed=0,cMed2=0,3773&gt;nFilas),NA(),IF(AND(ISNUMBER(INDEX(rMed2,3773)),ISNUMBER(INDEX(rMed,3773))),INDEX(rMed,3773),NA()))</f>
        <v>#N/A</v>
      </c>
    </row>
    <row r="3776">
      <c r="BX3776" t="e">
        <f>IF(OR(cMed=0,cMed2=0,3774&gt;nFilas),NA(),IF(AND(ISNUMBER(INDEX(rMed2,3774)),ISNUMBER(INDEX(rMed,3774))),INDEX(rMed2,3774),NA()))</f>
        <v>#N/A</v>
      </c>
      <c r="BY3776" t="e">
        <f>IF(OR(cMed=0,cMed2=0,3774&gt;nFilas),NA(),IF(AND(ISNUMBER(INDEX(rMed2,3774)),ISNUMBER(INDEX(rMed,3774))),INDEX(rMed,3774),NA()))</f>
        <v>#N/A</v>
      </c>
    </row>
    <row r="3777">
      <c r="BX3777" t="e">
        <f>IF(OR(cMed=0,cMed2=0,3775&gt;nFilas),NA(),IF(AND(ISNUMBER(INDEX(rMed2,3775)),ISNUMBER(INDEX(rMed,3775))),INDEX(rMed2,3775),NA()))</f>
        <v>#N/A</v>
      </c>
      <c r="BY3777" t="e">
        <f>IF(OR(cMed=0,cMed2=0,3775&gt;nFilas),NA(),IF(AND(ISNUMBER(INDEX(rMed2,3775)),ISNUMBER(INDEX(rMed,3775))),INDEX(rMed,3775),NA()))</f>
        <v>#N/A</v>
      </c>
    </row>
    <row r="3778">
      <c r="BX3778" t="e">
        <f>IF(OR(cMed=0,cMed2=0,3776&gt;nFilas),NA(),IF(AND(ISNUMBER(INDEX(rMed2,3776)),ISNUMBER(INDEX(rMed,3776))),INDEX(rMed2,3776),NA()))</f>
        <v>#N/A</v>
      </c>
      <c r="BY3778" t="e">
        <f>IF(OR(cMed=0,cMed2=0,3776&gt;nFilas),NA(),IF(AND(ISNUMBER(INDEX(rMed2,3776)),ISNUMBER(INDEX(rMed,3776))),INDEX(rMed,3776),NA()))</f>
        <v>#N/A</v>
      </c>
    </row>
    <row r="3779">
      <c r="BX3779" t="e">
        <f>IF(OR(cMed=0,cMed2=0,3777&gt;nFilas),NA(),IF(AND(ISNUMBER(INDEX(rMed2,3777)),ISNUMBER(INDEX(rMed,3777))),INDEX(rMed2,3777),NA()))</f>
        <v>#N/A</v>
      </c>
      <c r="BY3779" t="e">
        <f>IF(OR(cMed=0,cMed2=0,3777&gt;nFilas),NA(),IF(AND(ISNUMBER(INDEX(rMed2,3777)),ISNUMBER(INDEX(rMed,3777))),INDEX(rMed,3777),NA()))</f>
        <v>#N/A</v>
      </c>
    </row>
    <row r="3780">
      <c r="BX3780" t="e">
        <f>IF(OR(cMed=0,cMed2=0,3778&gt;nFilas),NA(),IF(AND(ISNUMBER(INDEX(rMed2,3778)),ISNUMBER(INDEX(rMed,3778))),INDEX(rMed2,3778),NA()))</f>
        <v>#N/A</v>
      </c>
      <c r="BY3780" t="e">
        <f>IF(OR(cMed=0,cMed2=0,3778&gt;nFilas),NA(),IF(AND(ISNUMBER(INDEX(rMed2,3778)),ISNUMBER(INDEX(rMed,3778))),INDEX(rMed,3778),NA()))</f>
        <v>#N/A</v>
      </c>
    </row>
    <row r="3781">
      <c r="BX3781" t="e">
        <f>IF(OR(cMed=0,cMed2=0,3779&gt;nFilas),NA(),IF(AND(ISNUMBER(INDEX(rMed2,3779)),ISNUMBER(INDEX(rMed,3779))),INDEX(rMed2,3779),NA()))</f>
        <v>#N/A</v>
      </c>
      <c r="BY3781" t="e">
        <f>IF(OR(cMed=0,cMed2=0,3779&gt;nFilas),NA(),IF(AND(ISNUMBER(INDEX(rMed2,3779)),ISNUMBER(INDEX(rMed,3779))),INDEX(rMed,3779),NA()))</f>
        <v>#N/A</v>
      </c>
    </row>
    <row r="3782">
      <c r="BX3782" t="e">
        <f>IF(OR(cMed=0,cMed2=0,3780&gt;nFilas),NA(),IF(AND(ISNUMBER(INDEX(rMed2,3780)),ISNUMBER(INDEX(rMed,3780))),INDEX(rMed2,3780),NA()))</f>
        <v>#N/A</v>
      </c>
      <c r="BY3782" t="e">
        <f>IF(OR(cMed=0,cMed2=0,3780&gt;nFilas),NA(),IF(AND(ISNUMBER(INDEX(rMed2,3780)),ISNUMBER(INDEX(rMed,3780))),INDEX(rMed,3780),NA()))</f>
        <v>#N/A</v>
      </c>
    </row>
    <row r="3783">
      <c r="BX3783" t="e">
        <f>IF(OR(cMed=0,cMed2=0,3781&gt;nFilas),NA(),IF(AND(ISNUMBER(INDEX(rMed2,3781)),ISNUMBER(INDEX(rMed,3781))),INDEX(rMed2,3781),NA()))</f>
        <v>#N/A</v>
      </c>
      <c r="BY3783" t="e">
        <f>IF(OR(cMed=0,cMed2=0,3781&gt;nFilas),NA(),IF(AND(ISNUMBER(INDEX(rMed2,3781)),ISNUMBER(INDEX(rMed,3781))),INDEX(rMed,3781),NA()))</f>
        <v>#N/A</v>
      </c>
    </row>
    <row r="3784">
      <c r="BX3784" t="e">
        <f>IF(OR(cMed=0,cMed2=0,3782&gt;nFilas),NA(),IF(AND(ISNUMBER(INDEX(rMed2,3782)),ISNUMBER(INDEX(rMed,3782))),INDEX(rMed2,3782),NA()))</f>
        <v>#N/A</v>
      </c>
      <c r="BY3784" t="e">
        <f>IF(OR(cMed=0,cMed2=0,3782&gt;nFilas),NA(),IF(AND(ISNUMBER(INDEX(rMed2,3782)),ISNUMBER(INDEX(rMed,3782))),INDEX(rMed,3782),NA()))</f>
        <v>#N/A</v>
      </c>
    </row>
    <row r="3785">
      <c r="BX3785" t="e">
        <f>IF(OR(cMed=0,cMed2=0,3783&gt;nFilas),NA(),IF(AND(ISNUMBER(INDEX(rMed2,3783)),ISNUMBER(INDEX(rMed,3783))),INDEX(rMed2,3783),NA()))</f>
        <v>#N/A</v>
      </c>
      <c r="BY3785" t="e">
        <f>IF(OR(cMed=0,cMed2=0,3783&gt;nFilas),NA(),IF(AND(ISNUMBER(INDEX(rMed2,3783)),ISNUMBER(INDEX(rMed,3783))),INDEX(rMed,3783),NA()))</f>
        <v>#N/A</v>
      </c>
    </row>
    <row r="3786">
      <c r="BX3786" t="e">
        <f>IF(OR(cMed=0,cMed2=0,3784&gt;nFilas),NA(),IF(AND(ISNUMBER(INDEX(rMed2,3784)),ISNUMBER(INDEX(rMed,3784))),INDEX(rMed2,3784),NA()))</f>
        <v>#N/A</v>
      </c>
      <c r="BY3786" t="e">
        <f>IF(OR(cMed=0,cMed2=0,3784&gt;nFilas),NA(),IF(AND(ISNUMBER(INDEX(rMed2,3784)),ISNUMBER(INDEX(rMed,3784))),INDEX(rMed,3784),NA()))</f>
        <v>#N/A</v>
      </c>
    </row>
    <row r="3787">
      <c r="BX3787" t="e">
        <f>IF(OR(cMed=0,cMed2=0,3785&gt;nFilas),NA(),IF(AND(ISNUMBER(INDEX(rMed2,3785)),ISNUMBER(INDEX(rMed,3785))),INDEX(rMed2,3785),NA()))</f>
        <v>#N/A</v>
      </c>
      <c r="BY3787" t="e">
        <f>IF(OR(cMed=0,cMed2=0,3785&gt;nFilas),NA(),IF(AND(ISNUMBER(INDEX(rMed2,3785)),ISNUMBER(INDEX(rMed,3785))),INDEX(rMed,3785),NA()))</f>
        <v>#N/A</v>
      </c>
    </row>
    <row r="3788">
      <c r="BX3788" t="e">
        <f>IF(OR(cMed=0,cMed2=0,3786&gt;nFilas),NA(),IF(AND(ISNUMBER(INDEX(rMed2,3786)),ISNUMBER(INDEX(rMed,3786))),INDEX(rMed2,3786),NA()))</f>
        <v>#N/A</v>
      </c>
      <c r="BY3788" t="e">
        <f>IF(OR(cMed=0,cMed2=0,3786&gt;nFilas),NA(),IF(AND(ISNUMBER(INDEX(rMed2,3786)),ISNUMBER(INDEX(rMed,3786))),INDEX(rMed,3786),NA()))</f>
        <v>#N/A</v>
      </c>
    </row>
    <row r="3789">
      <c r="BX3789" t="e">
        <f>IF(OR(cMed=0,cMed2=0,3787&gt;nFilas),NA(),IF(AND(ISNUMBER(INDEX(rMed2,3787)),ISNUMBER(INDEX(rMed,3787))),INDEX(rMed2,3787),NA()))</f>
        <v>#N/A</v>
      </c>
      <c r="BY3789" t="e">
        <f>IF(OR(cMed=0,cMed2=0,3787&gt;nFilas),NA(),IF(AND(ISNUMBER(INDEX(rMed2,3787)),ISNUMBER(INDEX(rMed,3787))),INDEX(rMed,3787),NA()))</f>
        <v>#N/A</v>
      </c>
    </row>
    <row r="3790">
      <c r="BX3790" t="e">
        <f>IF(OR(cMed=0,cMed2=0,3788&gt;nFilas),NA(),IF(AND(ISNUMBER(INDEX(rMed2,3788)),ISNUMBER(INDEX(rMed,3788))),INDEX(rMed2,3788),NA()))</f>
        <v>#N/A</v>
      </c>
      <c r="BY3790" t="e">
        <f>IF(OR(cMed=0,cMed2=0,3788&gt;nFilas),NA(),IF(AND(ISNUMBER(INDEX(rMed2,3788)),ISNUMBER(INDEX(rMed,3788))),INDEX(rMed,3788),NA()))</f>
        <v>#N/A</v>
      </c>
    </row>
    <row r="3791">
      <c r="BX3791" t="e">
        <f>IF(OR(cMed=0,cMed2=0,3789&gt;nFilas),NA(),IF(AND(ISNUMBER(INDEX(rMed2,3789)),ISNUMBER(INDEX(rMed,3789))),INDEX(rMed2,3789),NA()))</f>
        <v>#N/A</v>
      </c>
      <c r="BY3791" t="e">
        <f>IF(OR(cMed=0,cMed2=0,3789&gt;nFilas),NA(),IF(AND(ISNUMBER(INDEX(rMed2,3789)),ISNUMBER(INDEX(rMed,3789))),INDEX(rMed,3789),NA()))</f>
        <v>#N/A</v>
      </c>
    </row>
    <row r="3792">
      <c r="BX3792" t="e">
        <f>IF(OR(cMed=0,cMed2=0,3790&gt;nFilas),NA(),IF(AND(ISNUMBER(INDEX(rMed2,3790)),ISNUMBER(INDEX(rMed,3790))),INDEX(rMed2,3790),NA()))</f>
        <v>#N/A</v>
      </c>
      <c r="BY3792" t="e">
        <f>IF(OR(cMed=0,cMed2=0,3790&gt;nFilas),NA(),IF(AND(ISNUMBER(INDEX(rMed2,3790)),ISNUMBER(INDEX(rMed,3790))),INDEX(rMed,3790),NA()))</f>
        <v>#N/A</v>
      </c>
    </row>
    <row r="3793">
      <c r="BX3793" t="e">
        <f>IF(OR(cMed=0,cMed2=0,3791&gt;nFilas),NA(),IF(AND(ISNUMBER(INDEX(rMed2,3791)),ISNUMBER(INDEX(rMed,3791))),INDEX(rMed2,3791),NA()))</f>
        <v>#N/A</v>
      </c>
      <c r="BY3793" t="e">
        <f>IF(OR(cMed=0,cMed2=0,3791&gt;nFilas),NA(),IF(AND(ISNUMBER(INDEX(rMed2,3791)),ISNUMBER(INDEX(rMed,3791))),INDEX(rMed,3791),NA()))</f>
        <v>#N/A</v>
      </c>
    </row>
    <row r="3794">
      <c r="BX3794" t="e">
        <f>IF(OR(cMed=0,cMed2=0,3792&gt;nFilas),NA(),IF(AND(ISNUMBER(INDEX(rMed2,3792)),ISNUMBER(INDEX(rMed,3792))),INDEX(rMed2,3792),NA()))</f>
        <v>#N/A</v>
      </c>
      <c r="BY3794" t="e">
        <f>IF(OR(cMed=0,cMed2=0,3792&gt;nFilas),NA(),IF(AND(ISNUMBER(INDEX(rMed2,3792)),ISNUMBER(INDEX(rMed,3792))),INDEX(rMed,3792),NA()))</f>
        <v>#N/A</v>
      </c>
    </row>
    <row r="3795">
      <c r="BX3795" t="e">
        <f>IF(OR(cMed=0,cMed2=0,3793&gt;nFilas),NA(),IF(AND(ISNUMBER(INDEX(rMed2,3793)),ISNUMBER(INDEX(rMed,3793))),INDEX(rMed2,3793),NA()))</f>
        <v>#N/A</v>
      </c>
      <c r="BY3795" t="e">
        <f>IF(OR(cMed=0,cMed2=0,3793&gt;nFilas),NA(),IF(AND(ISNUMBER(INDEX(rMed2,3793)),ISNUMBER(INDEX(rMed,3793))),INDEX(rMed,3793),NA()))</f>
        <v>#N/A</v>
      </c>
    </row>
    <row r="3796">
      <c r="BX3796" t="e">
        <f>IF(OR(cMed=0,cMed2=0,3794&gt;nFilas),NA(),IF(AND(ISNUMBER(INDEX(rMed2,3794)),ISNUMBER(INDEX(rMed,3794))),INDEX(rMed2,3794),NA()))</f>
        <v>#N/A</v>
      </c>
      <c r="BY3796" t="e">
        <f>IF(OR(cMed=0,cMed2=0,3794&gt;nFilas),NA(),IF(AND(ISNUMBER(INDEX(rMed2,3794)),ISNUMBER(INDEX(rMed,3794))),INDEX(rMed,3794),NA()))</f>
        <v>#N/A</v>
      </c>
    </row>
    <row r="3797">
      <c r="BX3797" t="e">
        <f>IF(OR(cMed=0,cMed2=0,3795&gt;nFilas),NA(),IF(AND(ISNUMBER(INDEX(rMed2,3795)),ISNUMBER(INDEX(rMed,3795))),INDEX(rMed2,3795),NA()))</f>
        <v>#N/A</v>
      </c>
      <c r="BY3797" t="e">
        <f>IF(OR(cMed=0,cMed2=0,3795&gt;nFilas),NA(),IF(AND(ISNUMBER(INDEX(rMed2,3795)),ISNUMBER(INDEX(rMed,3795))),INDEX(rMed,3795),NA()))</f>
        <v>#N/A</v>
      </c>
    </row>
    <row r="3798">
      <c r="BX3798" t="e">
        <f>IF(OR(cMed=0,cMed2=0,3796&gt;nFilas),NA(),IF(AND(ISNUMBER(INDEX(rMed2,3796)),ISNUMBER(INDEX(rMed,3796))),INDEX(rMed2,3796),NA()))</f>
        <v>#N/A</v>
      </c>
      <c r="BY3798" t="e">
        <f>IF(OR(cMed=0,cMed2=0,3796&gt;nFilas),NA(),IF(AND(ISNUMBER(INDEX(rMed2,3796)),ISNUMBER(INDEX(rMed,3796))),INDEX(rMed,3796),NA()))</f>
        <v>#N/A</v>
      </c>
    </row>
    <row r="3799">
      <c r="BX3799" t="e">
        <f>IF(OR(cMed=0,cMed2=0,3797&gt;nFilas),NA(),IF(AND(ISNUMBER(INDEX(rMed2,3797)),ISNUMBER(INDEX(rMed,3797))),INDEX(rMed2,3797),NA()))</f>
        <v>#N/A</v>
      </c>
      <c r="BY3799" t="e">
        <f>IF(OR(cMed=0,cMed2=0,3797&gt;nFilas),NA(),IF(AND(ISNUMBER(INDEX(rMed2,3797)),ISNUMBER(INDEX(rMed,3797))),INDEX(rMed,3797),NA()))</f>
        <v>#N/A</v>
      </c>
    </row>
    <row r="3800">
      <c r="BX3800" t="e">
        <f>IF(OR(cMed=0,cMed2=0,3798&gt;nFilas),NA(),IF(AND(ISNUMBER(INDEX(rMed2,3798)),ISNUMBER(INDEX(rMed,3798))),INDEX(rMed2,3798),NA()))</f>
        <v>#N/A</v>
      </c>
      <c r="BY3800" t="e">
        <f>IF(OR(cMed=0,cMed2=0,3798&gt;nFilas),NA(),IF(AND(ISNUMBER(INDEX(rMed2,3798)),ISNUMBER(INDEX(rMed,3798))),INDEX(rMed,3798),NA()))</f>
        <v>#N/A</v>
      </c>
    </row>
    <row r="3801">
      <c r="BX3801" t="e">
        <f>IF(OR(cMed=0,cMed2=0,3799&gt;nFilas),NA(),IF(AND(ISNUMBER(INDEX(rMed2,3799)),ISNUMBER(INDEX(rMed,3799))),INDEX(rMed2,3799),NA()))</f>
        <v>#N/A</v>
      </c>
      <c r="BY3801" t="e">
        <f>IF(OR(cMed=0,cMed2=0,3799&gt;nFilas),NA(),IF(AND(ISNUMBER(INDEX(rMed2,3799)),ISNUMBER(INDEX(rMed,3799))),INDEX(rMed,3799),NA()))</f>
        <v>#N/A</v>
      </c>
    </row>
    <row r="3802">
      <c r="BX3802" t="e">
        <f>IF(OR(cMed=0,cMed2=0,3800&gt;nFilas),NA(),IF(AND(ISNUMBER(INDEX(rMed2,3800)),ISNUMBER(INDEX(rMed,3800))),INDEX(rMed2,3800),NA()))</f>
        <v>#N/A</v>
      </c>
      <c r="BY3802" t="e">
        <f>IF(OR(cMed=0,cMed2=0,3800&gt;nFilas),NA(),IF(AND(ISNUMBER(INDEX(rMed2,3800)),ISNUMBER(INDEX(rMed,3800))),INDEX(rMed,3800),NA()))</f>
        <v>#N/A</v>
      </c>
    </row>
    <row r="3803">
      <c r="BX3803" t="e">
        <f>IF(OR(cMed=0,cMed2=0,3801&gt;nFilas),NA(),IF(AND(ISNUMBER(INDEX(rMed2,3801)),ISNUMBER(INDEX(rMed,3801))),INDEX(rMed2,3801),NA()))</f>
        <v>#N/A</v>
      </c>
      <c r="BY3803" t="e">
        <f>IF(OR(cMed=0,cMed2=0,3801&gt;nFilas),NA(),IF(AND(ISNUMBER(INDEX(rMed2,3801)),ISNUMBER(INDEX(rMed,3801))),INDEX(rMed,3801),NA()))</f>
        <v>#N/A</v>
      </c>
    </row>
    <row r="3804">
      <c r="BX3804" t="e">
        <f>IF(OR(cMed=0,cMed2=0,3802&gt;nFilas),NA(),IF(AND(ISNUMBER(INDEX(rMed2,3802)),ISNUMBER(INDEX(rMed,3802))),INDEX(rMed2,3802),NA()))</f>
        <v>#N/A</v>
      </c>
      <c r="BY3804" t="e">
        <f>IF(OR(cMed=0,cMed2=0,3802&gt;nFilas),NA(),IF(AND(ISNUMBER(INDEX(rMed2,3802)),ISNUMBER(INDEX(rMed,3802))),INDEX(rMed,3802),NA()))</f>
        <v>#N/A</v>
      </c>
    </row>
    <row r="3805">
      <c r="BX3805" t="e">
        <f>IF(OR(cMed=0,cMed2=0,3803&gt;nFilas),NA(),IF(AND(ISNUMBER(INDEX(rMed2,3803)),ISNUMBER(INDEX(rMed,3803))),INDEX(rMed2,3803),NA()))</f>
        <v>#N/A</v>
      </c>
      <c r="BY3805" t="e">
        <f>IF(OR(cMed=0,cMed2=0,3803&gt;nFilas),NA(),IF(AND(ISNUMBER(INDEX(rMed2,3803)),ISNUMBER(INDEX(rMed,3803))),INDEX(rMed,3803),NA()))</f>
        <v>#N/A</v>
      </c>
    </row>
    <row r="3806">
      <c r="BX3806" t="e">
        <f>IF(OR(cMed=0,cMed2=0,3804&gt;nFilas),NA(),IF(AND(ISNUMBER(INDEX(rMed2,3804)),ISNUMBER(INDEX(rMed,3804))),INDEX(rMed2,3804),NA()))</f>
        <v>#N/A</v>
      </c>
      <c r="BY3806" t="e">
        <f>IF(OR(cMed=0,cMed2=0,3804&gt;nFilas),NA(),IF(AND(ISNUMBER(INDEX(rMed2,3804)),ISNUMBER(INDEX(rMed,3804))),INDEX(rMed,3804),NA()))</f>
        <v>#N/A</v>
      </c>
    </row>
    <row r="3807">
      <c r="BX3807" t="e">
        <f>IF(OR(cMed=0,cMed2=0,3805&gt;nFilas),NA(),IF(AND(ISNUMBER(INDEX(rMed2,3805)),ISNUMBER(INDEX(rMed,3805))),INDEX(rMed2,3805),NA()))</f>
        <v>#N/A</v>
      </c>
      <c r="BY3807" t="e">
        <f>IF(OR(cMed=0,cMed2=0,3805&gt;nFilas),NA(),IF(AND(ISNUMBER(INDEX(rMed2,3805)),ISNUMBER(INDEX(rMed,3805))),INDEX(rMed,3805),NA()))</f>
        <v>#N/A</v>
      </c>
    </row>
    <row r="3808">
      <c r="BX3808" t="e">
        <f>IF(OR(cMed=0,cMed2=0,3806&gt;nFilas),NA(),IF(AND(ISNUMBER(INDEX(rMed2,3806)),ISNUMBER(INDEX(rMed,3806))),INDEX(rMed2,3806),NA()))</f>
        <v>#N/A</v>
      </c>
      <c r="BY3808" t="e">
        <f>IF(OR(cMed=0,cMed2=0,3806&gt;nFilas),NA(),IF(AND(ISNUMBER(INDEX(rMed2,3806)),ISNUMBER(INDEX(rMed,3806))),INDEX(rMed,3806),NA()))</f>
        <v>#N/A</v>
      </c>
    </row>
    <row r="3809">
      <c r="BX3809" t="e">
        <f>IF(OR(cMed=0,cMed2=0,3807&gt;nFilas),NA(),IF(AND(ISNUMBER(INDEX(rMed2,3807)),ISNUMBER(INDEX(rMed,3807))),INDEX(rMed2,3807),NA()))</f>
        <v>#N/A</v>
      </c>
      <c r="BY3809" t="e">
        <f>IF(OR(cMed=0,cMed2=0,3807&gt;nFilas),NA(),IF(AND(ISNUMBER(INDEX(rMed2,3807)),ISNUMBER(INDEX(rMed,3807))),INDEX(rMed,3807),NA()))</f>
        <v>#N/A</v>
      </c>
    </row>
    <row r="3810">
      <c r="BX3810" t="e">
        <f>IF(OR(cMed=0,cMed2=0,3808&gt;nFilas),NA(),IF(AND(ISNUMBER(INDEX(rMed2,3808)),ISNUMBER(INDEX(rMed,3808))),INDEX(rMed2,3808),NA()))</f>
        <v>#N/A</v>
      </c>
      <c r="BY3810" t="e">
        <f>IF(OR(cMed=0,cMed2=0,3808&gt;nFilas),NA(),IF(AND(ISNUMBER(INDEX(rMed2,3808)),ISNUMBER(INDEX(rMed,3808))),INDEX(rMed,3808),NA()))</f>
        <v>#N/A</v>
      </c>
    </row>
    <row r="3811">
      <c r="BX3811" t="e">
        <f>IF(OR(cMed=0,cMed2=0,3809&gt;nFilas),NA(),IF(AND(ISNUMBER(INDEX(rMed2,3809)),ISNUMBER(INDEX(rMed,3809))),INDEX(rMed2,3809),NA()))</f>
        <v>#N/A</v>
      </c>
      <c r="BY3811" t="e">
        <f>IF(OR(cMed=0,cMed2=0,3809&gt;nFilas),NA(),IF(AND(ISNUMBER(INDEX(rMed2,3809)),ISNUMBER(INDEX(rMed,3809))),INDEX(rMed,3809),NA()))</f>
        <v>#N/A</v>
      </c>
    </row>
    <row r="3812">
      <c r="BX3812" t="e">
        <f>IF(OR(cMed=0,cMed2=0,3810&gt;nFilas),NA(),IF(AND(ISNUMBER(INDEX(rMed2,3810)),ISNUMBER(INDEX(rMed,3810))),INDEX(rMed2,3810),NA()))</f>
        <v>#N/A</v>
      </c>
      <c r="BY3812" t="e">
        <f>IF(OR(cMed=0,cMed2=0,3810&gt;nFilas),NA(),IF(AND(ISNUMBER(INDEX(rMed2,3810)),ISNUMBER(INDEX(rMed,3810))),INDEX(rMed,3810),NA()))</f>
        <v>#N/A</v>
      </c>
    </row>
    <row r="3813">
      <c r="BX3813" t="e">
        <f>IF(OR(cMed=0,cMed2=0,3811&gt;nFilas),NA(),IF(AND(ISNUMBER(INDEX(rMed2,3811)),ISNUMBER(INDEX(rMed,3811))),INDEX(rMed2,3811),NA()))</f>
        <v>#N/A</v>
      </c>
      <c r="BY3813" t="e">
        <f>IF(OR(cMed=0,cMed2=0,3811&gt;nFilas),NA(),IF(AND(ISNUMBER(INDEX(rMed2,3811)),ISNUMBER(INDEX(rMed,3811))),INDEX(rMed,3811),NA()))</f>
        <v>#N/A</v>
      </c>
    </row>
    <row r="3814">
      <c r="BX3814" t="e">
        <f>IF(OR(cMed=0,cMed2=0,3812&gt;nFilas),NA(),IF(AND(ISNUMBER(INDEX(rMed2,3812)),ISNUMBER(INDEX(rMed,3812))),INDEX(rMed2,3812),NA()))</f>
        <v>#N/A</v>
      </c>
      <c r="BY3814" t="e">
        <f>IF(OR(cMed=0,cMed2=0,3812&gt;nFilas),NA(),IF(AND(ISNUMBER(INDEX(rMed2,3812)),ISNUMBER(INDEX(rMed,3812))),INDEX(rMed,3812),NA()))</f>
        <v>#N/A</v>
      </c>
    </row>
    <row r="3815">
      <c r="BX3815" t="e">
        <f>IF(OR(cMed=0,cMed2=0,3813&gt;nFilas),NA(),IF(AND(ISNUMBER(INDEX(rMed2,3813)),ISNUMBER(INDEX(rMed,3813))),INDEX(rMed2,3813),NA()))</f>
        <v>#N/A</v>
      </c>
      <c r="BY3815" t="e">
        <f>IF(OR(cMed=0,cMed2=0,3813&gt;nFilas),NA(),IF(AND(ISNUMBER(INDEX(rMed2,3813)),ISNUMBER(INDEX(rMed,3813))),INDEX(rMed,3813),NA()))</f>
        <v>#N/A</v>
      </c>
    </row>
    <row r="3816">
      <c r="BX3816" t="e">
        <f>IF(OR(cMed=0,cMed2=0,3814&gt;nFilas),NA(),IF(AND(ISNUMBER(INDEX(rMed2,3814)),ISNUMBER(INDEX(rMed,3814))),INDEX(rMed2,3814),NA()))</f>
        <v>#N/A</v>
      </c>
      <c r="BY3816" t="e">
        <f>IF(OR(cMed=0,cMed2=0,3814&gt;nFilas),NA(),IF(AND(ISNUMBER(INDEX(rMed2,3814)),ISNUMBER(INDEX(rMed,3814))),INDEX(rMed,3814),NA()))</f>
        <v>#N/A</v>
      </c>
    </row>
    <row r="3817">
      <c r="BX3817" t="e">
        <f>IF(OR(cMed=0,cMed2=0,3815&gt;nFilas),NA(),IF(AND(ISNUMBER(INDEX(rMed2,3815)),ISNUMBER(INDEX(rMed,3815))),INDEX(rMed2,3815),NA()))</f>
        <v>#N/A</v>
      </c>
      <c r="BY3817" t="e">
        <f>IF(OR(cMed=0,cMed2=0,3815&gt;nFilas),NA(),IF(AND(ISNUMBER(INDEX(rMed2,3815)),ISNUMBER(INDEX(rMed,3815))),INDEX(rMed,3815),NA()))</f>
        <v>#N/A</v>
      </c>
    </row>
    <row r="3818">
      <c r="BX3818" t="e">
        <f>IF(OR(cMed=0,cMed2=0,3816&gt;nFilas),NA(),IF(AND(ISNUMBER(INDEX(rMed2,3816)),ISNUMBER(INDEX(rMed,3816))),INDEX(rMed2,3816),NA()))</f>
        <v>#N/A</v>
      </c>
      <c r="BY3818" t="e">
        <f>IF(OR(cMed=0,cMed2=0,3816&gt;nFilas),NA(),IF(AND(ISNUMBER(INDEX(rMed2,3816)),ISNUMBER(INDEX(rMed,3816))),INDEX(rMed,3816),NA()))</f>
        <v>#N/A</v>
      </c>
    </row>
    <row r="3819">
      <c r="BX3819" t="e">
        <f>IF(OR(cMed=0,cMed2=0,3817&gt;nFilas),NA(),IF(AND(ISNUMBER(INDEX(rMed2,3817)),ISNUMBER(INDEX(rMed,3817))),INDEX(rMed2,3817),NA()))</f>
        <v>#N/A</v>
      </c>
      <c r="BY3819" t="e">
        <f>IF(OR(cMed=0,cMed2=0,3817&gt;nFilas),NA(),IF(AND(ISNUMBER(INDEX(rMed2,3817)),ISNUMBER(INDEX(rMed,3817))),INDEX(rMed,3817),NA()))</f>
        <v>#N/A</v>
      </c>
    </row>
    <row r="3820">
      <c r="BX3820" t="e">
        <f>IF(OR(cMed=0,cMed2=0,3818&gt;nFilas),NA(),IF(AND(ISNUMBER(INDEX(rMed2,3818)),ISNUMBER(INDEX(rMed,3818))),INDEX(rMed2,3818),NA()))</f>
        <v>#N/A</v>
      </c>
      <c r="BY3820" t="e">
        <f>IF(OR(cMed=0,cMed2=0,3818&gt;nFilas),NA(),IF(AND(ISNUMBER(INDEX(rMed2,3818)),ISNUMBER(INDEX(rMed,3818))),INDEX(rMed,3818),NA()))</f>
        <v>#N/A</v>
      </c>
    </row>
    <row r="3821">
      <c r="BX3821" t="e">
        <f>IF(OR(cMed=0,cMed2=0,3819&gt;nFilas),NA(),IF(AND(ISNUMBER(INDEX(rMed2,3819)),ISNUMBER(INDEX(rMed,3819))),INDEX(rMed2,3819),NA()))</f>
        <v>#N/A</v>
      </c>
      <c r="BY3821" t="e">
        <f>IF(OR(cMed=0,cMed2=0,3819&gt;nFilas),NA(),IF(AND(ISNUMBER(INDEX(rMed2,3819)),ISNUMBER(INDEX(rMed,3819))),INDEX(rMed,3819),NA()))</f>
        <v>#N/A</v>
      </c>
    </row>
    <row r="3822">
      <c r="BX3822" t="e">
        <f>IF(OR(cMed=0,cMed2=0,3820&gt;nFilas),NA(),IF(AND(ISNUMBER(INDEX(rMed2,3820)),ISNUMBER(INDEX(rMed,3820))),INDEX(rMed2,3820),NA()))</f>
        <v>#N/A</v>
      </c>
      <c r="BY3822" t="e">
        <f>IF(OR(cMed=0,cMed2=0,3820&gt;nFilas),NA(),IF(AND(ISNUMBER(INDEX(rMed2,3820)),ISNUMBER(INDEX(rMed,3820))),INDEX(rMed,3820),NA()))</f>
        <v>#N/A</v>
      </c>
    </row>
    <row r="3823">
      <c r="BX3823" t="e">
        <f>IF(OR(cMed=0,cMed2=0,3821&gt;nFilas),NA(),IF(AND(ISNUMBER(INDEX(rMed2,3821)),ISNUMBER(INDEX(rMed,3821))),INDEX(rMed2,3821),NA()))</f>
        <v>#N/A</v>
      </c>
      <c r="BY3823" t="e">
        <f>IF(OR(cMed=0,cMed2=0,3821&gt;nFilas),NA(),IF(AND(ISNUMBER(INDEX(rMed2,3821)),ISNUMBER(INDEX(rMed,3821))),INDEX(rMed,3821),NA()))</f>
        <v>#N/A</v>
      </c>
    </row>
    <row r="3824">
      <c r="BX3824" t="e">
        <f>IF(OR(cMed=0,cMed2=0,3822&gt;nFilas),NA(),IF(AND(ISNUMBER(INDEX(rMed2,3822)),ISNUMBER(INDEX(rMed,3822))),INDEX(rMed2,3822),NA()))</f>
        <v>#N/A</v>
      </c>
      <c r="BY3824" t="e">
        <f>IF(OR(cMed=0,cMed2=0,3822&gt;nFilas),NA(),IF(AND(ISNUMBER(INDEX(rMed2,3822)),ISNUMBER(INDEX(rMed,3822))),INDEX(rMed,3822),NA()))</f>
        <v>#N/A</v>
      </c>
    </row>
    <row r="3825">
      <c r="BX3825" t="e">
        <f>IF(OR(cMed=0,cMed2=0,3823&gt;nFilas),NA(),IF(AND(ISNUMBER(INDEX(rMed2,3823)),ISNUMBER(INDEX(rMed,3823))),INDEX(rMed2,3823),NA()))</f>
        <v>#N/A</v>
      </c>
      <c r="BY3825" t="e">
        <f>IF(OR(cMed=0,cMed2=0,3823&gt;nFilas),NA(),IF(AND(ISNUMBER(INDEX(rMed2,3823)),ISNUMBER(INDEX(rMed,3823))),INDEX(rMed,3823),NA()))</f>
        <v>#N/A</v>
      </c>
    </row>
    <row r="3826">
      <c r="BX3826" t="e">
        <f>IF(OR(cMed=0,cMed2=0,3824&gt;nFilas),NA(),IF(AND(ISNUMBER(INDEX(rMed2,3824)),ISNUMBER(INDEX(rMed,3824))),INDEX(rMed2,3824),NA()))</f>
        <v>#N/A</v>
      </c>
      <c r="BY3826" t="e">
        <f>IF(OR(cMed=0,cMed2=0,3824&gt;nFilas),NA(),IF(AND(ISNUMBER(INDEX(rMed2,3824)),ISNUMBER(INDEX(rMed,3824))),INDEX(rMed,3824),NA()))</f>
        <v>#N/A</v>
      </c>
    </row>
    <row r="3827">
      <c r="BX3827" t="e">
        <f>IF(OR(cMed=0,cMed2=0,3825&gt;nFilas),NA(),IF(AND(ISNUMBER(INDEX(rMed2,3825)),ISNUMBER(INDEX(rMed,3825))),INDEX(rMed2,3825),NA()))</f>
        <v>#N/A</v>
      </c>
      <c r="BY3827" t="e">
        <f>IF(OR(cMed=0,cMed2=0,3825&gt;nFilas),NA(),IF(AND(ISNUMBER(INDEX(rMed2,3825)),ISNUMBER(INDEX(rMed,3825))),INDEX(rMed,3825),NA()))</f>
        <v>#N/A</v>
      </c>
    </row>
    <row r="3828">
      <c r="BX3828" t="e">
        <f>IF(OR(cMed=0,cMed2=0,3826&gt;nFilas),NA(),IF(AND(ISNUMBER(INDEX(rMed2,3826)),ISNUMBER(INDEX(rMed,3826))),INDEX(rMed2,3826),NA()))</f>
        <v>#N/A</v>
      </c>
      <c r="BY3828" t="e">
        <f>IF(OR(cMed=0,cMed2=0,3826&gt;nFilas),NA(),IF(AND(ISNUMBER(INDEX(rMed2,3826)),ISNUMBER(INDEX(rMed,3826))),INDEX(rMed,3826),NA()))</f>
        <v>#N/A</v>
      </c>
    </row>
    <row r="3829">
      <c r="BX3829" t="e">
        <f>IF(OR(cMed=0,cMed2=0,3827&gt;nFilas),NA(),IF(AND(ISNUMBER(INDEX(rMed2,3827)),ISNUMBER(INDEX(rMed,3827))),INDEX(rMed2,3827),NA()))</f>
        <v>#N/A</v>
      </c>
      <c r="BY3829" t="e">
        <f>IF(OR(cMed=0,cMed2=0,3827&gt;nFilas),NA(),IF(AND(ISNUMBER(INDEX(rMed2,3827)),ISNUMBER(INDEX(rMed,3827))),INDEX(rMed,3827),NA()))</f>
        <v>#N/A</v>
      </c>
    </row>
    <row r="3830">
      <c r="BX3830" t="e">
        <f>IF(OR(cMed=0,cMed2=0,3828&gt;nFilas),NA(),IF(AND(ISNUMBER(INDEX(rMed2,3828)),ISNUMBER(INDEX(rMed,3828))),INDEX(rMed2,3828),NA()))</f>
        <v>#N/A</v>
      </c>
      <c r="BY3830" t="e">
        <f>IF(OR(cMed=0,cMed2=0,3828&gt;nFilas),NA(),IF(AND(ISNUMBER(INDEX(rMed2,3828)),ISNUMBER(INDEX(rMed,3828))),INDEX(rMed,3828),NA()))</f>
        <v>#N/A</v>
      </c>
    </row>
    <row r="3831">
      <c r="BX3831" t="e">
        <f>IF(OR(cMed=0,cMed2=0,3829&gt;nFilas),NA(),IF(AND(ISNUMBER(INDEX(rMed2,3829)),ISNUMBER(INDEX(rMed,3829))),INDEX(rMed2,3829),NA()))</f>
        <v>#N/A</v>
      </c>
      <c r="BY3831" t="e">
        <f>IF(OR(cMed=0,cMed2=0,3829&gt;nFilas),NA(),IF(AND(ISNUMBER(INDEX(rMed2,3829)),ISNUMBER(INDEX(rMed,3829))),INDEX(rMed,3829),NA()))</f>
        <v>#N/A</v>
      </c>
    </row>
    <row r="3832">
      <c r="BX3832" t="e">
        <f>IF(OR(cMed=0,cMed2=0,3830&gt;nFilas),NA(),IF(AND(ISNUMBER(INDEX(rMed2,3830)),ISNUMBER(INDEX(rMed,3830))),INDEX(rMed2,3830),NA()))</f>
        <v>#N/A</v>
      </c>
      <c r="BY3832" t="e">
        <f>IF(OR(cMed=0,cMed2=0,3830&gt;nFilas),NA(),IF(AND(ISNUMBER(INDEX(rMed2,3830)),ISNUMBER(INDEX(rMed,3830))),INDEX(rMed,3830),NA()))</f>
        <v>#N/A</v>
      </c>
    </row>
    <row r="3833">
      <c r="BX3833" t="e">
        <f>IF(OR(cMed=0,cMed2=0,3831&gt;nFilas),NA(),IF(AND(ISNUMBER(INDEX(rMed2,3831)),ISNUMBER(INDEX(rMed,3831))),INDEX(rMed2,3831),NA()))</f>
        <v>#N/A</v>
      </c>
      <c r="BY3833" t="e">
        <f>IF(OR(cMed=0,cMed2=0,3831&gt;nFilas),NA(),IF(AND(ISNUMBER(INDEX(rMed2,3831)),ISNUMBER(INDEX(rMed,3831))),INDEX(rMed,3831),NA()))</f>
        <v>#N/A</v>
      </c>
    </row>
    <row r="3834">
      <c r="BX3834" t="e">
        <f>IF(OR(cMed=0,cMed2=0,3832&gt;nFilas),NA(),IF(AND(ISNUMBER(INDEX(rMed2,3832)),ISNUMBER(INDEX(rMed,3832))),INDEX(rMed2,3832),NA()))</f>
        <v>#N/A</v>
      </c>
      <c r="BY3834" t="e">
        <f>IF(OR(cMed=0,cMed2=0,3832&gt;nFilas),NA(),IF(AND(ISNUMBER(INDEX(rMed2,3832)),ISNUMBER(INDEX(rMed,3832))),INDEX(rMed,3832),NA()))</f>
        <v>#N/A</v>
      </c>
    </row>
    <row r="3835">
      <c r="BX3835" t="e">
        <f>IF(OR(cMed=0,cMed2=0,3833&gt;nFilas),NA(),IF(AND(ISNUMBER(INDEX(rMed2,3833)),ISNUMBER(INDEX(rMed,3833))),INDEX(rMed2,3833),NA()))</f>
        <v>#N/A</v>
      </c>
      <c r="BY3835" t="e">
        <f>IF(OR(cMed=0,cMed2=0,3833&gt;nFilas),NA(),IF(AND(ISNUMBER(INDEX(rMed2,3833)),ISNUMBER(INDEX(rMed,3833))),INDEX(rMed,3833),NA()))</f>
        <v>#N/A</v>
      </c>
    </row>
    <row r="3836">
      <c r="BX3836" t="e">
        <f>IF(OR(cMed=0,cMed2=0,3834&gt;nFilas),NA(),IF(AND(ISNUMBER(INDEX(rMed2,3834)),ISNUMBER(INDEX(rMed,3834))),INDEX(rMed2,3834),NA()))</f>
        <v>#N/A</v>
      </c>
      <c r="BY3836" t="e">
        <f>IF(OR(cMed=0,cMed2=0,3834&gt;nFilas),NA(),IF(AND(ISNUMBER(INDEX(rMed2,3834)),ISNUMBER(INDEX(rMed,3834))),INDEX(rMed,3834),NA()))</f>
        <v>#N/A</v>
      </c>
    </row>
    <row r="3837">
      <c r="BX3837" t="e">
        <f>IF(OR(cMed=0,cMed2=0,3835&gt;nFilas),NA(),IF(AND(ISNUMBER(INDEX(rMed2,3835)),ISNUMBER(INDEX(rMed,3835))),INDEX(rMed2,3835),NA()))</f>
        <v>#N/A</v>
      </c>
      <c r="BY3837" t="e">
        <f>IF(OR(cMed=0,cMed2=0,3835&gt;nFilas),NA(),IF(AND(ISNUMBER(INDEX(rMed2,3835)),ISNUMBER(INDEX(rMed,3835))),INDEX(rMed,3835),NA()))</f>
        <v>#N/A</v>
      </c>
    </row>
    <row r="3838">
      <c r="BX3838" t="e">
        <f>IF(OR(cMed=0,cMed2=0,3836&gt;nFilas),NA(),IF(AND(ISNUMBER(INDEX(rMed2,3836)),ISNUMBER(INDEX(rMed,3836))),INDEX(rMed2,3836),NA()))</f>
        <v>#N/A</v>
      </c>
      <c r="BY3838" t="e">
        <f>IF(OR(cMed=0,cMed2=0,3836&gt;nFilas),NA(),IF(AND(ISNUMBER(INDEX(rMed2,3836)),ISNUMBER(INDEX(rMed,3836))),INDEX(rMed,3836),NA()))</f>
        <v>#N/A</v>
      </c>
    </row>
    <row r="3839">
      <c r="BX3839" t="e">
        <f>IF(OR(cMed=0,cMed2=0,3837&gt;nFilas),NA(),IF(AND(ISNUMBER(INDEX(rMed2,3837)),ISNUMBER(INDEX(rMed,3837))),INDEX(rMed2,3837),NA()))</f>
        <v>#N/A</v>
      </c>
      <c r="BY3839" t="e">
        <f>IF(OR(cMed=0,cMed2=0,3837&gt;nFilas),NA(),IF(AND(ISNUMBER(INDEX(rMed2,3837)),ISNUMBER(INDEX(rMed,3837))),INDEX(rMed,3837),NA()))</f>
        <v>#N/A</v>
      </c>
    </row>
    <row r="3840">
      <c r="BX3840" t="e">
        <f>IF(OR(cMed=0,cMed2=0,3838&gt;nFilas),NA(),IF(AND(ISNUMBER(INDEX(rMed2,3838)),ISNUMBER(INDEX(rMed,3838))),INDEX(rMed2,3838),NA()))</f>
        <v>#N/A</v>
      </c>
      <c r="BY3840" t="e">
        <f>IF(OR(cMed=0,cMed2=0,3838&gt;nFilas),NA(),IF(AND(ISNUMBER(INDEX(rMed2,3838)),ISNUMBER(INDEX(rMed,3838))),INDEX(rMed,3838),NA()))</f>
        <v>#N/A</v>
      </c>
    </row>
    <row r="3841">
      <c r="BX3841" t="e">
        <f>IF(OR(cMed=0,cMed2=0,3839&gt;nFilas),NA(),IF(AND(ISNUMBER(INDEX(rMed2,3839)),ISNUMBER(INDEX(rMed,3839))),INDEX(rMed2,3839),NA()))</f>
        <v>#N/A</v>
      </c>
      <c r="BY3841" t="e">
        <f>IF(OR(cMed=0,cMed2=0,3839&gt;nFilas),NA(),IF(AND(ISNUMBER(INDEX(rMed2,3839)),ISNUMBER(INDEX(rMed,3839))),INDEX(rMed,3839),NA()))</f>
        <v>#N/A</v>
      </c>
    </row>
    <row r="3842">
      <c r="BX3842" t="e">
        <f>IF(OR(cMed=0,cMed2=0,3840&gt;nFilas),NA(),IF(AND(ISNUMBER(INDEX(rMed2,3840)),ISNUMBER(INDEX(rMed,3840))),INDEX(rMed2,3840),NA()))</f>
        <v>#N/A</v>
      </c>
      <c r="BY3842" t="e">
        <f>IF(OR(cMed=0,cMed2=0,3840&gt;nFilas),NA(),IF(AND(ISNUMBER(INDEX(rMed2,3840)),ISNUMBER(INDEX(rMed,3840))),INDEX(rMed,3840),NA()))</f>
        <v>#N/A</v>
      </c>
    </row>
    <row r="3843">
      <c r="BX3843" t="e">
        <f>IF(OR(cMed=0,cMed2=0,3841&gt;nFilas),NA(),IF(AND(ISNUMBER(INDEX(rMed2,3841)),ISNUMBER(INDEX(rMed,3841))),INDEX(rMed2,3841),NA()))</f>
        <v>#N/A</v>
      </c>
      <c r="BY3843" t="e">
        <f>IF(OR(cMed=0,cMed2=0,3841&gt;nFilas),NA(),IF(AND(ISNUMBER(INDEX(rMed2,3841)),ISNUMBER(INDEX(rMed,3841))),INDEX(rMed,3841),NA()))</f>
        <v>#N/A</v>
      </c>
    </row>
    <row r="3844">
      <c r="BX3844" t="e">
        <f>IF(OR(cMed=0,cMed2=0,3842&gt;nFilas),NA(),IF(AND(ISNUMBER(INDEX(rMed2,3842)),ISNUMBER(INDEX(rMed,3842))),INDEX(rMed2,3842),NA()))</f>
        <v>#N/A</v>
      </c>
      <c r="BY3844" t="e">
        <f>IF(OR(cMed=0,cMed2=0,3842&gt;nFilas),NA(),IF(AND(ISNUMBER(INDEX(rMed2,3842)),ISNUMBER(INDEX(rMed,3842))),INDEX(rMed,3842),NA()))</f>
        <v>#N/A</v>
      </c>
    </row>
    <row r="3845">
      <c r="BX3845" t="e">
        <f>IF(OR(cMed=0,cMed2=0,3843&gt;nFilas),NA(),IF(AND(ISNUMBER(INDEX(rMed2,3843)),ISNUMBER(INDEX(rMed,3843))),INDEX(rMed2,3843),NA()))</f>
        <v>#N/A</v>
      </c>
      <c r="BY3845" t="e">
        <f>IF(OR(cMed=0,cMed2=0,3843&gt;nFilas),NA(),IF(AND(ISNUMBER(INDEX(rMed2,3843)),ISNUMBER(INDEX(rMed,3843))),INDEX(rMed,3843),NA()))</f>
        <v>#N/A</v>
      </c>
    </row>
    <row r="3846">
      <c r="BX3846" t="e">
        <f>IF(OR(cMed=0,cMed2=0,3844&gt;nFilas),NA(),IF(AND(ISNUMBER(INDEX(rMed2,3844)),ISNUMBER(INDEX(rMed,3844))),INDEX(rMed2,3844),NA()))</f>
        <v>#N/A</v>
      </c>
      <c r="BY3846" t="e">
        <f>IF(OR(cMed=0,cMed2=0,3844&gt;nFilas),NA(),IF(AND(ISNUMBER(INDEX(rMed2,3844)),ISNUMBER(INDEX(rMed,3844))),INDEX(rMed,3844),NA()))</f>
        <v>#N/A</v>
      </c>
    </row>
    <row r="3847">
      <c r="BX3847" t="e">
        <f>IF(OR(cMed=0,cMed2=0,3845&gt;nFilas),NA(),IF(AND(ISNUMBER(INDEX(rMed2,3845)),ISNUMBER(INDEX(rMed,3845))),INDEX(rMed2,3845),NA()))</f>
        <v>#N/A</v>
      </c>
      <c r="BY3847" t="e">
        <f>IF(OR(cMed=0,cMed2=0,3845&gt;nFilas),NA(),IF(AND(ISNUMBER(INDEX(rMed2,3845)),ISNUMBER(INDEX(rMed,3845))),INDEX(rMed,3845),NA()))</f>
        <v>#N/A</v>
      </c>
    </row>
    <row r="3848">
      <c r="BX3848" t="e">
        <f>IF(OR(cMed=0,cMed2=0,3846&gt;nFilas),NA(),IF(AND(ISNUMBER(INDEX(rMed2,3846)),ISNUMBER(INDEX(rMed,3846))),INDEX(rMed2,3846),NA()))</f>
        <v>#N/A</v>
      </c>
      <c r="BY3848" t="e">
        <f>IF(OR(cMed=0,cMed2=0,3846&gt;nFilas),NA(),IF(AND(ISNUMBER(INDEX(rMed2,3846)),ISNUMBER(INDEX(rMed,3846))),INDEX(rMed,3846),NA()))</f>
        <v>#N/A</v>
      </c>
    </row>
    <row r="3849">
      <c r="BX3849" t="e">
        <f>IF(OR(cMed=0,cMed2=0,3847&gt;nFilas),NA(),IF(AND(ISNUMBER(INDEX(rMed2,3847)),ISNUMBER(INDEX(rMed,3847))),INDEX(rMed2,3847),NA()))</f>
        <v>#N/A</v>
      </c>
      <c r="BY3849" t="e">
        <f>IF(OR(cMed=0,cMed2=0,3847&gt;nFilas),NA(),IF(AND(ISNUMBER(INDEX(rMed2,3847)),ISNUMBER(INDEX(rMed,3847))),INDEX(rMed,3847),NA()))</f>
        <v>#N/A</v>
      </c>
    </row>
    <row r="3850">
      <c r="BX3850" t="e">
        <f>IF(OR(cMed=0,cMed2=0,3848&gt;nFilas),NA(),IF(AND(ISNUMBER(INDEX(rMed2,3848)),ISNUMBER(INDEX(rMed,3848))),INDEX(rMed2,3848),NA()))</f>
        <v>#N/A</v>
      </c>
      <c r="BY3850" t="e">
        <f>IF(OR(cMed=0,cMed2=0,3848&gt;nFilas),NA(),IF(AND(ISNUMBER(INDEX(rMed2,3848)),ISNUMBER(INDEX(rMed,3848))),INDEX(rMed,3848),NA()))</f>
        <v>#N/A</v>
      </c>
    </row>
    <row r="3851">
      <c r="BX3851" t="e">
        <f>IF(OR(cMed=0,cMed2=0,3849&gt;nFilas),NA(),IF(AND(ISNUMBER(INDEX(rMed2,3849)),ISNUMBER(INDEX(rMed,3849))),INDEX(rMed2,3849),NA()))</f>
        <v>#N/A</v>
      </c>
      <c r="BY3851" t="e">
        <f>IF(OR(cMed=0,cMed2=0,3849&gt;nFilas),NA(),IF(AND(ISNUMBER(INDEX(rMed2,3849)),ISNUMBER(INDEX(rMed,3849))),INDEX(rMed,3849),NA()))</f>
        <v>#N/A</v>
      </c>
    </row>
    <row r="3852">
      <c r="BX3852" t="e">
        <f>IF(OR(cMed=0,cMed2=0,3850&gt;nFilas),NA(),IF(AND(ISNUMBER(INDEX(rMed2,3850)),ISNUMBER(INDEX(rMed,3850))),INDEX(rMed2,3850),NA()))</f>
        <v>#N/A</v>
      </c>
      <c r="BY3852" t="e">
        <f>IF(OR(cMed=0,cMed2=0,3850&gt;nFilas),NA(),IF(AND(ISNUMBER(INDEX(rMed2,3850)),ISNUMBER(INDEX(rMed,3850))),INDEX(rMed,3850),NA()))</f>
        <v>#N/A</v>
      </c>
    </row>
    <row r="3853">
      <c r="BX3853" t="e">
        <f>IF(OR(cMed=0,cMed2=0,3851&gt;nFilas),NA(),IF(AND(ISNUMBER(INDEX(rMed2,3851)),ISNUMBER(INDEX(rMed,3851))),INDEX(rMed2,3851),NA()))</f>
        <v>#N/A</v>
      </c>
      <c r="BY3853" t="e">
        <f>IF(OR(cMed=0,cMed2=0,3851&gt;nFilas),NA(),IF(AND(ISNUMBER(INDEX(rMed2,3851)),ISNUMBER(INDEX(rMed,3851))),INDEX(rMed,3851),NA()))</f>
        <v>#N/A</v>
      </c>
    </row>
    <row r="3854">
      <c r="BX3854" t="e">
        <f>IF(OR(cMed=0,cMed2=0,3852&gt;nFilas),NA(),IF(AND(ISNUMBER(INDEX(rMed2,3852)),ISNUMBER(INDEX(rMed,3852))),INDEX(rMed2,3852),NA()))</f>
        <v>#N/A</v>
      </c>
      <c r="BY3854" t="e">
        <f>IF(OR(cMed=0,cMed2=0,3852&gt;nFilas),NA(),IF(AND(ISNUMBER(INDEX(rMed2,3852)),ISNUMBER(INDEX(rMed,3852))),INDEX(rMed,3852),NA()))</f>
        <v>#N/A</v>
      </c>
    </row>
    <row r="3855">
      <c r="BX3855" t="e">
        <f>IF(OR(cMed=0,cMed2=0,3853&gt;nFilas),NA(),IF(AND(ISNUMBER(INDEX(rMed2,3853)),ISNUMBER(INDEX(rMed,3853))),INDEX(rMed2,3853),NA()))</f>
        <v>#N/A</v>
      </c>
      <c r="BY3855" t="e">
        <f>IF(OR(cMed=0,cMed2=0,3853&gt;nFilas),NA(),IF(AND(ISNUMBER(INDEX(rMed2,3853)),ISNUMBER(INDEX(rMed,3853))),INDEX(rMed,3853),NA()))</f>
        <v>#N/A</v>
      </c>
    </row>
    <row r="3856">
      <c r="BX3856" t="e">
        <f>IF(OR(cMed=0,cMed2=0,3854&gt;nFilas),NA(),IF(AND(ISNUMBER(INDEX(rMed2,3854)),ISNUMBER(INDEX(rMed,3854))),INDEX(rMed2,3854),NA()))</f>
        <v>#N/A</v>
      </c>
      <c r="BY3856" t="e">
        <f>IF(OR(cMed=0,cMed2=0,3854&gt;nFilas),NA(),IF(AND(ISNUMBER(INDEX(rMed2,3854)),ISNUMBER(INDEX(rMed,3854))),INDEX(rMed,3854),NA()))</f>
        <v>#N/A</v>
      </c>
    </row>
    <row r="3857">
      <c r="BX3857" t="e">
        <f>IF(OR(cMed=0,cMed2=0,3855&gt;nFilas),NA(),IF(AND(ISNUMBER(INDEX(rMed2,3855)),ISNUMBER(INDEX(rMed,3855))),INDEX(rMed2,3855),NA()))</f>
        <v>#N/A</v>
      </c>
      <c r="BY3857" t="e">
        <f>IF(OR(cMed=0,cMed2=0,3855&gt;nFilas),NA(),IF(AND(ISNUMBER(INDEX(rMed2,3855)),ISNUMBER(INDEX(rMed,3855))),INDEX(rMed,3855),NA()))</f>
        <v>#N/A</v>
      </c>
    </row>
    <row r="3858">
      <c r="BX3858" t="e">
        <f>IF(OR(cMed=0,cMed2=0,3856&gt;nFilas),NA(),IF(AND(ISNUMBER(INDEX(rMed2,3856)),ISNUMBER(INDEX(rMed,3856))),INDEX(rMed2,3856),NA()))</f>
        <v>#N/A</v>
      </c>
      <c r="BY3858" t="e">
        <f>IF(OR(cMed=0,cMed2=0,3856&gt;nFilas),NA(),IF(AND(ISNUMBER(INDEX(rMed2,3856)),ISNUMBER(INDEX(rMed,3856))),INDEX(rMed,3856),NA()))</f>
        <v>#N/A</v>
      </c>
    </row>
    <row r="3859">
      <c r="BX3859" t="e">
        <f>IF(OR(cMed=0,cMed2=0,3857&gt;nFilas),NA(),IF(AND(ISNUMBER(INDEX(rMed2,3857)),ISNUMBER(INDEX(rMed,3857))),INDEX(rMed2,3857),NA()))</f>
        <v>#N/A</v>
      </c>
      <c r="BY3859" t="e">
        <f>IF(OR(cMed=0,cMed2=0,3857&gt;nFilas),NA(),IF(AND(ISNUMBER(INDEX(rMed2,3857)),ISNUMBER(INDEX(rMed,3857))),INDEX(rMed,3857),NA()))</f>
        <v>#N/A</v>
      </c>
    </row>
    <row r="3860">
      <c r="BX3860" t="e">
        <f>IF(OR(cMed=0,cMed2=0,3858&gt;nFilas),NA(),IF(AND(ISNUMBER(INDEX(rMed2,3858)),ISNUMBER(INDEX(rMed,3858))),INDEX(rMed2,3858),NA()))</f>
        <v>#N/A</v>
      </c>
      <c r="BY3860" t="e">
        <f>IF(OR(cMed=0,cMed2=0,3858&gt;nFilas),NA(),IF(AND(ISNUMBER(INDEX(rMed2,3858)),ISNUMBER(INDEX(rMed,3858))),INDEX(rMed,3858),NA()))</f>
        <v>#N/A</v>
      </c>
    </row>
    <row r="3861">
      <c r="BX3861" t="e">
        <f>IF(OR(cMed=0,cMed2=0,3859&gt;nFilas),NA(),IF(AND(ISNUMBER(INDEX(rMed2,3859)),ISNUMBER(INDEX(rMed,3859))),INDEX(rMed2,3859),NA()))</f>
        <v>#N/A</v>
      </c>
      <c r="BY3861" t="e">
        <f>IF(OR(cMed=0,cMed2=0,3859&gt;nFilas),NA(),IF(AND(ISNUMBER(INDEX(rMed2,3859)),ISNUMBER(INDEX(rMed,3859))),INDEX(rMed,3859),NA()))</f>
        <v>#N/A</v>
      </c>
    </row>
    <row r="3862">
      <c r="BX3862" t="e">
        <f>IF(OR(cMed=0,cMed2=0,3860&gt;nFilas),NA(),IF(AND(ISNUMBER(INDEX(rMed2,3860)),ISNUMBER(INDEX(rMed,3860))),INDEX(rMed2,3860),NA()))</f>
        <v>#N/A</v>
      </c>
      <c r="BY3862" t="e">
        <f>IF(OR(cMed=0,cMed2=0,3860&gt;nFilas),NA(),IF(AND(ISNUMBER(INDEX(rMed2,3860)),ISNUMBER(INDEX(rMed,3860))),INDEX(rMed,3860),NA()))</f>
        <v>#N/A</v>
      </c>
    </row>
    <row r="3863">
      <c r="BX3863" t="e">
        <f>IF(OR(cMed=0,cMed2=0,3861&gt;nFilas),NA(),IF(AND(ISNUMBER(INDEX(rMed2,3861)),ISNUMBER(INDEX(rMed,3861))),INDEX(rMed2,3861),NA()))</f>
        <v>#N/A</v>
      </c>
      <c r="BY3863" t="e">
        <f>IF(OR(cMed=0,cMed2=0,3861&gt;nFilas),NA(),IF(AND(ISNUMBER(INDEX(rMed2,3861)),ISNUMBER(INDEX(rMed,3861))),INDEX(rMed,3861),NA()))</f>
        <v>#N/A</v>
      </c>
    </row>
    <row r="3864">
      <c r="BX3864" t="e">
        <f>IF(OR(cMed=0,cMed2=0,3862&gt;nFilas),NA(),IF(AND(ISNUMBER(INDEX(rMed2,3862)),ISNUMBER(INDEX(rMed,3862))),INDEX(rMed2,3862),NA()))</f>
        <v>#N/A</v>
      </c>
      <c r="BY3864" t="e">
        <f>IF(OR(cMed=0,cMed2=0,3862&gt;nFilas),NA(),IF(AND(ISNUMBER(INDEX(rMed2,3862)),ISNUMBER(INDEX(rMed,3862))),INDEX(rMed,3862),NA()))</f>
        <v>#N/A</v>
      </c>
    </row>
    <row r="3865">
      <c r="BX3865" t="e">
        <f>IF(OR(cMed=0,cMed2=0,3863&gt;nFilas),NA(),IF(AND(ISNUMBER(INDEX(rMed2,3863)),ISNUMBER(INDEX(rMed,3863))),INDEX(rMed2,3863),NA()))</f>
        <v>#N/A</v>
      </c>
      <c r="BY3865" t="e">
        <f>IF(OR(cMed=0,cMed2=0,3863&gt;nFilas),NA(),IF(AND(ISNUMBER(INDEX(rMed2,3863)),ISNUMBER(INDEX(rMed,3863))),INDEX(rMed,3863),NA()))</f>
        <v>#N/A</v>
      </c>
    </row>
    <row r="3866">
      <c r="BX3866" t="e">
        <f>IF(OR(cMed=0,cMed2=0,3864&gt;nFilas),NA(),IF(AND(ISNUMBER(INDEX(rMed2,3864)),ISNUMBER(INDEX(rMed,3864))),INDEX(rMed2,3864),NA()))</f>
        <v>#N/A</v>
      </c>
      <c r="BY3866" t="e">
        <f>IF(OR(cMed=0,cMed2=0,3864&gt;nFilas),NA(),IF(AND(ISNUMBER(INDEX(rMed2,3864)),ISNUMBER(INDEX(rMed,3864))),INDEX(rMed,3864),NA()))</f>
        <v>#N/A</v>
      </c>
    </row>
    <row r="3867">
      <c r="BX3867" t="e">
        <f>IF(OR(cMed=0,cMed2=0,3865&gt;nFilas),NA(),IF(AND(ISNUMBER(INDEX(rMed2,3865)),ISNUMBER(INDEX(rMed,3865))),INDEX(rMed2,3865),NA()))</f>
        <v>#N/A</v>
      </c>
      <c r="BY3867" t="e">
        <f>IF(OR(cMed=0,cMed2=0,3865&gt;nFilas),NA(),IF(AND(ISNUMBER(INDEX(rMed2,3865)),ISNUMBER(INDEX(rMed,3865))),INDEX(rMed,3865),NA()))</f>
        <v>#N/A</v>
      </c>
    </row>
    <row r="3868">
      <c r="BX3868" t="e">
        <f>IF(OR(cMed=0,cMed2=0,3866&gt;nFilas),NA(),IF(AND(ISNUMBER(INDEX(rMed2,3866)),ISNUMBER(INDEX(rMed,3866))),INDEX(rMed2,3866),NA()))</f>
        <v>#N/A</v>
      </c>
      <c r="BY3868" t="e">
        <f>IF(OR(cMed=0,cMed2=0,3866&gt;nFilas),NA(),IF(AND(ISNUMBER(INDEX(rMed2,3866)),ISNUMBER(INDEX(rMed,3866))),INDEX(rMed,3866),NA()))</f>
        <v>#N/A</v>
      </c>
    </row>
    <row r="3869">
      <c r="BX3869" t="e">
        <f>IF(OR(cMed=0,cMed2=0,3867&gt;nFilas),NA(),IF(AND(ISNUMBER(INDEX(rMed2,3867)),ISNUMBER(INDEX(rMed,3867))),INDEX(rMed2,3867),NA()))</f>
        <v>#N/A</v>
      </c>
      <c r="BY3869" t="e">
        <f>IF(OR(cMed=0,cMed2=0,3867&gt;nFilas),NA(),IF(AND(ISNUMBER(INDEX(rMed2,3867)),ISNUMBER(INDEX(rMed,3867))),INDEX(rMed,3867),NA()))</f>
        <v>#N/A</v>
      </c>
    </row>
    <row r="3870">
      <c r="BX3870" t="e">
        <f>IF(OR(cMed=0,cMed2=0,3868&gt;nFilas),NA(),IF(AND(ISNUMBER(INDEX(rMed2,3868)),ISNUMBER(INDEX(rMed,3868))),INDEX(rMed2,3868),NA()))</f>
        <v>#N/A</v>
      </c>
      <c r="BY3870" t="e">
        <f>IF(OR(cMed=0,cMed2=0,3868&gt;nFilas),NA(),IF(AND(ISNUMBER(INDEX(rMed2,3868)),ISNUMBER(INDEX(rMed,3868))),INDEX(rMed,3868),NA()))</f>
        <v>#N/A</v>
      </c>
    </row>
    <row r="3871">
      <c r="BX3871" t="e">
        <f>IF(OR(cMed=0,cMed2=0,3869&gt;nFilas),NA(),IF(AND(ISNUMBER(INDEX(rMed2,3869)),ISNUMBER(INDEX(rMed,3869))),INDEX(rMed2,3869),NA()))</f>
        <v>#N/A</v>
      </c>
      <c r="BY3871" t="e">
        <f>IF(OR(cMed=0,cMed2=0,3869&gt;nFilas),NA(),IF(AND(ISNUMBER(INDEX(rMed2,3869)),ISNUMBER(INDEX(rMed,3869))),INDEX(rMed,3869),NA()))</f>
        <v>#N/A</v>
      </c>
    </row>
    <row r="3872">
      <c r="BX3872" t="e">
        <f>IF(OR(cMed=0,cMed2=0,3870&gt;nFilas),NA(),IF(AND(ISNUMBER(INDEX(rMed2,3870)),ISNUMBER(INDEX(rMed,3870))),INDEX(rMed2,3870),NA()))</f>
        <v>#N/A</v>
      </c>
      <c r="BY3872" t="e">
        <f>IF(OR(cMed=0,cMed2=0,3870&gt;nFilas),NA(),IF(AND(ISNUMBER(INDEX(rMed2,3870)),ISNUMBER(INDEX(rMed,3870))),INDEX(rMed,3870),NA()))</f>
        <v>#N/A</v>
      </c>
    </row>
    <row r="3873">
      <c r="BX3873" t="e">
        <f>IF(OR(cMed=0,cMed2=0,3871&gt;nFilas),NA(),IF(AND(ISNUMBER(INDEX(rMed2,3871)),ISNUMBER(INDEX(rMed,3871))),INDEX(rMed2,3871),NA()))</f>
        <v>#N/A</v>
      </c>
      <c r="BY3873" t="e">
        <f>IF(OR(cMed=0,cMed2=0,3871&gt;nFilas),NA(),IF(AND(ISNUMBER(INDEX(rMed2,3871)),ISNUMBER(INDEX(rMed,3871))),INDEX(rMed,3871),NA()))</f>
        <v>#N/A</v>
      </c>
    </row>
    <row r="3874">
      <c r="BX3874" t="e">
        <f>IF(OR(cMed=0,cMed2=0,3872&gt;nFilas),NA(),IF(AND(ISNUMBER(INDEX(rMed2,3872)),ISNUMBER(INDEX(rMed,3872))),INDEX(rMed2,3872),NA()))</f>
        <v>#N/A</v>
      </c>
      <c r="BY3874" t="e">
        <f>IF(OR(cMed=0,cMed2=0,3872&gt;nFilas),NA(),IF(AND(ISNUMBER(INDEX(rMed2,3872)),ISNUMBER(INDEX(rMed,3872))),INDEX(rMed,3872),NA()))</f>
        <v>#N/A</v>
      </c>
    </row>
    <row r="3875">
      <c r="BX3875" t="e">
        <f>IF(OR(cMed=0,cMed2=0,3873&gt;nFilas),NA(),IF(AND(ISNUMBER(INDEX(rMed2,3873)),ISNUMBER(INDEX(rMed,3873))),INDEX(rMed2,3873),NA()))</f>
        <v>#N/A</v>
      </c>
      <c r="BY3875" t="e">
        <f>IF(OR(cMed=0,cMed2=0,3873&gt;nFilas),NA(),IF(AND(ISNUMBER(INDEX(rMed2,3873)),ISNUMBER(INDEX(rMed,3873))),INDEX(rMed,3873),NA()))</f>
        <v>#N/A</v>
      </c>
    </row>
    <row r="3876">
      <c r="BX3876" t="e">
        <f>IF(OR(cMed=0,cMed2=0,3874&gt;nFilas),NA(),IF(AND(ISNUMBER(INDEX(rMed2,3874)),ISNUMBER(INDEX(rMed,3874))),INDEX(rMed2,3874),NA()))</f>
        <v>#N/A</v>
      </c>
      <c r="BY3876" t="e">
        <f>IF(OR(cMed=0,cMed2=0,3874&gt;nFilas),NA(),IF(AND(ISNUMBER(INDEX(rMed2,3874)),ISNUMBER(INDEX(rMed,3874))),INDEX(rMed,3874),NA()))</f>
        <v>#N/A</v>
      </c>
    </row>
    <row r="3877">
      <c r="BX3877" t="e">
        <f>IF(OR(cMed=0,cMed2=0,3875&gt;nFilas),NA(),IF(AND(ISNUMBER(INDEX(rMed2,3875)),ISNUMBER(INDEX(rMed,3875))),INDEX(rMed2,3875),NA()))</f>
        <v>#N/A</v>
      </c>
      <c r="BY3877" t="e">
        <f>IF(OR(cMed=0,cMed2=0,3875&gt;nFilas),NA(),IF(AND(ISNUMBER(INDEX(rMed2,3875)),ISNUMBER(INDEX(rMed,3875))),INDEX(rMed,3875),NA()))</f>
        <v>#N/A</v>
      </c>
    </row>
    <row r="3878">
      <c r="BX3878" t="e">
        <f>IF(OR(cMed=0,cMed2=0,3876&gt;nFilas),NA(),IF(AND(ISNUMBER(INDEX(rMed2,3876)),ISNUMBER(INDEX(rMed,3876))),INDEX(rMed2,3876),NA()))</f>
        <v>#N/A</v>
      </c>
      <c r="BY3878" t="e">
        <f>IF(OR(cMed=0,cMed2=0,3876&gt;nFilas),NA(),IF(AND(ISNUMBER(INDEX(rMed2,3876)),ISNUMBER(INDEX(rMed,3876))),INDEX(rMed,3876),NA()))</f>
        <v>#N/A</v>
      </c>
    </row>
    <row r="3879">
      <c r="BX3879" t="e">
        <f>IF(OR(cMed=0,cMed2=0,3877&gt;nFilas),NA(),IF(AND(ISNUMBER(INDEX(rMed2,3877)),ISNUMBER(INDEX(rMed,3877))),INDEX(rMed2,3877),NA()))</f>
        <v>#N/A</v>
      </c>
      <c r="BY3879" t="e">
        <f>IF(OR(cMed=0,cMed2=0,3877&gt;nFilas),NA(),IF(AND(ISNUMBER(INDEX(rMed2,3877)),ISNUMBER(INDEX(rMed,3877))),INDEX(rMed,3877),NA()))</f>
        <v>#N/A</v>
      </c>
    </row>
    <row r="3880">
      <c r="BX3880" t="e">
        <f>IF(OR(cMed=0,cMed2=0,3878&gt;nFilas),NA(),IF(AND(ISNUMBER(INDEX(rMed2,3878)),ISNUMBER(INDEX(rMed,3878))),INDEX(rMed2,3878),NA()))</f>
        <v>#N/A</v>
      </c>
      <c r="BY3880" t="e">
        <f>IF(OR(cMed=0,cMed2=0,3878&gt;nFilas),NA(),IF(AND(ISNUMBER(INDEX(rMed2,3878)),ISNUMBER(INDEX(rMed,3878))),INDEX(rMed,3878),NA()))</f>
        <v>#N/A</v>
      </c>
    </row>
    <row r="3881">
      <c r="BX3881" t="e">
        <f>IF(OR(cMed=0,cMed2=0,3879&gt;nFilas),NA(),IF(AND(ISNUMBER(INDEX(rMed2,3879)),ISNUMBER(INDEX(rMed,3879))),INDEX(rMed2,3879),NA()))</f>
        <v>#N/A</v>
      </c>
      <c r="BY3881" t="e">
        <f>IF(OR(cMed=0,cMed2=0,3879&gt;nFilas),NA(),IF(AND(ISNUMBER(INDEX(rMed2,3879)),ISNUMBER(INDEX(rMed,3879))),INDEX(rMed,3879),NA()))</f>
        <v>#N/A</v>
      </c>
    </row>
    <row r="3882">
      <c r="BX3882" t="e">
        <f>IF(OR(cMed=0,cMed2=0,3880&gt;nFilas),NA(),IF(AND(ISNUMBER(INDEX(rMed2,3880)),ISNUMBER(INDEX(rMed,3880))),INDEX(rMed2,3880),NA()))</f>
        <v>#N/A</v>
      </c>
      <c r="BY3882" t="e">
        <f>IF(OR(cMed=0,cMed2=0,3880&gt;nFilas),NA(),IF(AND(ISNUMBER(INDEX(rMed2,3880)),ISNUMBER(INDEX(rMed,3880))),INDEX(rMed,3880),NA()))</f>
        <v>#N/A</v>
      </c>
    </row>
    <row r="3883">
      <c r="BX3883" t="e">
        <f>IF(OR(cMed=0,cMed2=0,3881&gt;nFilas),NA(),IF(AND(ISNUMBER(INDEX(rMed2,3881)),ISNUMBER(INDEX(rMed,3881))),INDEX(rMed2,3881),NA()))</f>
        <v>#N/A</v>
      </c>
      <c r="BY3883" t="e">
        <f>IF(OR(cMed=0,cMed2=0,3881&gt;nFilas),NA(),IF(AND(ISNUMBER(INDEX(rMed2,3881)),ISNUMBER(INDEX(rMed,3881))),INDEX(rMed,3881),NA()))</f>
        <v>#N/A</v>
      </c>
    </row>
    <row r="3884">
      <c r="BX3884" t="e">
        <f>IF(OR(cMed=0,cMed2=0,3882&gt;nFilas),NA(),IF(AND(ISNUMBER(INDEX(rMed2,3882)),ISNUMBER(INDEX(rMed,3882))),INDEX(rMed2,3882),NA()))</f>
        <v>#N/A</v>
      </c>
      <c r="BY3884" t="e">
        <f>IF(OR(cMed=0,cMed2=0,3882&gt;nFilas),NA(),IF(AND(ISNUMBER(INDEX(rMed2,3882)),ISNUMBER(INDEX(rMed,3882))),INDEX(rMed,3882),NA()))</f>
        <v>#N/A</v>
      </c>
    </row>
    <row r="3885">
      <c r="BX3885" t="e">
        <f>IF(OR(cMed=0,cMed2=0,3883&gt;nFilas),NA(),IF(AND(ISNUMBER(INDEX(rMed2,3883)),ISNUMBER(INDEX(rMed,3883))),INDEX(rMed2,3883),NA()))</f>
        <v>#N/A</v>
      </c>
      <c r="BY3885" t="e">
        <f>IF(OR(cMed=0,cMed2=0,3883&gt;nFilas),NA(),IF(AND(ISNUMBER(INDEX(rMed2,3883)),ISNUMBER(INDEX(rMed,3883))),INDEX(rMed,3883),NA()))</f>
        <v>#N/A</v>
      </c>
    </row>
    <row r="3886">
      <c r="BX3886" t="e">
        <f>IF(OR(cMed=0,cMed2=0,3884&gt;nFilas),NA(),IF(AND(ISNUMBER(INDEX(rMed2,3884)),ISNUMBER(INDEX(rMed,3884))),INDEX(rMed2,3884),NA()))</f>
        <v>#N/A</v>
      </c>
      <c r="BY3886" t="e">
        <f>IF(OR(cMed=0,cMed2=0,3884&gt;nFilas),NA(),IF(AND(ISNUMBER(INDEX(rMed2,3884)),ISNUMBER(INDEX(rMed,3884))),INDEX(rMed,3884),NA()))</f>
        <v>#N/A</v>
      </c>
    </row>
    <row r="3887">
      <c r="BX3887" t="e">
        <f>IF(OR(cMed=0,cMed2=0,3885&gt;nFilas),NA(),IF(AND(ISNUMBER(INDEX(rMed2,3885)),ISNUMBER(INDEX(rMed,3885))),INDEX(rMed2,3885),NA()))</f>
        <v>#N/A</v>
      </c>
      <c r="BY3887" t="e">
        <f>IF(OR(cMed=0,cMed2=0,3885&gt;nFilas),NA(),IF(AND(ISNUMBER(INDEX(rMed2,3885)),ISNUMBER(INDEX(rMed,3885))),INDEX(rMed,3885),NA()))</f>
        <v>#N/A</v>
      </c>
    </row>
    <row r="3888">
      <c r="BX3888" t="e">
        <f>IF(OR(cMed=0,cMed2=0,3886&gt;nFilas),NA(),IF(AND(ISNUMBER(INDEX(rMed2,3886)),ISNUMBER(INDEX(rMed,3886))),INDEX(rMed2,3886),NA()))</f>
        <v>#N/A</v>
      </c>
      <c r="BY3888" t="e">
        <f>IF(OR(cMed=0,cMed2=0,3886&gt;nFilas),NA(),IF(AND(ISNUMBER(INDEX(rMed2,3886)),ISNUMBER(INDEX(rMed,3886))),INDEX(rMed,3886),NA()))</f>
        <v>#N/A</v>
      </c>
    </row>
    <row r="3889">
      <c r="BX3889" t="e">
        <f>IF(OR(cMed=0,cMed2=0,3887&gt;nFilas),NA(),IF(AND(ISNUMBER(INDEX(rMed2,3887)),ISNUMBER(INDEX(rMed,3887))),INDEX(rMed2,3887),NA()))</f>
        <v>#N/A</v>
      </c>
      <c r="BY3889" t="e">
        <f>IF(OR(cMed=0,cMed2=0,3887&gt;nFilas),NA(),IF(AND(ISNUMBER(INDEX(rMed2,3887)),ISNUMBER(INDEX(rMed,3887))),INDEX(rMed,3887),NA()))</f>
        <v>#N/A</v>
      </c>
    </row>
    <row r="3890">
      <c r="BX3890" t="e">
        <f>IF(OR(cMed=0,cMed2=0,3888&gt;nFilas),NA(),IF(AND(ISNUMBER(INDEX(rMed2,3888)),ISNUMBER(INDEX(rMed,3888))),INDEX(rMed2,3888),NA()))</f>
        <v>#N/A</v>
      </c>
      <c r="BY3890" t="e">
        <f>IF(OR(cMed=0,cMed2=0,3888&gt;nFilas),NA(),IF(AND(ISNUMBER(INDEX(rMed2,3888)),ISNUMBER(INDEX(rMed,3888))),INDEX(rMed,3888),NA()))</f>
        <v>#N/A</v>
      </c>
    </row>
    <row r="3891">
      <c r="BX3891" t="e">
        <f>IF(OR(cMed=0,cMed2=0,3889&gt;nFilas),NA(),IF(AND(ISNUMBER(INDEX(rMed2,3889)),ISNUMBER(INDEX(rMed,3889))),INDEX(rMed2,3889),NA()))</f>
        <v>#N/A</v>
      </c>
      <c r="BY3891" t="e">
        <f>IF(OR(cMed=0,cMed2=0,3889&gt;nFilas),NA(),IF(AND(ISNUMBER(INDEX(rMed2,3889)),ISNUMBER(INDEX(rMed,3889))),INDEX(rMed,3889),NA()))</f>
        <v>#N/A</v>
      </c>
    </row>
    <row r="3892">
      <c r="BX3892" t="e">
        <f>IF(OR(cMed=0,cMed2=0,3890&gt;nFilas),NA(),IF(AND(ISNUMBER(INDEX(rMed2,3890)),ISNUMBER(INDEX(rMed,3890))),INDEX(rMed2,3890),NA()))</f>
        <v>#N/A</v>
      </c>
      <c r="BY3892" t="e">
        <f>IF(OR(cMed=0,cMed2=0,3890&gt;nFilas),NA(),IF(AND(ISNUMBER(INDEX(rMed2,3890)),ISNUMBER(INDEX(rMed,3890))),INDEX(rMed,3890),NA()))</f>
        <v>#N/A</v>
      </c>
    </row>
    <row r="3893">
      <c r="BX3893" t="e">
        <f>IF(OR(cMed=0,cMed2=0,3891&gt;nFilas),NA(),IF(AND(ISNUMBER(INDEX(rMed2,3891)),ISNUMBER(INDEX(rMed,3891))),INDEX(rMed2,3891),NA()))</f>
        <v>#N/A</v>
      </c>
      <c r="BY3893" t="e">
        <f>IF(OR(cMed=0,cMed2=0,3891&gt;nFilas),NA(),IF(AND(ISNUMBER(INDEX(rMed2,3891)),ISNUMBER(INDEX(rMed,3891))),INDEX(rMed,3891),NA()))</f>
        <v>#N/A</v>
      </c>
    </row>
    <row r="3894">
      <c r="BX3894" t="e">
        <f>IF(OR(cMed=0,cMed2=0,3892&gt;nFilas),NA(),IF(AND(ISNUMBER(INDEX(rMed2,3892)),ISNUMBER(INDEX(rMed,3892))),INDEX(rMed2,3892),NA()))</f>
        <v>#N/A</v>
      </c>
      <c r="BY3894" t="e">
        <f>IF(OR(cMed=0,cMed2=0,3892&gt;nFilas),NA(),IF(AND(ISNUMBER(INDEX(rMed2,3892)),ISNUMBER(INDEX(rMed,3892))),INDEX(rMed,3892),NA()))</f>
        <v>#N/A</v>
      </c>
    </row>
    <row r="3895">
      <c r="BX3895" t="e">
        <f>IF(OR(cMed=0,cMed2=0,3893&gt;nFilas),NA(),IF(AND(ISNUMBER(INDEX(rMed2,3893)),ISNUMBER(INDEX(rMed,3893))),INDEX(rMed2,3893),NA()))</f>
        <v>#N/A</v>
      </c>
      <c r="BY3895" t="e">
        <f>IF(OR(cMed=0,cMed2=0,3893&gt;nFilas),NA(),IF(AND(ISNUMBER(INDEX(rMed2,3893)),ISNUMBER(INDEX(rMed,3893))),INDEX(rMed,3893),NA()))</f>
        <v>#N/A</v>
      </c>
    </row>
    <row r="3896">
      <c r="BX3896" t="e">
        <f>IF(OR(cMed=0,cMed2=0,3894&gt;nFilas),NA(),IF(AND(ISNUMBER(INDEX(rMed2,3894)),ISNUMBER(INDEX(rMed,3894))),INDEX(rMed2,3894),NA()))</f>
        <v>#N/A</v>
      </c>
      <c r="BY3896" t="e">
        <f>IF(OR(cMed=0,cMed2=0,3894&gt;nFilas),NA(),IF(AND(ISNUMBER(INDEX(rMed2,3894)),ISNUMBER(INDEX(rMed,3894))),INDEX(rMed,3894),NA()))</f>
        <v>#N/A</v>
      </c>
    </row>
    <row r="3897">
      <c r="BX3897" t="e">
        <f>IF(OR(cMed=0,cMed2=0,3895&gt;nFilas),NA(),IF(AND(ISNUMBER(INDEX(rMed2,3895)),ISNUMBER(INDEX(rMed,3895))),INDEX(rMed2,3895),NA()))</f>
        <v>#N/A</v>
      </c>
      <c r="BY3897" t="e">
        <f>IF(OR(cMed=0,cMed2=0,3895&gt;nFilas),NA(),IF(AND(ISNUMBER(INDEX(rMed2,3895)),ISNUMBER(INDEX(rMed,3895))),INDEX(rMed,3895),NA()))</f>
        <v>#N/A</v>
      </c>
    </row>
    <row r="3898">
      <c r="BX3898" t="e">
        <f>IF(OR(cMed=0,cMed2=0,3896&gt;nFilas),NA(),IF(AND(ISNUMBER(INDEX(rMed2,3896)),ISNUMBER(INDEX(rMed,3896))),INDEX(rMed2,3896),NA()))</f>
        <v>#N/A</v>
      </c>
      <c r="BY3898" t="e">
        <f>IF(OR(cMed=0,cMed2=0,3896&gt;nFilas),NA(),IF(AND(ISNUMBER(INDEX(rMed2,3896)),ISNUMBER(INDEX(rMed,3896))),INDEX(rMed,3896),NA()))</f>
        <v>#N/A</v>
      </c>
    </row>
    <row r="3899">
      <c r="BX3899" t="e">
        <f>IF(OR(cMed=0,cMed2=0,3897&gt;nFilas),NA(),IF(AND(ISNUMBER(INDEX(rMed2,3897)),ISNUMBER(INDEX(rMed,3897))),INDEX(rMed2,3897),NA()))</f>
        <v>#N/A</v>
      </c>
      <c r="BY3899" t="e">
        <f>IF(OR(cMed=0,cMed2=0,3897&gt;nFilas),NA(),IF(AND(ISNUMBER(INDEX(rMed2,3897)),ISNUMBER(INDEX(rMed,3897))),INDEX(rMed,3897),NA()))</f>
        <v>#N/A</v>
      </c>
    </row>
    <row r="3900">
      <c r="BX3900" t="e">
        <f>IF(OR(cMed=0,cMed2=0,3898&gt;nFilas),NA(),IF(AND(ISNUMBER(INDEX(rMed2,3898)),ISNUMBER(INDEX(rMed,3898))),INDEX(rMed2,3898),NA()))</f>
        <v>#N/A</v>
      </c>
      <c r="BY3900" t="e">
        <f>IF(OR(cMed=0,cMed2=0,3898&gt;nFilas),NA(),IF(AND(ISNUMBER(INDEX(rMed2,3898)),ISNUMBER(INDEX(rMed,3898))),INDEX(rMed,3898),NA()))</f>
        <v>#N/A</v>
      </c>
    </row>
    <row r="3901">
      <c r="BX3901" t="e">
        <f>IF(OR(cMed=0,cMed2=0,3899&gt;nFilas),NA(),IF(AND(ISNUMBER(INDEX(rMed2,3899)),ISNUMBER(INDEX(rMed,3899))),INDEX(rMed2,3899),NA()))</f>
        <v>#N/A</v>
      </c>
      <c r="BY3901" t="e">
        <f>IF(OR(cMed=0,cMed2=0,3899&gt;nFilas),NA(),IF(AND(ISNUMBER(INDEX(rMed2,3899)),ISNUMBER(INDEX(rMed,3899))),INDEX(rMed,3899),NA()))</f>
        <v>#N/A</v>
      </c>
    </row>
    <row r="3902">
      <c r="BX3902" t="e">
        <f>IF(OR(cMed=0,cMed2=0,3900&gt;nFilas),NA(),IF(AND(ISNUMBER(INDEX(rMed2,3900)),ISNUMBER(INDEX(rMed,3900))),INDEX(rMed2,3900),NA()))</f>
        <v>#N/A</v>
      </c>
      <c r="BY3902" t="e">
        <f>IF(OR(cMed=0,cMed2=0,3900&gt;nFilas),NA(),IF(AND(ISNUMBER(INDEX(rMed2,3900)),ISNUMBER(INDEX(rMed,3900))),INDEX(rMed,3900),NA()))</f>
        <v>#N/A</v>
      </c>
    </row>
    <row r="3903">
      <c r="BX3903" t="e">
        <f>IF(OR(cMed=0,cMed2=0,3901&gt;nFilas),NA(),IF(AND(ISNUMBER(INDEX(rMed2,3901)),ISNUMBER(INDEX(rMed,3901))),INDEX(rMed2,3901),NA()))</f>
        <v>#N/A</v>
      </c>
      <c r="BY3903" t="e">
        <f>IF(OR(cMed=0,cMed2=0,3901&gt;nFilas),NA(),IF(AND(ISNUMBER(INDEX(rMed2,3901)),ISNUMBER(INDEX(rMed,3901))),INDEX(rMed,3901),NA()))</f>
        <v>#N/A</v>
      </c>
    </row>
    <row r="3904">
      <c r="BX3904" t="e">
        <f>IF(OR(cMed=0,cMed2=0,3902&gt;nFilas),NA(),IF(AND(ISNUMBER(INDEX(rMed2,3902)),ISNUMBER(INDEX(rMed,3902))),INDEX(rMed2,3902),NA()))</f>
        <v>#N/A</v>
      </c>
      <c r="BY3904" t="e">
        <f>IF(OR(cMed=0,cMed2=0,3902&gt;nFilas),NA(),IF(AND(ISNUMBER(INDEX(rMed2,3902)),ISNUMBER(INDEX(rMed,3902))),INDEX(rMed,3902),NA()))</f>
        <v>#N/A</v>
      </c>
    </row>
    <row r="3905">
      <c r="BX3905" t="e">
        <f>IF(OR(cMed=0,cMed2=0,3903&gt;nFilas),NA(),IF(AND(ISNUMBER(INDEX(rMed2,3903)),ISNUMBER(INDEX(rMed,3903))),INDEX(rMed2,3903),NA()))</f>
        <v>#N/A</v>
      </c>
      <c r="BY3905" t="e">
        <f>IF(OR(cMed=0,cMed2=0,3903&gt;nFilas),NA(),IF(AND(ISNUMBER(INDEX(rMed2,3903)),ISNUMBER(INDEX(rMed,3903))),INDEX(rMed,3903),NA()))</f>
        <v>#N/A</v>
      </c>
    </row>
    <row r="3906">
      <c r="BX3906" t="e">
        <f>IF(OR(cMed=0,cMed2=0,3904&gt;nFilas),NA(),IF(AND(ISNUMBER(INDEX(rMed2,3904)),ISNUMBER(INDEX(rMed,3904))),INDEX(rMed2,3904),NA()))</f>
        <v>#N/A</v>
      </c>
      <c r="BY3906" t="e">
        <f>IF(OR(cMed=0,cMed2=0,3904&gt;nFilas),NA(),IF(AND(ISNUMBER(INDEX(rMed2,3904)),ISNUMBER(INDEX(rMed,3904))),INDEX(rMed,3904),NA()))</f>
        <v>#N/A</v>
      </c>
    </row>
    <row r="3907">
      <c r="BX3907" t="e">
        <f>IF(OR(cMed=0,cMed2=0,3905&gt;nFilas),NA(),IF(AND(ISNUMBER(INDEX(rMed2,3905)),ISNUMBER(INDEX(rMed,3905))),INDEX(rMed2,3905),NA()))</f>
        <v>#N/A</v>
      </c>
      <c r="BY3907" t="e">
        <f>IF(OR(cMed=0,cMed2=0,3905&gt;nFilas),NA(),IF(AND(ISNUMBER(INDEX(rMed2,3905)),ISNUMBER(INDEX(rMed,3905))),INDEX(rMed,3905),NA()))</f>
        <v>#N/A</v>
      </c>
    </row>
    <row r="3908">
      <c r="BX3908" t="e">
        <f>IF(OR(cMed=0,cMed2=0,3906&gt;nFilas),NA(),IF(AND(ISNUMBER(INDEX(rMed2,3906)),ISNUMBER(INDEX(rMed,3906))),INDEX(rMed2,3906),NA()))</f>
        <v>#N/A</v>
      </c>
      <c r="BY3908" t="e">
        <f>IF(OR(cMed=0,cMed2=0,3906&gt;nFilas),NA(),IF(AND(ISNUMBER(INDEX(rMed2,3906)),ISNUMBER(INDEX(rMed,3906))),INDEX(rMed,3906),NA()))</f>
        <v>#N/A</v>
      </c>
    </row>
    <row r="3909">
      <c r="BX3909" t="e">
        <f>IF(OR(cMed=0,cMed2=0,3907&gt;nFilas),NA(),IF(AND(ISNUMBER(INDEX(rMed2,3907)),ISNUMBER(INDEX(rMed,3907))),INDEX(rMed2,3907),NA()))</f>
        <v>#N/A</v>
      </c>
      <c r="BY3909" t="e">
        <f>IF(OR(cMed=0,cMed2=0,3907&gt;nFilas),NA(),IF(AND(ISNUMBER(INDEX(rMed2,3907)),ISNUMBER(INDEX(rMed,3907))),INDEX(rMed,3907),NA()))</f>
        <v>#N/A</v>
      </c>
    </row>
    <row r="3910">
      <c r="BX3910" t="e">
        <f>IF(OR(cMed=0,cMed2=0,3908&gt;nFilas),NA(),IF(AND(ISNUMBER(INDEX(rMed2,3908)),ISNUMBER(INDEX(rMed,3908))),INDEX(rMed2,3908),NA()))</f>
        <v>#N/A</v>
      </c>
      <c r="BY3910" t="e">
        <f>IF(OR(cMed=0,cMed2=0,3908&gt;nFilas),NA(),IF(AND(ISNUMBER(INDEX(rMed2,3908)),ISNUMBER(INDEX(rMed,3908))),INDEX(rMed,3908),NA()))</f>
        <v>#N/A</v>
      </c>
    </row>
    <row r="3911">
      <c r="BX3911" t="e">
        <f>IF(OR(cMed=0,cMed2=0,3909&gt;nFilas),NA(),IF(AND(ISNUMBER(INDEX(rMed2,3909)),ISNUMBER(INDEX(rMed,3909))),INDEX(rMed2,3909),NA()))</f>
        <v>#N/A</v>
      </c>
      <c r="BY3911" t="e">
        <f>IF(OR(cMed=0,cMed2=0,3909&gt;nFilas),NA(),IF(AND(ISNUMBER(INDEX(rMed2,3909)),ISNUMBER(INDEX(rMed,3909))),INDEX(rMed,3909),NA()))</f>
        <v>#N/A</v>
      </c>
    </row>
    <row r="3912">
      <c r="BX3912" t="e">
        <f>IF(OR(cMed=0,cMed2=0,3910&gt;nFilas),NA(),IF(AND(ISNUMBER(INDEX(rMed2,3910)),ISNUMBER(INDEX(rMed,3910))),INDEX(rMed2,3910),NA()))</f>
        <v>#N/A</v>
      </c>
      <c r="BY3912" t="e">
        <f>IF(OR(cMed=0,cMed2=0,3910&gt;nFilas),NA(),IF(AND(ISNUMBER(INDEX(rMed2,3910)),ISNUMBER(INDEX(rMed,3910))),INDEX(rMed,3910),NA()))</f>
        <v>#N/A</v>
      </c>
    </row>
    <row r="3913">
      <c r="BX3913" t="e">
        <f>IF(OR(cMed=0,cMed2=0,3911&gt;nFilas),NA(),IF(AND(ISNUMBER(INDEX(rMed2,3911)),ISNUMBER(INDEX(rMed,3911))),INDEX(rMed2,3911),NA()))</f>
        <v>#N/A</v>
      </c>
      <c r="BY3913" t="e">
        <f>IF(OR(cMed=0,cMed2=0,3911&gt;nFilas),NA(),IF(AND(ISNUMBER(INDEX(rMed2,3911)),ISNUMBER(INDEX(rMed,3911))),INDEX(rMed,3911),NA()))</f>
        <v>#N/A</v>
      </c>
    </row>
    <row r="3914">
      <c r="BX3914" t="e">
        <f>IF(OR(cMed=0,cMed2=0,3912&gt;nFilas),NA(),IF(AND(ISNUMBER(INDEX(rMed2,3912)),ISNUMBER(INDEX(rMed,3912))),INDEX(rMed2,3912),NA()))</f>
        <v>#N/A</v>
      </c>
      <c r="BY3914" t="e">
        <f>IF(OR(cMed=0,cMed2=0,3912&gt;nFilas),NA(),IF(AND(ISNUMBER(INDEX(rMed2,3912)),ISNUMBER(INDEX(rMed,3912))),INDEX(rMed,3912),NA()))</f>
        <v>#N/A</v>
      </c>
    </row>
    <row r="3915">
      <c r="BX3915" t="e">
        <f>IF(OR(cMed=0,cMed2=0,3913&gt;nFilas),NA(),IF(AND(ISNUMBER(INDEX(rMed2,3913)),ISNUMBER(INDEX(rMed,3913))),INDEX(rMed2,3913),NA()))</f>
        <v>#N/A</v>
      </c>
      <c r="BY3915" t="e">
        <f>IF(OR(cMed=0,cMed2=0,3913&gt;nFilas),NA(),IF(AND(ISNUMBER(INDEX(rMed2,3913)),ISNUMBER(INDEX(rMed,3913))),INDEX(rMed,3913),NA()))</f>
        <v>#N/A</v>
      </c>
    </row>
    <row r="3916">
      <c r="BX3916" t="e">
        <f>IF(OR(cMed=0,cMed2=0,3914&gt;nFilas),NA(),IF(AND(ISNUMBER(INDEX(rMed2,3914)),ISNUMBER(INDEX(rMed,3914))),INDEX(rMed2,3914),NA()))</f>
        <v>#N/A</v>
      </c>
      <c r="BY3916" t="e">
        <f>IF(OR(cMed=0,cMed2=0,3914&gt;nFilas),NA(),IF(AND(ISNUMBER(INDEX(rMed2,3914)),ISNUMBER(INDEX(rMed,3914))),INDEX(rMed,3914),NA()))</f>
        <v>#N/A</v>
      </c>
    </row>
    <row r="3917">
      <c r="BX3917" t="e">
        <f>IF(OR(cMed=0,cMed2=0,3915&gt;nFilas),NA(),IF(AND(ISNUMBER(INDEX(rMed2,3915)),ISNUMBER(INDEX(rMed,3915))),INDEX(rMed2,3915),NA()))</f>
        <v>#N/A</v>
      </c>
      <c r="BY3917" t="e">
        <f>IF(OR(cMed=0,cMed2=0,3915&gt;nFilas),NA(),IF(AND(ISNUMBER(INDEX(rMed2,3915)),ISNUMBER(INDEX(rMed,3915))),INDEX(rMed,3915),NA()))</f>
        <v>#N/A</v>
      </c>
    </row>
    <row r="3918">
      <c r="BX3918" t="e">
        <f>IF(OR(cMed=0,cMed2=0,3916&gt;nFilas),NA(),IF(AND(ISNUMBER(INDEX(rMed2,3916)),ISNUMBER(INDEX(rMed,3916))),INDEX(rMed2,3916),NA()))</f>
        <v>#N/A</v>
      </c>
      <c r="BY3918" t="e">
        <f>IF(OR(cMed=0,cMed2=0,3916&gt;nFilas),NA(),IF(AND(ISNUMBER(INDEX(rMed2,3916)),ISNUMBER(INDEX(rMed,3916))),INDEX(rMed,3916),NA()))</f>
        <v>#N/A</v>
      </c>
    </row>
    <row r="3919">
      <c r="BX3919" t="e">
        <f>IF(OR(cMed=0,cMed2=0,3917&gt;nFilas),NA(),IF(AND(ISNUMBER(INDEX(rMed2,3917)),ISNUMBER(INDEX(rMed,3917))),INDEX(rMed2,3917),NA()))</f>
        <v>#N/A</v>
      </c>
      <c r="BY3919" t="e">
        <f>IF(OR(cMed=0,cMed2=0,3917&gt;nFilas),NA(),IF(AND(ISNUMBER(INDEX(rMed2,3917)),ISNUMBER(INDEX(rMed,3917))),INDEX(rMed,3917),NA()))</f>
        <v>#N/A</v>
      </c>
    </row>
    <row r="3920">
      <c r="BX3920" t="e">
        <f>IF(OR(cMed=0,cMed2=0,3918&gt;nFilas),NA(),IF(AND(ISNUMBER(INDEX(rMed2,3918)),ISNUMBER(INDEX(rMed,3918))),INDEX(rMed2,3918),NA()))</f>
        <v>#N/A</v>
      </c>
      <c r="BY3920" t="e">
        <f>IF(OR(cMed=0,cMed2=0,3918&gt;nFilas),NA(),IF(AND(ISNUMBER(INDEX(rMed2,3918)),ISNUMBER(INDEX(rMed,3918))),INDEX(rMed,3918),NA()))</f>
        <v>#N/A</v>
      </c>
    </row>
    <row r="3921">
      <c r="BX3921" t="e">
        <f>IF(OR(cMed=0,cMed2=0,3919&gt;nFilas),NA(),IF(AND(ISNUMBER(INDEX(rMed2,3919)),ISNUMBER(INDEX(rMed,3919))),INDEX(rMed2,3919),NA()))</f>
        <v>#N/A</v>
      </c>
      <c r="BY3921" t="e">
        <f>IF(OR(cMed=0,cMed2=0,3919&gt;nFilas),NA(),IF(AND(ISNUMBER(INDEX(rMed2,3919)),ISNUMBER(INDEX(rMed,3919))),INDEX(rMed,3919),NA()))</f>
        <v>#N/A</v>
      </c>
    </row>
    <row r="3922">
      <c r="BX3922" t="e">
        <f>IF(OR(cMed=0,cMed2=0,3920&gt;nFilas),NA(),IF(AND(ISNUMBER(INDEX(rMed2,3920)),ISNUMBER(INDEX(rMed,3920))),INDEX(rMed2,3920),NA()))</f>
        <v>#N/A</v>
      </c>
      <c r="BY3922" t="e">
        <f>IF(OR(cMed=0,cMed2=0,3920&gt;nFilas),NA(),IF(AND(ISNUMBER(INDEX(rMed2,3920)),ISNUMBER(INDEX(rMed,3920))),INDEX(rMed,3920),NA()))</f>
        <v>#N/A</v>
      </c>
    </row>
    <row r="3923">
      <c r="BX3923" t="e">
        <f>IF(OR(cMed=0,cMed2=0,3921&gt;nFilas),NA(),IF(AND(ISNUMBER(INDEX(rMed2,3921)),ISNUMBER(INDEX(rMed,3921))),INDEX(rMed2,3921),NA()))</f>
        <v>#N/A</v>
      </c>
      <c r="BY3923" t="e">
        <f>IF(OR(cMed=0,cMed2=0,3921&gt;nFilas),NA(),IF(AND(ISNUMBER(INDEX(rMed2,3921)),ISNUMBER(INDEX(rMed,3921))),INDEX(rMed,3921),NA()))</f>
        <v>#N/A</v>
      </c>
    </row>
    <row r="3924">
      <c r="BX3924" t="e">
        <f>IF(OR(cMed=0,cMed2=0,3922&gt;nFilas),NA(),IF(AND(ISNUMBER(INDEX(rMed2,3922)),ISNUMBER(INDEX(rMed,3922))),INDEX(rMed2,3922),NA()))</f>
        <v>#N/A</v>
      </c>
      <c r="BY3924" t="e">
        <f>IF(OR(cMed=0,cMed2=0,3922&gt;nFilas),NA(),IF(AND(ISNUMBER(INDEX(rMed2,3922)),ISNUMBER(INDEX(rMed,3922))),INDEX(rMed,3922),NA()))</f>
        <v>#N/A</v>
      </c>
    </row>
    <row r="3925">
      <c r="BX3925" t="e">
        <f>IF(OR(cMed=0,cMed2=0,3923&gt;nFilas),NA(),IF(AND(ISNUMBER(INDEX(rMed2,3923)),ISNUMBER(INDEX(rMed,3923))),INDEX(rMed2,3923),NA()))</f>
        <v>#N/A</v>
      </c>
      <c r="BY3925" t="e">
        <f>IF(OR(cMed=0,cMed2=0,3923&gt;nFilas),NA(),IF(AND(ISNUMBER(INDEX(rMed2,3923)),ISNUMBER(INDEX(rMed,3923))),INDEX(rMed,3923),NA()))</f>
        <v>#N/A</v>
      </c>
    </row>
    <row r="3926">
      <c r="BX3926" t="e">
        <f>IF(OR(cMed=0,cMed2=0,3924&gt;nFilas),NA(),IF(AND(ISNUMBER(INDEX(rMed2,3924)),ISNUMBER(INDEX(rMed,3924))),INDEX(rMed2,3924),NA()))</f>
        <v>#N/A</v>
      </c>
      <c r="BY3926" t="e">
        <f>IF(OR(cMed=0,cMed2=0,3924&gt;nFilas),NA(),IF(AND(ISNUMBER(INDEX(rMed2,3924)),ISNUMBER(INDEX(rMed,3924))),INDEX(rMed,3924),NA()))</f>
        <v>#N/A</v>
      </c>
    </row>
    <row r="3927">
      <c r="BX3927" t="e">
        <f>IF(OR(cMed=0,cMed2=0,3925&gt;nFilas),NA(),IF(AND(ISNUMBER(INDEX(rMed2,3925)),ISNUMBER(INDEX(rMed,3925))),INDEX(rMed2,3925),NA()))</f>
        <v>#N/A</v>
      </c>
      <c r="BY3927" t="e">
        <f>IF(OR(cMed=0,cMed2=0,3925&gt;nFilas),NA(),IF(AND(ISNUMBER(INDEX(rMed2,3925)),ISNUMBER(INDEX(rMed,3925))),INDEX(rMed,3925),NA()))</f>
        <v>#N/A</v>
      </c>
    </row>
    <row r="3928">
      <c r="BX3928" t="e">
        <f>IF(OR(cMed=0,cMed2=0,3926&gt;nFilas),NA(),IF(AND(ISNUMBER(INDEX(rMed2,3926)),ISNUMBER(INDEX(rMed,3926))),INDEX(rMed2,3926),NA()))</f>
        <v>#N/A</v>
      </c>
      <c r="BY3928" t="e">
        <f>IF(OR(cMed=0,cMed2=0,3926&gt;nFilas),NA(),IF(AND(ISNUMBER(INDEX(rMed2,3926)),ISNUMBER(INDEX(rMed,3926))),INDEX(rMed,3926),NA()))</f>
        <v>#N/A</v>
      </c>
    </row>
    <row r="3929">
      <c r="BX3929" t="e">
        <f>IF(OR(cMed=0,cMed2=0,3927&gt;nFilas),NA(),IF(AND(ISNUMBER(INDEX(rMed2,3927)),ISNUMBER(INDEX(rMed,3927))),INDEX(rMed2,3927),NA()))</f>
        <v>#N/A</v>
      </c>
      <c r="BY3929" t="e">
        <f>IF(OR(cMed=0,cMed2=0,3927&gt;nFilas),NA(),IF(AND(ISNUMBER(INDEX(rMed2,3927)),ISNUMBER(INDEX(rMed,3927))),INDEX(rMed,3927),NA()))</f>
        <v>#N/A</v>
      </c>
    </row>
    <row r="3930">
      <c r="BX3930" t="e">
        <f>IF(OR(cMed=0,cMed2=0,3928&gt;nFilas),NA(),IF(AND(ISNUMBER(INDEX(rMed2,3928)),ISNUMBER(INDEX(rMed,3928))),INDEX(rMed2,3928),NA()))</f>
        <v>#N/A</v>
      </c>
      <c r="BY3930" t="e">
        <f>IF(OR(cMed=0,cMed2=0,3928&gt;nFilas),NA(),IF(AND(ISNUMBER(INDEX(rMed2,3928)),ISNUMBER(INDEX(rMed,3928))),INDEX(rMed,3928),NA()))</f>
        <v>#N/A</v>
      </c>
    </row>
    <row r="3931">
      <c r="BX3931" t="e">
        <f>IF(OR(cMed=0,cMed2=0,3929&gt;nFilas),NA(),IF(AND(ISNUMBER(INDEX(rMed2,3929)),ISNUMBER(INDEX(rMed,3929))),INDEX(rMed2,3929),NA()))</f>
        <v>#N/A</v>
      </c>
      <c r="BY3931" t="e">
        <f>IF(OR(cMed=0,cMed2=0,3929&gt;nFilas),NA(),IF(AND(ISNUMBER(INDEX(rMed2,3929)),ISNUMBER(INDEX(rMed,3929))),INDEX(rMed,3929),NA()))</f>
        <v>#N/A</v>
      </c>
    </row>
    <row r="3932">
      <c r="BX3932" t="e">
        <f>IF(OR(cMed=0,cMed2=0,3930&gt;nFilas),NA(),IF(AND(ISNUMBER(INDEX(rMed2,3930)),ISNUMBER(INDEX(rMed,3930))),INDEX(rMed2,3930),NA()))</f>
        <v>#N/A</v>
      </c>
      <c r="BY3932" t="e">
        <f>IF(OR(cMed=0,cMed2=0,3930&gt;nFilas),NA(),IF(AND(ISNUMBER(INDEX(rMed2,3930)),ISNUMBER(INDEX(rMed,3930))),INDEX(rMed,3930),NA()))</f>
        <v>#N/A</v>
      </c>
    </row>
    <row r="3933">
      <c r="BX3933" t="e">
        <f>IF(OR(cMed=0,cMed2=0,3931&gt;nFilas),NA(),IF(AND(ISNUMBER(INDEX(rMed2,3931)),ISNUMBER(INDEX(rMed,3931))),INDEX(rMed2,3931),NA()))</f>
        <v>#N/A</v>
      </c>
      <c r="BY3933" t="e">
        <f>IF(OR(cMed=0,cMed2=0,3931&gt;nFilas),NA(),IF(AND(ISNUMBER(INDEX(rMed2,3931)),ISNUMBER(INDEX(rMed,3931))),INDEX(rMed,3931),NA()))</f>
        <v>#N/A</v>
      </c>
    </row>
    <row r="3934">
      <c r="BX3934" t="e">
        <f>IF(OR(cMed=0,cMed2=0,3932&gt;nFilas),NA(),IF(AND(ISNUMBER(INDEX(rMed2,3932)),ISNUMBER(INDEX(rMed,3932))),INDEX(rMed2,3932),NA()))</f>
        <v>#N/A</v>
      </c>
      <c r="BY3934" t="e">
        <f>IF(OR(cMed=0,cMed2=0,3932&gt;nFilas),NA(),IF(AND(ISNUMBER(INDEX(rMed2,3932)),ISNUMBER(INDEX(rMed,3932))),INDEX(rMed,3932),NA()))</f>
        <v>#N/A</v>
      </c>
    </row>
    <row r="3935">
      <c r="BX3935" t="e">
        <f>IF(OR(cMed=0,cMed2=0,3933&gt;nFilas),NA(),IF(AND(ISNUMBER(INDEX(rMed2,3933)),ISNUMBER(INDEX(rMed,3933))),INDEX(rMed2,3933),NA()))</f>
        <v>#N/A</v>
      </c>
      <c r="BY3935" t="e">
        <f>IF(OR(cMed=0,cMed2=0,3933&gt;nFilas),NA(),IF(AND(ISNUMBER(INDEX(rMed2,3933)),ISNUMBER(INDEX(rMed,3933))),INDEX(rMed,3933),NA()))</f>
        <v>#N/A</v>
      </c>
    </row>
    <row r="3936">
      <c r="BX3936" t="e">
        <f>IF(OR(cMed=0,cMed2=0,3934&gt;nFilas),NA(),IF(AND(ISNUMBER(INDEX(rMed2,3934)),ISNUMBER(INDEX(rMed,3934))),INDEX(rMed2,3934),NA()))</f>
        <v>#N/A</v>
      </c>
      <c r="BY3936" t="e">
        <f>IF(OR(cMed=0,cMed2=0,3934&gt;nFilas),NA(),IF(AND(ISNUMBER(INDEX(rMed2,3934)),ISNUMBER(INDEX(rMed,3934))),INDEX(rMed,3934),NA()))</f>
        <v>#N/A</v>
      </c>
    </row>
    <row r="3937">
      <c r="BX3937" t="e">
        <f>IF(OR(cMed=0,cMed2=0,3935&gt;nFilas),NA(),IF(AND(ISNUMBER(INDEX(rMed2,3935)),ISNUMBER(INDEX(rMed,3935))),INDEX(rMed2,3935),NA()))</f>
        <v>#N/A</v>
      </c>
      <c r="BY3937" t="e">
        <f>IF(OR(cMed=0,cMed2=0,3935&gt;nFilas),NA(),IF(AND(ISNUMBER(INDEX(rMed2,3935)),ISNUMBER(INDEX(rMed,3935))),INDEX(rMed,3935),NA()))</f>
        <v>#N/A</v>
      </c>
    </row>
    <row r="3938">
      <c r="BX3938" t="e">
        <f>IF(OR(cMed=0,cMed2=0,3936&gt;nFilas),NA(),IF(AND(ISNUMBER(INDEX(rMed2,3936)),ISNUMBER(INDEX(rMed,3936))),INDEX(rMed2,3936),NA()))</f>
        <v>#N/A</v>
      </c>
      <c r="BY3938" t="e">
        <f>IF(OR(cMed=0,cMed2=0,3936&gt;nFilas),NA(),IF(AND(ISNUMBER(INDEX(rMed2,3936)),ISNUMBER(INDEX(rMed,3936))),INDEX(rMed,3936),NA()))</f>
        <v>#N/A</v>
      </c>
    </row>
    <row r="3939">
      <c r="BX3939" t="e">
        <f>IF(OR(cMed=0,cMed2=0,3937&gt;nFilas),NA(),IF(AND(ISNUMBER(INDEX(rMed2,3937)),ISNUMBER(INDEX(rMed,3937))),INDEX(rMed2,3937),NA()))</f>
        <v>#N/A</v>
      </c>
      <c r="BY3939" t="e">
        <f>IF(OR(cMed=0,cMed2=0,3937&gt;nFilas),NA(),IF(AND(ISNUMBER(INDEX(rMed2,3937)),ISNUMBER(INDEX(rMed,3937))),INDEX(rMed,3937),NA()))</f>
        <v>#N/A</v>
      </c>
    </row>
    <row r="3940">
      <c r="BX3940" t="e">
        <f>IF(OR(cMed=0,cMed2=0,3938&gt;nFilas),NA(),IF(AND(ISNUMBER(INDEX(rMed2,3938)),ISNUMBER(INDEX(rMed,3938))),INDEX(rMed2,3938),NA()))</f>
        <v>#N/A</v>
      </c>
      <c r="BY3940" t="e">
        <f>IF(OR(cMed=0,cMed2=0,3938&gt;nFilas),NA(),IF(AND(ISNUMBER(INDEX(rMed2,3938)),ISNUMBER(INDEX(rMed,3938))),INDEX(rMed,3938),NA()))</f>
        <v>#N/A</v>
      </c>
    </row>
    <row r="3941">
      <c r="BX3941" t="e">
        <f>IF(OR(cMed=0,cMed2=0,3939&gt;nFilas),NA(),IF(AND(ISNUMBER(INDEX(rMed2,3939)),ISNUMBER(INDEX(rMed,3939))),INDEX(rMed2,3939),NA()))</f>
        <v>#N/A</v>
      </c>
      <c r="BY3941" t="e">
        <f>IF(OR(cMed=0,cMed2=0,3939&gt;nFilas),NA(),IF(AND(ISNUMBER(INDEX(rMed2,3939)),ISNUMBER(INDEX(rMed,3939))),INDEX(rMed,3939),NA()))</f>
        <v>#N/A</v>
      </c>
    </row>
    <row r="3942">
      <c r="BX3942" t="e">
        <f>IF(OR(cMed=0,cMed2=0,3940&gt;nFilas),NA(),IF(AND(ISNUMBER(INDEX(rMed2,3940)),ISNUMBER(INDEX(rMed,3940))),INDEX(rMed2,3940),NA()))</f>
        <v>#N/A</v>
      </c>
      <c r="BY3942" t="e">
        <f>IF(OR(cMed=0,cMed2=0,3940&gt;nFilas),NA(),IF(AND(ISNUMBER(INDEX(rMed2,3940)),ISNUMBER(INDEX(rMed,3940))),INDEX(rMed,3940),NA()))</f>
        <v>#N/A</v>
      </c>
    </row>
    <row r="3943">
      <c r="BX3943" t="e">
        <f>IF(OR(cMed=0,cMed2=0,3941&gt;nFilas),NA(),IF(AND(ISNUMBER(INDEX(rMed2,3941)),ISNUMBER(INDEX(rMed,3941))),INDEX(rMed2,3941),NA()))</f>
        <v>#N/A</v>
      </c>
      <c r="BY3943" t="e">
        <f>IF(OR(cMed=0,cMed2=0,3941&gt;nFilas),NA(),IF(AND(ISNUMBER(INDEX(rMed2,3941)),ISNUMBER(INDEX(rMed,3941))),INDEX(rMed,3941),NA()))</f>
        <v>#N/A</v>
      </c>
    </row>
    <row r="3944">
      <c r="BX3944" t="e">
        <f>IF(OR(cMed=0,cMed2=0,3942&gt;nFilas),NA(),IF(AND(ISNUMBER(INDEX(rMed2,3942)),ISNUMBER(INDEX(rMed,3942))),INDEX(rMed2,3942),NA()))</f>
        <v>#N/A</v>
      </c>
      <c r="BY3944" t="e">
        <f>IF(OR(cMed=0,cMed2=0,3942&gt;nFilas),NA(),IF(AND(ISNUMBER(INDEX(rMed2,3942)),ISNUMBER(INDEX(rMed,3942))),INDEX(rMed,3942),NA()))</f>
        <v>#N/A</v>
      </c>
    </row>
    <row r="3945">
      <c r="BX3945" t="e">
        <f>IF(OR(cMed=0,cMed2=0,3943&gt;nFilas),NA(),IF(AND(ISNUMBER(INDEX(rMed2,3943)),ISNUMBER(INDEX(rMed,3943))),INDEX(rMed2,3943),NA()))</f>
        <v>#N/A</v>
      </c>
      <c r="BY3945" t="e">
        <f>IF(OR(cMed=0,cMed2=0,3943&gt;nFilas),NA(),IF(AND(ISNUMBER(INDEX(rMed2,3943)),ISNUMBER(INDEX(rMed,3943))),INDEX(rMed,3943),NA()))</f>
        <v>#N/A</v>
      </c>
    </row>
    <row r="3946">
      <c r="BX3946" t="e">
        <f>IF(OR(cMed=0,cMed2=0,3944&gt;nFilas),NA(),IF(AND(ISNUMBER(INDEX(rMed2,3944)),ISNUMBER(INDEX(rMed,3944))),INDEX(rMed2,3944),NA()))</f>
        <v>#N/A</v>
      </c>
      <c r="BY3946" t="e">
        <f>IF(OR(cMed=0,cMed2=0,3944&gt;nFilas),NA(),IF(AND(ISNUMBER(INDEX(rMed2,3944)),ISNUMBER(INDEX(rMed,3944))),INDEX(rMed,3944),NA()))</f>
        <v>#N/A</v>
      </c>
    </row>
    <row r="3947">
      <c r="BX3947" t="e">
        <f>IF(OR(cMed=0,cMed2=0,3945&gt;nFilas),NA(),IF(AND(ISNUMBER(INDEX(rMed2,3945)),ISNUMBER(INDEX(rMed,3945))),INDEX(rMed2,3945),NA()))</f>
        <v>#N/A</v>
      </c>
      <c r="BY3947" t="e">
        <f>IF(OR(cMed=0,cMed2=0,3945&gt;nFilas),NA(),IF(AND(ISNUMBER(INDEX(rMed2,3945)),ISNUMBER(INDEX(rMed,3945))),INDEX(rMed,3945),NA()))</f>
        <v>#N/A</v>
      </c>
    </row>
    <row r="3948">
      <c r="BX3948" t="e">
        <f>IF(OR(cMed=0,cMed2=0,3946&gt;nFilas),NA(),IF(AND(ISNUMBER(INDEX(rMed2,3946)),ISNUMBER(INDEX(rMed,3946))),INDEX(rMed2,3946),NA()))</f>
        <v>#N/A</v>
      </c>
      <c r="BY3948" t="e">
        <f>IF(OR(cMed=0,cMed2=0,3946&gt;nFilas),NA(),IF(AND(ISNUMBER(INDEX(rMed2,3946)),ISNUMBER(INDEX(rMed,3946))),INDEX(rMed,3946),NA()))</f>
        <v>#N/A</v>
      </c>
    </row>
    <row r="3949">
      <c r="BX3949" t="e">
        <f>IF(OR(cMed=0,cMed2=0,3947&gt;nFilas),NA(),IF(AND(ISNUMBER(INDEX(rMed2,3947)),ISNUMBER(INDEX(rMed,3947))),INDEX(rMed2,3947),NA()))</f>
        <v>#N/A</v>
      </c>
      <c r="BY3949" t="e">
        <f>IF(OR(cMed=0,cMed2=0,3947&gt;nFilas),NA(),IF(AND(ISNUMBER(INDEX(rMed2,3947)),ISNUMBER(INDEX(rMed,3947))),INDEX(rMed,3947),NA()))</f>
        <v>#N/A</v>
      </c>
    </row>
    <row r="3950">
      <c r="BX3950" t="e">
        <f>IF(OR(cMed=0,cMed2=0,3948&gt;nFilas),NA(),IF(AND(ISNUMBER(INDEX(rMed2,3948)),ISNUMBER(INDEX(rMed,3948))),INDEX(rMed2,3948),NA()))</f>
        <v>#N/A</v>
      </c>
      <c r="BY3950" t="e">
        <f>IF(OR(cMed=0,cMed2=0,3948&gt;nFilas),NA(),IF(AND(ISNUMBER(INDEX(rMed2,3948)),ISNUMBER(INDEX(rMed,3948))),INDEX(rMed,3948),NA()))</f>
        <v>#N/A</v>
      </c>
    </row>
    <row r="3951">
      <c r="BX3951" t="e">
        <f>IF(OR(cMed=0,cMed2=0,3949&gt;nFilas),NA(),IF(AND(ISNUMBER(INDEX(rMed2,3949)),ISNUMBER(INDEX(rMed,3949))),INDEX(rMed2,3949),NA()))</f>
        <v>#N/A</v>
      </c>
      <c r="BY3951" t="e">
        <f>IF(OR(cMed=0,cMed2=0,3949&gt;nFilas),NA(),IF(AND(ISNUMBER(INDEX(rMed2,3949)),ISNUMBER(INDEX(rMed,3949))),INDEX(rMed,3949),NA()))</f>
        <v>#N/A</v>
      </c>
    </row>
    <row r="3952">
      <c r="BX3952" t="e">
        <f>IF(OR(cMed=0,cMed2=0,3950&gt;nFilas),NA(),IF(AND(ISNUMBER(INDEX(rMed2,3950)),ISNUMBER(INDEX(rMed,3950))),INDEX(rMed2,3950),NA()))</f>
        <v>#N/A</v>
      </c>
      <c r="BY3952" t="e">
        <f>IF(OR(cMed=0,cMed2=0,3950&gt;nFilas),NA(),IF(AND(ISNUMBER(INDEX(rMed2,3950)),ISNUMBER(INDEX(rMed,3950))),INDEX(rMed,3950),NA()))</f>
        <v>#N/A</v>
      </c>
    </row>
    <row r="3953">
      <c r="BX3953" t="e">
        <f>IF(OR(cMed=0,cMed2=0,3951&gt;nFilas),NA(),IF(AND(ISNUMBER(INDEX(rMed2,3951)),ISNUMBER(INDEX(rMed,3951))),INDEX(rMed2,3951),NA()))</f>
        <v>#N/A</v>
      </c>
      <c r="BY3953" t="e">
        <f>IF(OR(cMed=0,cMed2=0,3951&gt;nFilas),NA(),IF(AND(ISNUMBER(INDEX(rMed2,3951)),ISNUMBER(INDEX(rMed,3951))),INDEX(rMed,3951),NA()))</f>
        <v>#N/A</v>
      </c>
    </row>
    <row r="3954">
      <c r="BX3954" t="e">
        <f>IF(OR(cMed=0,cMed2=0,3952&gt;nFilas),NA(),IF(AND(ISNUMBER(INDEX(rMed2,3952)),ISNUMBER(INDEX(rMed,3952))),INDEX(rMed2,3952),NA()))</f>
        <v>#N/A</v>
      </c>
      <c r="BY3954" t="e">
        <f>IF(OR(cMed=0,cMed2=0,3952&gt;nFilas),NA(),IF(AND(ISNUMBER(INDEX(rMed2,3952)),ISNUMBER(INDEX(rMed,3952))),INDEX(rMed,3952),NA()))</f>
        <v>#N/A</v>
      </c>
    </row>
    <row r="3955">
      <c r="BX3955" t="e">
        <f>IF(OR(cMed=0,cMed2=0,3953&gt;nFilas),NA(),IF(AND(ISNUMBER(INDEX(rMed2,3953)),ISNUMBER(INDEX(rMed,3953))),INDEX(rMed2,3953),NA()))</f>
        <v>#N/A</v>
      </c>
      <c r="BY3955" t="e">
        <f>IF(OR(cMed=0,cMed2=0,3953&gt;nFilas),NA(),IF(AND(ISNUMBER(INDEX(rMed2,3953)),ISNUMBER(INDEX(rMed,3953))),INDEX(rMed,3953),NA()))</f>
        <v>#N/A</v>
      </c>
    </row>
    <row r="3956">
      <c r="BX3956" t="e">
        <f>IF(OR(cMed=0,cMed2=0,3954&gt;nFilas),NA(),IF(AND(ISNUMBER(INDEX(rMed2,3954)),ISNUMBER(INDEX(rMed,3954))),INDEX(rMed2,3954),NA()))</f>
        <v>#N/A</v>
      </c>
      <c r="BY3956" t="e">
        <f>IF(OR(cMed=0,cMed2=0,3954&gt;nFilas),NA(),IF(AND(ISNUMBER(INDEX(rMed2,3954)),ISNUMBER(INDEX(rMed,3954))),INDEX(rMed,3954),NA()))</f>
        <v>#N/A</v>
      </c>
    </row>
    <row r="3957">
      <c r="BX3957" t="e">
        <f>IF(OR(cMed=0,cMed2=0,3955&gt;nFilas),NA(),IF(AND(ISNUMBER(INDEX(rMed2,3955)),ISNUMBER(INDEX(rMed,3955))),INDEX(rMed2,3955),NA()))</f>
        <v>#N/A</v>
      </c>
      <c r="BY3957" t="e">
        <f>IF(OR(cMed=0,cMed2=0,3955&gt;nFilas),NA(),IF(AND(ISNUMBER(INDEX(rMed2,3955)),ISNUMBER(INDEX(rMed,3955))),INDEX(rMed,3955),NA()))</f>
        <v>#N/A</v>
      </c>
    </row>
    <row r="3958">
      <c r="BX3958" t="e">
        <f>IF(OR(cMed=0,cMed2=0,3956&gt;nFilas),NA(),IF(AND(ISNUMBER(INDEX(rMed2,3956)),ISNUMBER(INDEX(rMed,3956))),INDEX(rMed2,3956),NA()))</f>
        <v>#N/A</v>
      </c>
      <c r="BY3958" t="e">
        <f>IF(OR(cMed=0,cMed2=0,3956&gt;nFilas),NA(),IF(AND(ISNUMBER(INDEX(rMed2,3956)),ISNUMBER(INDEX(rMed,3956))),INDEX(rMed,3956),NA()))</f>
        <v>#N/A</v>
      </c>
    </row>
    <row r="3959">
      <c r="BX3959" t="e">
        <f>IF(OR(cMed=0,cMed2=0,3957&gt;nFilas),NA(),IF(AND(ISNUMBER(INDEX(rMed2,3957)),ISNUMBER(INDEX(rMed,3957))),INDEX(rMed2,3957),NA()))</f>
        <v>#N/A</v>
      </c>
      <c r="BY3959" t="e">
        <f>IF(OR(cMed=0,cMed2=0,3957&gt;nFilas),NA(),IF(AND(ISNUMBER(INDEX(rMed2,3957)),ISNUMBER(INDEX(rMed,3957))),INDEX(rMed,3957),NA()))</f>
        <v>#N/A</v>
      </c>
    </row>
    <row r="3960">
      <c r="BX3960" t="e">
        <f>IF(OR(cMed=0,cMed2=0,3958&gt;nFilas),NA(),IF(AND(ISNUMBER(INDEX(rMed2,3958)),ISNUMBER(INDEX(rMed,3958))),INDEX(rMed2,3958),NA()))</f>
        <v>#N/A</v>
      </c>
      <c r="BY3960" t="e">
        <f>IF(OR(cMed=0,cMed2=0,3958&gt;nFilas),NA(),IF(AND(ISNUMBER(INDEX(rMed2,3958)),ISNUMBER(INDEX(rMed,3958))),INDEX(rMed,3958),NA()))</f>
        <v>#N/A</v>
      </c>
    </row>
    <row r="3961">
      <c r="BX3961" t="e">
        <f>IF(OR(cMed=0,cMed2=0,3959&gt;nFilas),NA(),IF(AND(ISNUMBER(INDEX(rMed2,3959)),ISNUMBER(INDEX(rMed,3959))),INDEX(rMed2,3959),NA()))</f>
        <v>#N/A</v>
      </c>
      <c r="BY3961" t="e">
        <f>IF(OR(cMed=0,cMed2=0,3959&gt;nFilas),NA(),IF(AND(ISNUMBER(INDEX(rMed2,3959)),ISNUMBER(INDEX(rMed,3959))),INDEX(rMed,3959),NA()))</f>
        <v>#N/A</v>
      </c>
    </row>
    <row r="3962">
      <c r="BX3962" t="e">
        <f>IF(OR(cMed=0,cMed2=0,3960&gt;nFilas),NA(),IF(AND(ISNUMBER(INDEX(rMed2,3960)),ISNUMBER(INDEX(rMed,3960))),INDEX(rMed2,3960),NA()))</f>
        <v>#N/A</v>
      </c>
      <c r="BY3962" t="e">
        <f>IF(OR(cMed=0,cMed2=0,3960&gt;nFilas),NA(),IF(AND(ISNUMBER(INDEX(rMed2,3960)),ISNUMBER(INDEX(rMed,3960))),INDEX(rMed,3960),NA()))</f>
        <v>#N/A</v>
      </c>
    </row>
    <row r="3963">
      <c r="BX3963" t="e">
        <f>IF(OR(cMed=0,cMed2=0,3961&gt;nFilas),NA(),IF(AND(ISNUMBER(INDEX(rMed2,3961)),ISNUMBER(INDEX(rMed,3961))),INDEX(rMed2,3961),NA()))</f>
        <v>#N/A</v>
      </c>
      <c r="BY3963" t="e">
        <f>IF(OR(cMed=0,cMed2=0,3961&gt;nFilas),NA(),IF(AND(ISNUMBER(INDEX(rMed2,3961)),ISNUMBER(INDEX(rMed,3961))),INDEX(rMed,3961),NA()))</f>
        <v>#N/A</v>
      </c>
    </row>
    <row r="3964">
      <c r="BX3964" t="e">
        <f>IF(OR(cMed=0,cMed2=0,3962&gt;nFilas),NA(),IF(AND(ISNUMBER(INDEX(rMed2,3962)),ISNUMBER(INDEX(rMed,3962))),INDEX(rMed2,3962),NA()))</f>
        <v>#N/A</v>
      </c>
      <c r="BY3964" t="e">
        <f>IF(OR(cMed=0,cMed2=0,3962&gt;nFilas),NA(),IF(AND(ISNUMBER(INDEX(rMed2,3962)),ISNUMBER(INDEX(rMed,3962))),INDEX(rMed,3962),NA()))</f>
        <v>#N/A</v>
      </c>
    </row>
    <row r="3965">
      <c r="BX3965" t="e">
        <f>IF(OR(cMed=0,cMed2=0,3963&gt;nFilas),NA(),IF(AND(ISNUMBER(INDEX(rMed2,3963)),ISNUMBER(INDEX(rMed,3963))),INDEX(rMed2,3963),NA()))</f>
        <v>#N/A</v>
      </c>
      <c r="BY3965" t="e">
        <f>IF(OR(cMed=0,cMed2=0,3963&gt;nFilas),NA(),IF(AND(ISNUMBER(INDEX(rMed2,3963)),ISNUMBER(INDEX(rMed,3963))),INDEX(rMed,3963),NA()))</f>
        <v>#N/A</v>
      </c>
    </row>
    <row r="3966">
      <c r="BX3966" t="e">
        <f>IF(OR(cMed=0,cMed2=0,3964&gt;nFilas),NA(),IF(AND(ISNUMBER(INDEX(rMed2,3964)),ISNUMBER(INDEX(rMed,3964))),INDEX(rMed2,3964),NA()))</f>
        <v>#N/A</v>
      </c>
      <c r="BY3966" t="e">
        <f>IF(OR(cMed=0,cMed2=0,3964&gt;nFilas),NA(),IF(AND(ISNUMBER(INDEX(rMed2,3964)),ISNUMBER(INDEX(rMed,3964))),INDEX(rMed,3964),NA()))</f>
        <v>#N/A</v>
      </c>
    </row>
    <row r="3967">
      <c r="BX3967" t="e">
        <f>IF(OR(cMed=0,cMed2=0,3965&gt;nFilas),NA(),IF(AND(ISNUMBER(INDEX(rMed2,3965)),ISNUMBER(INDEX(rMed,3965))),INDEX(rMed2,3965),NA()))</f>
        <v>#N/A</v>
      </c>
      <c r="BY3967" t="e">
        <f>IF(OR(cMed=0,cMed2=0,3965&gt;nFilas),NA(),IF(AND(ISNUMBER(INDEX(rMed2,3965)),ISNUMBER(INDEX(rMed,3965))),INDEX(rMed,3965),NA()))</f>
        <v>#N/A</v>
      </c>
    </row>
    <row r="3968">
      <c r="BX3968" t="e">
        <f>IF(OR(cMed=0,cMed2=0,3966&gt;nFilas),NA(),IF(AND(ISNUMBER(INDEX(rMed2,3966)),ISNUMBER(INDEX(rMed,3966))),INDEX(rMed2,3966),NA()))</f>
        <v>#N/A</v>
      </c>
      <c r="BY3968" t="e">
        <f>IF(OR(cMed=0,cMed2=0,3966&gt;nFilas),NA(),IF(AND(ISNUMBER(INDEX(rMed2,3966)),ISNUMBER(INDEX(rMed,3966))),INDEX(rMed,3966),NA()))</f>
        <v>#N/A</v>
      </c>
    </row>
    <row r="3969">
      <c r="BX3969" t="e">
        <f>IF(OR(cMed=0,cMed2=0,3967&gt;nFilas),NA(),IF(AND(ISNUMBER(INDEX(rMed2,3967)),ISNUMBER(INDEX(rMed,3967))),INDEX(rMed2,3967),NA()))</f>
        <v>#N/A</v>
      </c>
      <c r="BY3969" t="e">
        <f>IF(OR(cMed=0,cMed2=0,3967&gt;nFilas),NA(),IF(AND(ISNUMBER(INDEX(rMed2,3967)),ISNUMBER(INDEX(rMed,3967))),INDEX(rMed,3967),NA()))</f>
        <v>#N/A</v>
      </c>
    </row>
    <row r="3970">
      <c r="BX3970" t="e">
        <f>IF(OR(cMed=0,cMed2=0,3968&gt;nFilas),NA(),IF(AND(ISNUMBER(INDEX(rMed2,3968)),ISNUMBER(INDEX(rMed,3968))),INDEX(rMed2,3968),NA()))</f>
        <v>#N/A</v>
      </c>
      <c r="BY3970" t="e">
        <f>IF(OR(cMed=0,cMed2=0,3968&gt;nFilas),NA(),IF(AND(ISNUMBER(INDEX(rMed2,3968)),ISNUMBER(INDEX(rMed,3968))),INDEX(rMed,3968),NA()))</f>
        <v>#N/A</v>
      </c>
    </row>
    <row r="3971">
      <c r="BX3971" t="e">
        <f>IF(OR(cMed=0,cMed2=0,3969&gt;nFilas),NA(),IF(AND(ISNUMBER(INDEX(rMed2,3969)),ISNUMBER(INDEX(rMed,3969))),INDEX(rMed2,3969),NA()))</f>
        <v>#N/A</v>
      </c>
      <c r="BY3971" t="e">
        <f>IF(OR(cMed=0,cMed2=0,3969&gt;nFilas),NA(),IF(AND(ISNUMBER(INDEX(rMed2,3969)),ISNUMBER(INDEX(rMed,3969))),INDEX(rMed,3969),NA()))</f>
        <v>#N/A</v>
      </c>
    </row>
    <row r="3972">
      <c r="BX3972" t="e">
        <f>IF(OR(cMed=0,cMed2=0,3970&gt;nFilas),NA(),IF(AND(ISNUMBER(INDEX(rMed2,3970)),ISNUMBER(INDEX(rMed,3970))),INDEX(rMed2,3970),NA()))</f>
        <v>#N/A</v>
      </c>
      <c r="BY3972" t="e">
        <f>IF(OR(cMed=0,cMed2=0,3970&gt;nFilas),NA(),IF(AND(ISNUMBER(INDEX(rMed2,3970)),ISNUMBER(INDEX(rMed,3970))),INDEX(rMed,3970),NA()))</f>
        <v>#N/A</v>
      </c>
    </row>
    <row r="3973">
      <c r="BX3973" t="e">
        <f>IF(OR(cMed=0,cMed2=0,3971&gt;nFilas),NA(),IF(AND(ISNUMBER(INDEX(rMed2,3971)),ISNUMBER(INDEX(rMed,3971))),INDEX(rMed2,3971),NA()))</f>
        <v>#N/A</v>
      </c>
      <c r="BY3973" t="e">
        <f>IF(OR(cMed=0,cMed2=0,3971&gt;nFilas),NA(),IF(AND(ISNUMBER(INDEX(rMed2,3971)),ISNUMBER(INDEX(rMed,3971))),INDEX(rMed,3971),NA()))</f>
        <v>#N/A</v>
      </c>
    </row>
    <row r="3974">
      <c r="BX3974" t="e">
        <f>IF(OR(cMed=0,cMed2=0,3972&gt;nFilas),NA(),IF(AND(ISNUMBER(INDEX(rMed2,3972)),ISNUMBER(INDEX(rMed,3972))),INDEX(rMed2,3972),NA()))</f>
        <v>#N/A</v>
      </c>
      <c r="BY3974" t="e">
        <f>IF(OR(cMed=0,cMed2=0,3972&gt;nFilas),NA(),IF(AND(ISNUMBER(INDEX(rMed2,3972)),ISNUMBER(INDEX(rMed,3972))),INDEX(rMed,3972),NA()))</f>
        <v>#N/A</v>
      </c>
    </row>
    <row r="3975">
      <c r="BX3975" t="e">
        <f>IF(OR(cMed=0,cMed2=0,3973&gt;nFilas),NA(),IF(AND(ISNUMBER(INDEX(rMed2,3973)),ISNUMBER(INDEX(rMed,3973))),INDEX(rMed2,3973),NA()))</f>
        <v>#N/A</v>
      </c>
      <c r="BY3975" t="e">
        <f>IF(OR(cMed=0,cMed2=0,3973&gt;nFilas),NA(),IF(AND(ISNUMBER(INDEX(rMed2,3973)),ISNUMBER(INDEX(rMed,3973))),INDEX(rMed,3973),NA()))</f>
        <v>#N/A</v>
      </c>
    </row>
    <row r="3976">
      <c r="BX3976" t="e">
        <f>IF(OR(cMed=0,cMed2=0,3974&gt;nFilas),NA(),IF(AND(ISNUMBER(INDEX(rMed2,3974)),ISNUMBER(INDEX(rMed,3974))),INDEX(rMed2,3974),NA()))</f>
        <v>#N/A</v>
      </c>
      <c r="BY3976" t="e">
        <f>IF(OR(cMed=0,cMed2=0,3974&gt;nFilas),NA(),IF(AND(ISNUMBER(INDEX(rMed2,3974)),ISNUMBER(INDEX(rMed,3974))),INDEX(rMed,3974),NA()))</f>
        <v>#N/A</v>
      </c>
    </row>
    <row r="3977">
      <c r="BX3977" t="e">
        <f>IF(OR(cMed=0,cMed2=0,3975&gt;nFilas),NA(),IF(AND(ISNUMBER(INDEX(rMed2,3975)),ISNUMBER(INDEX(rMed,3975))),INDEX(rMed2,3975),NA()))</f>
        <v>#N/A</v>
      </c>
      <c r="BY3977" t="e">
        <f>IF(OR(cMed=0,cMed2=0,3975&gt;nFilas),NA(),IF(AND(ISNUMBER(INDEX(rMed2,3975)),ISNUMBER(INDEX(rMed,3975))),INDEX(rMed,3975),NA()))</f>
        <v>#N/A</v>
      </c>
    </row>
    <row r="3978">
      <c r="BX3978" t="e">
        <f>IF(OR(cMed=0,cMed2=0,3976&gt;nFilas),NA(),IF(AND(ISNUMBER(INDEX(rMed2,3976)),ISNUMBER(INDEX(rMed,3976))),INDEX(rMed2,3976),NA()))</f>
        <v>#N/A</v>
      </c>
      <c r="BY3978" t="e">
        <f>IF(OR(cMed=0,cMed2=0,3976&gt;nFilas),NA(),IF(AND(ISNUMBER(INDEX(rMed2,3976)),ISNUMBER(INDEX(rMed,3976))),INDEX(rMed,3976),NA()))</f>
        <v>#N/A</v>
      </c>
    </row>
    <row r="3979">
      <c r="BX3979" t="e">
        <f>IF(OR(cMed=0,cMed2=0,3977&gt;nFilas),NA(),IF(AND(ISNUMBER(INDEX(rMed2,3977)),ISNUMBER(INDEX(rMed,3977))),INDEX(rMed2,3977),NA()))</f>
        <v>#N/A</v>
      </c>
      <c r="BY3979" t="e">
        <f>IF(OR(cMed=0,cMed2=0,3977&gt;nFilas),NA(),IF(AND(ISNUMBER(INDEX(rMed2,3977)),ISNUMBER(INDEX(rMed,3977))),INDEX(rMed,3977),NA()))</f>
        <v>#N/A</v>
      </c>
    </row>
    <row r="3980">
      <c r="BX3980" t="e">
        <f>IF(OR(cMed=0,cMed2=0,3978&gt;nFilas),NA(),IF(AND(ISNUMBER(INDEX(rMed2,3978)),ISNUMBER(INDEX(rMed,3978))),INDEX(rMed2,3978),NA()))</f>
        <v>#N/A</v>
      </c>
      <c r="BY3980" t="e">
        <f>IF(OR(cMed=0,cMed2=0,3978&gt;nFilas),NA(),IF(AND(ISNUMBER(INDEX(rMed2,3978)),ISNUMBER(INDEX(rMed,3978))),INDEX(rMed,3978),NA()))</f>
        <v>#N/A</v>
      </c>
    </row>
    <row r="3981">
      <c r="BX3981" t="e">
        <f>IF(OR(cMed=0,cMed2=0,3979&gt;nFilas),NA(),IF(AND(ISNUMBER(INDEX(rMed2,3979)),ISNUMBER(INDEX(rMed,3979))),INDEX(rMed2,3979),NA()))</f>
        <v>#N/A</v>
      </c>
      <c r="BY3981" t="e">
        <f>IF(OR(cMed=0,cMed2=0,3979&gt;nFilas),NA(),IF(AND(ISNUMBER(INDEX(rMed2,3979)),ISNUMBER(INDEX(rMed,3979))),INDEX(rMed,3979),NA()))</f>
        <v>#N/A</v>
      </c>
    </row>
    <row r="3982">
      <c r="BX3982" t="e">
        <f>IF(OR(cMed=0,cMed2=0,3980&gt;nFilas),NA(),IF(AND(ISNUMBER(INDEX(rMed2,3980)),ISNUMBER(INDEX(rMed,3980))),INDEX(rMed2,3980),NA()))</f>
        <v>#N/A</v>
      </c>
      <c r="BY3982" t="e">
        <f>IF(OR(cMed=0,cMed2=0,3980&gt;nFilas),NA(),IF(AND(ISNUMBER(INDEX(rMed2,3980)),ISNUMBER(INDEX(rMed,3980))),INDEX(rMed,3980),NA()))</f>
        <v>#N/A</v>
      </c>
    </row>
    <row r="3983">
      <c r="BX3983" t="e">
        <f>IF(OR(cMed=0,cMed2=0,3981&gt;nFilas),NA(),IF(AND(ISNUMBER(INDEX(rMed2,3981)),ISNUMBER(INDEX(rMed,3981))),INDEX(rMed2,3981),NA()))</f>
        <v>#N/A</v>
      </c>
      <c r="BY3983" t="e">
        <f>IF(OR(cMed=0,cMed2=0,3981&gt;nFilas),NA(),IF(AND(ISNUMBER(INDEX(rMed2,3981)),ISNUMBER(INDEX(rMed,3981))),INDEX(rMed,3981),NA()))</f>
        <v>#N/A</v>
      </c>
    </row>
    <row r="3984">
      <c r="BX3984" t="e">
        <f>IF(OR(cMed=0,cMed2=0,3982&gt;nFilas),NA(),IF(AND(ISNUMBER(INDEX(rMed2,3982)),ISNUMBER(INDEX(rMed,3982))),INDEX(rMed2,3982),NA()))</f>
        <v>#N/A</v>
      </c>
      <c r="BY3984" t="e">
        <f>IF(OR(cMed=0,cMed2=0,3982&gt;nFilas),NA(),IF(AND(ISNUMBER(INDEX(rMed2,3982)),ISNUMBER(INDEX(rMed,3982))),INDEX(rMed,3982),NA()))</f>
        <v>#N/A</v>
      </c>
    </row>
    <row r="3985">
      <c r="BX3985" t="e">
        <f>IF(OR(cMed=0,cMed2=0,3983&gt;nFilas),NA(),IF(AND(ISNUMBER(INDEX(rMed2,3983)),ISNUMBER(INDEX(rMed,3983))),INDEX(rMed2,3983),NA()))</f>
        <v>#N/A</v>
      </c>
      <c r="BY3985" t="e">
        <f>IF(OR(cMed=0,cMed2=0,3983&gt;nFilas),NA(),IF(AND(ISNUMBER(INDEX(rMed2,3983)),ISNUMBER(INDEX(rMed,3983))),INDEX(rMed,3983),NA()))</f>
        <v>#N/A</v>
      </c>
    </row>
    <row r="3986">
      <c r="BX3986" t="e">
        <f>IF(OR(cMed=0,cMed2=0,3984&gt;nFilas),NA(),IF(AND(ISNUMBER(INDEX(rMed2,3984)),ISNUMBER(INDEX(rMed,3984))),INDEX(rMed2,3984),NA()))</f>
        <v>#N/A</v>
      </c>
      <c r="BY3986" t="e">
        <f>IF(OR(cMed=0,cMed2=0,3984&gt;nFilas),NA(),IF(AND(ISNUMBER(INDEX(rMed2,3984)),ISNUMBER(INDEX(rMed,3984))),INDEX(rMed,3984),NA()))</f>
        <v>#N/A</v>
      </c>
    </row>
    <row r="3987">
      <c r="BX3987" t="e">
        <f>IF(OR(cMed=0,cMed2=0,3985&gt;nFilas),NA(),IF(AND(ISNUMBER(INDEX(rMed2,3985)),ISNUMBER(INDEX(rMed,3985))),INDEX(rMed2,3985),NA()))</f>
        <v>#N/A</v>
      </c>
      <c r="BY3987" t="e">
        <f>IF(OR(cMed=0,cMed2=0,3985&gt;nFilas),NA(),IF(AND(ISNUMBER(INDEX(rMed2,3985)),ISNUMBER(INDEX(rMed,3985))),INDEX(rMed,3985),NA()))</f>
        <v>#N/A</v>
      </c>
    </row>
    <row r="3988">
      <c r="BX3988" t="e">
        <f>IF(OR(cMed=0,cMed2=0,3986&gt;nFilas),NA(),IF(AND(ISNUMBER(INDEX(rMed2,3986)),ISNUMBER(INDEX(rMed,3986))),INDEX(rMed2,3986),NA()))</f>
        <v>#N/A</v>
      </c>
      <c r="BY3988" t="e">
        <f>IF(OR(cMed=0,cMed2=0,3986&gt;nFilas),NA(),IF(AND(ISNUMBER(INDEX(rMed2,3986)),ISNUMBER(INDEX(rMed,3986))),INDEX(rMed,3986),NA()))</f>
        <v>#N/A</v>
      </c>
    </row>
    <row r="3989">
      <c r="BX3989" t="e">
        <f>IF(OR(cMed=0,cMed2=0,3987&gt;nFilas),NA(),IF(AND(ISNUMBER(INDEX(rMed2,3987)),ISNUMBER(INDEX(rMed,3987))),INDEX(rMed2,3987),NA()))</f>
        <v>#N/A</v>
      </c>
      <c r="BY3989" t="e">
        <f>IF(OR(cMed=0,cMed2=0,3987&gt;nFilas),NA(),IF(AND(ISNUMBER(INDEX(rMed2,3987)),ISNUMBER(INDEX(rMed,3987))),INDEX(rMed,3987),NA()))</f>
        <v>#N/A</v>
      </c>
    </row>
    <row r="3990">
      <c r="BX3990" t="e">
        <f>IF(OR(cMed=0,cMed2=0,3988&gt;nFilas),NA(),IF(AND(ISNUMBER(INDEX(rMed2,3988)),ISNUMBER(INDEX(rMed,3988))),INDEX(rMed2,3988),NA()))</f>
        <v>#N/A</v>
      </c>
      <c r="BY3990" t="e">
        <f>IF(OR(cMed=0,cMed2=0,3988&gt;nFilas),NA(),IF(AND(ISNUMBER(INDEX(rMed2,3988)),ISNUMBER(INDEX(rMed,3988))),INDEX(rMed,3988),NA()))</f>
        <v>#N/A</v>
      </c>
    </row>
    <row r="3991">
      <c r="BX3991" t="e">
        <f>IF(OR(cMed=0,cMed2=0,3989&gt;nFilas),NA(),IF(AND(ISNUMBER(INDEX(rMed2,3989)),ISNUMBER(INDEX(rMed,3989))),INDEX(rMed2,3989),NA()))</f>
        <v>#N/A</v>
      </c>
      <c r="BY3991" t="e">
        <f>IF(OR(cMed=0,cMed2=0,3989&gt;nFilas),NA(),IF(AND(ISNUMBER(INDEX(rMed2,3989)),ISNUMBER(INDEX(rMed,3989))),INDEX(rMed,3989),NA()))</f>
        <v>#N/A</v>
      </c>
    </row>
    <row r="3992">
      <c r="BX3992" t="e">
        <f>IF(OR(cMed=0,cMed2=0,3990&gt;nFilas),NA(),IF(AND(ISNUMBER(INDEX(rMed2,3990)),ISNUMBER(INDEX(rMed,3990))),INDEX(rMed2,3990),NA()))</f>
        <v>#N/A</v>
      </c>
      <c r="BY3992" t="e">
        <f>IF(OR(cMed=0,cMed2=0,3990&gt;nFilas),NA(),IF(AND(ISNUMBER(INDEX(rMed2,3990)),ISNUMBER(INDEX(rMed,3990))),INDEX(rMed,3990),NA()))</f>
        <v>#N/A</v>
      </c>
    </row>
    <row r="3993">
      <c r="BX3993" t="e">
        <f>IF(OR(cMed=0,cMed2=0,3991&gt;nFilas),NA(),IF(AND(ISNUMBER(INDEX(rMed2,3991)),ISNUMBER(INDEX(rMed,3991))),INDEX(rMed2,3991),NA()))</f>
        <v>#N/A</v>
      </c>
      <c r="BY3993" t="e">
        <f>IF(OR(cMed=0,cMed2=0,3991&gt;nFilas),NA(),IF(AND(ISNUMBER(INDEX(rMed2,3991)),ISNUMBER(INDEX(rMed,3991))),INDEX(rMed,3991),NA()))</f>
        <v>#N/A</v>
      </c>
    </row>
    <row r="3994">
      <c r="BX3994" t="e">
        <f>IF(OR(cMed=0,cMed2=0,3992&gt;nFilas),NA(),IF(AND(ISNUMBER(INDEX(rMed2,3992)),ISNUMBER(INDEX(rMed,3992))),INDEX(rMed2,3992),NA()))</f>
        <v>#N/A</v>
      </c>
      <c r="BY3994" t="e">
        <f>IF(OR(cMed=0,cMed2=0,3992&gt;nFilas),NA(),IF(AND(ISNUMBER(INDEX(rMed2,3992)),ISNUMBER(INDEX(rMed,3992))),INDEX(rMed,3992),NA()))</f>
        <v>#N/A</v>
      </c>
    </row>
    <row r="3995">
      <c r="BX3995" t="e">
        <f>IF(OR(cMed=0,cMed2=0,3993&gt;nFilas),NA(),IF(AND(ISNUMBER(INDEX(rMed2,3993)),ISNUMBER(INDEX(rMed,3993))),INDEX(rMed2,3993),NA()))</f>
        <v>#N/A</v>
      </c>
      <c r="BY3995" t="e">
        <f>IF(OR(cMed=0,cMed2=0,3993&gt;nFilas),NA(),IF(AND(ISNUMBER(INDEX(rMed2,3993)),ISNUMBER(INDEX(rMed,3993))),INDEX(rMed,3993),NA()))</f>
        <v>#N/A</v>
      </c>
    </row>
    <row r="3996">
      <c r="BX3996" t="e">
        <f>IF(OR(cMed=0,cMed2=0,3994&gt;nFilas),NA(),IF(AND(ISNUMBER(INDEX(rMed2,3994)),ISNUMBER(INDEX(rMed,3994))),INDEX(rMed2,3994),NA()))</f>
        <v>#N/A</v>
      </c>
      <c r="BY3996" t="e">
        <f>IF(OR(cMed=0,cMed2=0,3994&gt;nFilas),NA(),IF(AND(ISNUMBER(INDEX(rMed2,3994)),ISNUMBER(INDEX(rMed,3994))),INDEX(rMed,3994),NA()))</f>
        <v>#N/A</v>
      </c>
    </row>
    <row r="3997">
      <c r="BX3997" t="e">
        <f>IF(OR(cMed=0,cMed2=0,3995&gt;nFilas),NA(),IF(AND(ISNUMBER(INDEX(rMed2,3995)),ISNUMBER(INDEX(rMed,3995))),INDEX(rMed2,3995),NA()))</f>
        <v>#N/A</v>
      </c>
      <c r="BY3997" t="e">
        <f>IF(OR(cMed=0,cMed2=0,3995&gt;nFilas),NA(),IF(AND(ISNUMBER(INDEX(rMed2,3995)),ISNUMBER(INDEX(rMed,3995))),INDEX(rMed,3995),NA()))</f>
        <v>#N/A</v>
      </c>
    </row>
    <row r="3998">
      <c r="BX3998" t="e">
        <f>IF(OR(cMed=0,cMed2=0,3996&gt;nFilas),NA(),IF(AND(ISNUMBER(INDEX(rMed2,3996)),ISNUMBER(INDEX(rMed,3996))),INDEX(rMed2,3996),NA()))</f>
        <v>#N/A</v>
      </c>
      <c r="BY3998" t="e">
        <f>IF(OR(cMed=0,cMed2=0,3996&gt;nFilas),NA(),IF(AND(ISNUMBER(INDEX(rMed2,3996)),ISNUMBER(INDEX(rMed,3996))),INDEX(rMed,3996),NA()))</f>
        <v>#N/A</v>
      </c>
    </row>
    <row r="3999">
      <c r="BX3999" t="e">
        <f>IF(OR(cMed=0,cMed2=0,3997&gt;nFilas),NA(),IF(AND(ISNUMBER(INDEX(rMed2,3997)),ISNUMBER(INDEX(rMed,3997))),INDEX(rMed2,3997),NA()))</f>
        <v>#N/A</v>
      </c>
      <c r="BY3999" t="e">
        <f>IF(OR(cMed=0,cMed2=0,3997&gt;nFilas),NA(),IF(AND(ISNUMBER(INDEX(rMed2,3997)),ISNUMBER(INDEX(rMed,3997))),INDEX(rMed,3997),NA()))</f>
        <v>#N/A</v>
      </c>
    </row>
    <row r="4000">
      <c r="BX4000" t="e">
        <f>IF(OR(cMed=0,cMed2=0,3998&gt;nFilas),NA(),IF(AND(ISNUMBER(INDEX(rMed2,3998)),ISNUMBER(INDEX(rMed,3998))),INDEX(rMed2,3998),NA()))</f>
        <v>#N/A</v>
      </c>
      <c r="BY4000" t="e">
        <f>IF(OR(cMed=0,cMed2=0,3998&gt;nFilas),NA(),IF(AND(ISNUMBER(INDEX(rMed2,3998)),ISNUMBER(INDEX(rMed,3998))),INDEX(rMed,3998),NA()))</f>
        <v>#N/A</v>
      </c>
    </row>
    <row r="4001">
      <c r="BX4001" t="e">
        <f>IF(OR(cMed=0,cMed2=0,3999&gt;nFilas),NA(),IF(AND(ISNUMBER(INDEX(rMed2,3999)),ISNUMBER(INDEX(rMed,3999))),INDEX(rMed2,3999),NA()))</f>
        <v>#N/A</v>
      </c>
      <c r="BY4001" t="e">
        <f>IF(OR(cMed=0,cMed2=0,3999&gt;nFilas),NA(),IF(AND(ISNUMBER(INDEX(rMed2,3999)),ISNUMBER(INDEX(rMed,3999))),INDEX(rMed,3999),NA()))</f>
        <v>#N/A</v>
      </c>
    </row>
    <row r="4002">
      <c r="BX4002" t="e">
        <f>IF(OR(cMed=0,cMed2=0,4000&gt;nFilas),NA(),IF(AND(ISNUMBER(INDEX(rMed2,4000)),ISNUMBER(INDEX(rMed,4000))),INDEX(rMed2,4000),NA()))</f>
        <v>#N/A</v>
      </c>
      <c r="BY4002" t="e">
        <f>IF(OR(cMed=0,cMed2=0,4000&gt;nFilas),NA(),IF(AND(ISNUMBER(INDEX(rMed2,4000)),ISNUMBER(INDEX(rMed,4000))),INDEX(rMed,4000),NA()))</f>
        <v>#N/A</v>
      </c>
    </row>
    <row r="4003">
      <c r="BX4003" t="e">
        <f>IF(OR(cMed=0,cMed2=0,4001&gt;nFilas),NA(),IF(AND(ISNUMBER(INDEX(rMed2,4001)),ISNUMBER(INDEX(rMed,4001))),INDEX(rMed2,4001),NA()))</f>
        <v>#N/A</v>
      </c>
      <c r="BY4003" t="e">
        <f>IF(OR(cMed=0,cMed2=0,4001&gt;nFilas),NA(),IF(AND(ISNUMBER(INDEX(rMed2,4001)),ISNUMBER(INDEX(rMed,4001))),INDEX(rMed,4001),NA()))</f>
        <v>#N/A</v>
      </c>
    </row>
    <row r="4004">
      <c r="BX4004" t="e">
        <f>IF(OR(cMed=0,cMed2=0,4002&gt;nFilas),NA(),IF(AND(ISNUMBER(INDEX(rMed2,4002)),ISNUMBER(INDEX(rMed,4002))),INDEX(rMed2,4002),NA()))</f>
        <v>#N/A</v>
      </c>
      <c r="BY4004" t="e">
        <f>IF(OR(cMed=0,cMed2=0,4002&gt;nFilas),NA(),IF(AND(ISNUMBER(INDEX(rMed2,4002)),ISNUMBER(INDEX(rMed,4002))),INDEX(rMed,4002),NA()))</f>
        <v>#N/A</v>
      </c>
    </row>
    <row r="4005">
      <c r="BX4005" t="e">
        <f>IF(OR(cMed=0,cMed2=0,4003&gt;nFilas),NA(),IF(AND(ISNUMBER(INDEX(rMed2,4003)),ISNUMBER(INDEX(rMed,4003))),INDEX(rMed2,4003),NA()))</f>
        <v>#N/A</v>
      </c>
      <c r="BY4005" t="e">
        <f>IF(OR(cMed=0,cMed2=0,4003&gt;nFilas),NA(),IF(AND(ISNUMBER(INDEX(rMed2,4003)),ISNUMBER(INDEX(rMed,4003))),INDEX(rMed,4003),NA()))</f>
        <v>#N/A</v>
      </c>
    </row>
    <row r="4006">
      <c r="BX4006" t="e">
        <f>IF(OR(cMed=0,cMed2=0,4004&gt;nFilas),NA(),IF(AND(ISNUMBER(INDEX(rMed2,4004)),ISNUMBER(INDEX(rMed,4004))),INDEX(rMed2,4004),NA()))</f>
        <v>#N/A</v>
      </c>
      <c r="BY4006" t="e">
        <f>IF(OR(cMed=0,cMed2=0,4004&gt;nFilas),NA(),IF(AND(ISNUMBER(INDEX(rMed2,4004)),ISNUMBER(INDEX(rMed,4004))),INDEX(rMed,4004),NA()))</f>
        <v>#N/A</v>
      </c>
    </row>
    <row r="4007">
      <c r="BX4007" t="e">
        <f>IF(OR(cMed=0,cMed2=0,4005&gt;nFilas),NA(),IF(AND(ISNUMBER(INDEX(rMed2,4005)),ISNUMBER(INDEX(rMed,4005))),INDEX(rMed2,4005),NA()))</f>
        <v>#N/A</v>
      </c>
      <c r="BY4007" t="e">
        <f>IF(OR(cMed=0,cMed2=0,4005&gt;nFilas),NA(),IF(AND(ISNUMBER(INDEX(rMed2,4005)),ISNUMBER(INDEX(rMed,4005))),INDEX(rMed,4005),NA()))</f>
        <v>#N/A</v>
      </c>
    </row>
    <row r="4008">
      <c r="BX4008" t="e">
        <f>IF(OR(cMed=0,cMed2=0,4006&gt;nFilas),NA(),IF(AND(ISNUMBER(INDEX(rMed2,4006)),ISNUMBER(INDEX(rMed,4006))),INDEX(rMed2,4006),NA()))</f>
        <v>#N/A</v>
      </c>
      <c r="BY4008" t="e">
        <f>IF(OR(cMed=0,cMed2=0,4006&gt;nFilas),NA(),IF(AND(ISNUMBER(INDEX(rMed2,4006)),ISNUMBER(INDEX(rMed,4006))),INDEX(rMed,4006),NA()))</f>
        <v>#N/A</v>
      </c>
    </row>
    <row r="4009">
      <c r="BX4009" t="e">
        <f>IF(OR(cMed=0,cMed2=0,4007&gt;nFilas),NA(),IF(AND(ISNUMBER(INDEX(rMed2,4007)),ISNUMBER(INDEX(rMed,4007))),INDEX(rMed2,4007),NA()))</f>
        <v>#N/A</v>
      </c>
      <c r="BY4009" t="e">
        <f>IF(OR(cMed=0,cMed2=0,4007&gt;nFilas),NA(),IF(AND(ISNUMBER(INDEX(rMed2,4007)),ISNUMBER(INDEX(rMed,4007))),INDEX(rMed,4007),NA()))</f>
        <v>#N/A</v>
      </c>
    </row>
    <row r="4010">
      <c r="BX4010" t="e">
        <f>IF(OR(cMed=0,cMed2=0,4008&gt;nFilas),NA(),IF(AND(ISNUMBER(INDEX(rMed2,4008)),ISNUMBER(INDEX(rMed,4008))),INDEX(rMed2,4008),NA()))</f>
        <v>#N/A</v>
      </c>
      <c r="BY4010" t="e">
        <f>IF(OR(cMed=0,cMed2=0,4008&gt;nFilas),NA(),IF(AND(ISNUMBER(INDEX(rMed2,4008)),ISNUMBER(INDEX(rMed,4008))),INDEX(rMed,4008),NA()))</f>
        <v>#N/A</v>
      </c>
    </row>
    <row r="4011">
      <c r="BX4011" t="e">
        <f>IF(OR(cMed=0,cMed2=0,4009&gt;nFilas),NA(),IF(AND(ISNUMBER(INDEX(rMed2,4009)),ISNUMBER(INDEX(rMed,4009))),INDEX(rMed2,4009),NA()))</f>
        <v>#N/A</v>
      </c>
      <c r="BY4011" t="e">
        <f>IF(OR(cMed=0,cMed2=0,4009&gt;nFilas),NA(),IF(AND(ISNUMBER(INDEX(rMed2,4009)),ISNUMBER(INDEX(rMed,4009))),INDEX(rMed,4009),NA()))</f>
        <v>#N/A</v>
      </c>
    </row>
    <row r="4012">
      <c r="BX4012" t="e">
        <f>IF(OR(cMed=0,cMed2=0,4010&gt;nFilas),NA(),IF(AND(ISNUMBER(INDEX(rMed2,4010)),ISNUMBER(INDEX(rMed,4010))),INDEX(rMed2,4010),NA()))</f>
        <v>#N/A</v>
      </c>
      <c r="BY4012" t="e">
        <f>IF(OR(cMed=0,cMed2=0,4010&gt;nFilas),NA(),IF(AND(ISNUMBER(INDEX(rMed2,4010)),ISNUMBER(INDEX(rMed,4010))),INDEX(rMed,4010),NA()))</f>
        <v>#N/A</v>
      </c>
    </row>
    <row r="4013">
      <c r="BX4013" t="e">
        <f>IF(OR(cMed=0,cMed2=0,4011&gt;nFilas),NA(),IF(AND(ISNUMBER(INDEX(rMed2,4011)),ISNUMBER(INDEX(rMed,4011))),INDEX(rMed2,4011),NA()))</f>
        <v>#N/A</v>
      </c>
      <c r="BY4013" t="e">
        <f>IF(OR(cMed=0,cMed2=0,4011&gt;nFilas),NA(),IF(AND(ISNUMBER(INDEX(rMed2,4011)),ISNUMBER(INDEX(rMed,4011))),INDEX(rMed,4011),NA()))</f>
        <v>#N/A</v>
      </c>
    </row>
    <row r="4014">
      <c r="BX4014" t="e">
        <f>IF(OR(cMed=0,cMed2=0,4012&gt;nFilas),NA(),IF(AND(ISNUMBER(INDEX(rMed2,4012)),ISNUMBER(INDEX(rMed,4012))),INDEX(rMed2,4012),NA()))</f>
        <v>#N/A</v>
      </c>
      <c r="BY4014" t="e">
        <f>IF(OR(cMed=0,cMed2=0,4012&gt;nFilas),NA(),IF(AND(ISNUMBER(INDEX(rMed2,4012)),ISNUMBER(INDEX(rMed,4012))),INDEX(rMed,4012),NA()))</f>
        <v>#N/A</v>
      </c>
    </row>
    <row r="4015">
      <c r="BX4015" t="e">
        <f>IF(OR(cMed=0,cMed2=0,4013&gt;nFilas),NA(),IF(AND(ISNUMBER(INDEX(rMed2,4013)),ISNUMBER(INDEX(rMed,4013))),INDEX(rMed2,4013),NA()))</f>
        <v>#N/A</v>
      </c>
      <c r="BY4015" t="e">
        <f>IF(OR(cMed=0,cMed2=0,4013&gt;nFilas),NA(),IF(AND(ISNUMBER(INDEX(rMed2,4013)),ISNUMBER(INDEX(rMed,4013))),INDEX(rMed,4013),NA()))</f>
        <v>#N/A</v>
      </c>
    </row>
    <row r="4016">
      <c r="BX4016" t="e">
        <f>IF(OR(cMed=0,cMed2=0,4014&gt;nFilas),NA(),IF(AND(ISNUMBER(INDEX(rMed2,4014)),ISNUMBER(INDEX(rMed,4014))),INDEX(rMed2,4014),NA()))</f>
        <v>#N/A</v>
      </c>
      <c r="BY4016" t="e">
        <f>IF(OR(cMed=0,cMed2=0,4014&gt;nFilas),NA(),IF(AND(ISNUMBER(INDEX(rMed2,4014)),ISNUMBER(INDEX(rMed,4014))),INDEX(rMed,4014),NA()))</f>
        <v>#N/A</v>
      </c>
    </row>
    <row r="4017">
      <c r="BX4017" t="e">
        <f>IF(OR(cMed=0,cMed2=0,4015&gt;nFilas),NA(),IF(AND(ISNUMBER(INDEX(rMed2,4015)),ISNUMBER(INDEX(rMed,4015))),INDEX(rMed2,4015),NA()))</f>
        <v>#N/A</v>
      </c>
      <c r="BY4017" t="e">
        <f>IF(OR(cMed=0,cMed2=0,4015&gt;nFilas),NA(),IF(AND(ISNUMBER(INDEX(rMed2,4015)),ISNUMBER(INDEX(rMed,4015))),INDEX(rMed,4015),NA()))</f>
        <v>#N/A</v>
      </c>
    </row>
    <row r="4018">
      <c r="BX4018" t="e">
        <f>IF(OR(cMed=0,cMed2=0,4016&gt;nFilas),NA(),IF(AND(ISNUMBER(INDEX(rMed2,4016)),ISNUMBER(INDEX(rMed,4016))),INDEX(rMed2,4016),NA()))</f>
        <v>#N/A</v>
      </c>
      <c r="BY4018" t="e">
        <f>IF(OR(cMed=0,cMed2=0,4016&gt;nFilas),NA(),IF(AND(ISNUMBER(INDEX(rMed2,4016)),ISNUMBER(INDEX(rMed,4016))),INDEX(rMed,4016),NA()))</f>
        <v>#N/A</v>
      </c>
    </row>
    <row r="4019">
      <c r="BX4019" t="e">
        <f>IF(OR(cMed=0,cMed2=0,4017&gt;nFilas),NA(),IF(AND(ISNUMBER(INDEX(rMed2,4017)),ISNUMBER(INDEX(rMed,4017))),INDEX(rMed2,4017),NA()))</f>
        <v>#N/A</v>
      </c>
      <c r="BY4019" t="e">
        <f>IF(OR(cMed=0,cMed2=0,4017&gt;nFilas),NA(),IF(AND(ISNUMBER(INDEX(rMed2,4017)),ISNUMBER(INDEX(rMed,4017))),INDEX(rMed,4017),NA()))</f>
        <v>#N/A</v>
      </c>
    </row>
    <row r="4020">
      <c r="BX4020" t="e">
        <f>IF(OR(cMed=0,cMed2=0,4018&gt;nFilas),NA(),IF(AND(ISNUMBER(INDEX(rMed2,4018)),ISNUMBER(INDEX(rMed,4018))),INDEX(rMed2,4018),NA()))</f>
        <v>#N/A</v>
      </c>
      <c r="BY4020" t="e">
        <f>IF(OR(cMed=0,cMed2=0,4018&gt;nFilas),NA(),IF(AND(ISNUMBER(INDEX(rMed2,4018)),ISNUMBER(INDEX(rMed,4018))),INDEX(rMed,4018),NA()))</f>
        <v>#N/A</v>
      </c>
    </row>
    <row r="4021">
      <c r="BX4021" t="e">
        <f>IF(OR(cMed=0,cMed2=0,4019&gt;nFilas),NA(),IF(AND(ISNUMBER(INDEX(rMed2,4019)),ISNUMBER(INDEX(rMed,4019))),INDEX(rMed2,4019),NA()))</f>
        <v>#N/A</v>
      </c>
      <c r="BY4021" t="e">
        <f>IF(OR(cMed=0,cMed2=0,4019&gt;nFilas),NA(),IF(AND(ISNUMBER(INDEX(rMed2,4019)),ISNUMBER(INDEX(rMed,4019))),INDEX(rMed,4019),NA()))</f>
        <v>#N/A</v>
      </c>
    </row>
    <row r="4022">
      <c r="BX4022" t="e">
        <f>IF(OR(cMed=0,cMed2=0,4020&gt;nFilas),NA(),IF(AND(ISNUMBER(INDEX(rMed2,4020)),ISNUMBER(INDEX(rMed,4020))),INDEX(rMed2,4020),NA()))</f>
        <v>#N/A</v>
      </c>
      <c r="BY4022" t="e">
        <f>IF(OR(cMed=0,cMed2=0,4020&gt;nFilas),NA(),IF(AND(ISNUMBER(INDEX(rMed2,4020)),ISNUMBER(INDEX(rMed,4020))),INDEX(rMed,4020),NA()))</f>
        <v>#N/A</v>
      </c>
    </row>
    <row r="4023">
      <c r="BX4023" t="e">
        <f>IF(OR(cMed=0,cMed2=0,4021&gt;nFilas),NA(),IF(AND(ISNUMBER(INDEX(rMed2,4021)),ISNUMBER(INDEX(rMed,4021))),INDEX(rMed2,4021),NA()))</f>
        <v>#N/A</v>
      </c>
      <c r="BY4023" t="e">
        <f>IF(OR(cMed=0,cMed2=0,4021&gt;nFilas),NA(),IF(AND(ISNUMBER(INDEX(rMed2,4021)),ISNUMBER(INDEX(rMed,4021))),INDEX(rMed,4021),NA()))</f>
        <v>#N/A</v>
      </c>
    </row>
    <row r="4024">
      <c r="BX4024" t="e">
        <f>IF(OR(cMed=0,cMed2=0,4022&gt;nFilas),NA(),IF(AND(ISNUMBER(INDEX(rMed2,4022)),ISNUMBER(INDEX(rMed,4022))),INDEX(rMed2,4022),NA()))</f>
        <v>#N/A</v>
      </c>
      <c r="BY4024" t="e">
        <f>IF(OR(cMed=0,cMed2=0,4022&gt;nFilas),NA(),IF(AND(ISNUMBER(INDEX(rMed2,4022)),ISNUMBER(INDEX(rMed,4022))),INDEX(rMed,4022),NA()))</f>
        <v>#N/A</v>
      </c>
    </row>
    <row r="4025">
      <c r="BX4025" t="e">
        <f>IF(OR(cMed=0,cMed2=0,4023&gt;nFilas),NA(),IF(AND(ISNUMBER(INDEX(rMed2,4023)),ISNUMBER(INDEX(rMed,4023))),INDEX(rMed2,4023),NA()))</f>
        <v>#N/A</v>
      </c>
      <c r="BY4025" t="e">
        <f>IF(OR(cMed=0,cMed2=0,4023&gt;nFilas),NA(),IF(AND(ISNUMBER(INDEX(rMed2,4023)),ISNUMBER(INDEX(rMed,4023))),INDEX(rMed,4023),NA()))</f>
        <v>#N/A</v>
      </c>
    </row>
    <row r="4026">
      <c r="BX4026" t="e">
        <f>IF(OR(cMed=0,cMed2=0,4024&gt;nFilas),NA(),IF(AND(ISNUMBER(INDEX(rMed2,4024)),ISNUMBER(INDEX(rMed,4024))),INDEX(rMed2,4024),NA()))</f>
        <v>#N/A</v>
      </c>
      <c r="BY4026" t="e">
        <f>IF(OR(cMed=0,cMed2=0,4024&gt;nFilas),NA(),IF(AND(ISNUMBER(INDEX(rMed2,4024)),ISNUMBER(INDEX(rMed,4024))),INDEX(rMed,4024),NA()))</f>
        <v>#N/A</v>
      </c>
    </row>
    <row r="4027">
      <c r="BX4027" t="e">
        <f>IF(OR(cMed=0,cMed2=0,4025&gt;nFilas),NA(),IF(AND(ISNUMBER(INDEX(rMed2,4025)),ISNUMBER(INDEX(rMed,4025))),INDEX(rMed2,4025),NA()))</f>
        <v>#N/A</v>
      </c>
      <c r="BY4027" t="e">
        <f>IF(OR(cMed=0,cMed2=0,4025&gt;nFilas),NA(),IF(AND(ISNUMBER(INDEX(rMed2,4025)),ISNUMBER(INDEX(rMed,4025))),INDEX(rMed,4025),NA()))</f>
        <v>#N/A</v>
      </c>
    </row>
    <row r="4028">
      <c r="BX4028" t="e">
        <f>IF(OR(cMed=0,cMed2=0,4026&gt;nFilas),NA(),IF(AND(ISNUMBER(INDEX(rMed2,4026)),ISNUMBER(INDEX(rMed,4026))),INDEX(rMed2,4026),NA()))</f>
        <v>#N/A</v>
      </c>
      <c r="BY4028" t="e">
        <f>IF(OR(cMed=0,cMed2=0,4026&gt;nFilas),NA(),IF(AND(ISNUMBER(INDEX(rMed2,4026)),ISNUMBER(INDEX(rMed,4026))),INDEX(rMed,4026),NA()))</f>
        <v>#N/A</v>
      </c>
    </row>
    <row r="4029">
      <c r="BX4029" t="e">
        <f>IF(OR(cMed=0,cMed2=0,4027&gt;nFilas),NA(),IF(AND(ISNUMBER(INDEX(rMed2,4027)),ISNUMBER(INDEX(rMed,4027))),INDEX(rMed2,4027),NA()))</f>
        <v>#N/A</v>
      </c>
      <c r="BY4029" t="e">
        <f>IF(OR(cMed=0,cMed2=0,4027&gt;nFilas),NA(),IF(AND(ISNUMBER(INDEX(rMed2,4027)),ISNUMBER(INDEX(rMed,4027))),INDEX(rMed,4027),NA()))</f>
        <v>#N/A</v>
      </c>
    </row>
    <row r="4030">
      <c r="BX4030" t="e">
        <f>IF(OR(cMed=0,cMed2=0,4028&gt;nFilas),NA(),IF(AND(ISNUMBER(INDEX(rMed2,4028)),ISNUMBER(INDEX(rMed,4028))),INDEX(rMed2,4028),NA()))</f>
        <v>#N/A</v>
      </c>
      <c r="BY4030" t="e">
        <f>IF(OR(cMed=0,cMed2=0,4028&gt;nFilas),NA(),IF(AND(ISNUMBER(INDEX(rMed2,4028)),ISNUMBER(INDEX(rMed,4028))),INDEX(rMed,4028),NA()))</f>
        <v>#N/A</v>
      </c>
    </row>
    <row r="4031">
      <c r="BX4031" t="e">
        <f>IF(OR(cMed=0,cMed2=0,4029&gt;nFilas),NA(),IF(AND(ISNUMBER(INDEX(rMed2,4029)),ISNUMBER(INDEX(rMed,4029))),INDEX(rMed2,4029),NA()))</f>
        <v>#N/A</v>
      </c>
      <c r="BY4031" t="e">
        <f>IF(OR(cMed=0,cMed2=0,4029&gt;nFilas),NA(),IF(AND(ISNUMBER(INDEX(rMed2,4029)),ISNUMBER(INDEX(rMed,4029))),INDEX(rMed,4029),NA()))</f>
        <v>#N/A</v>
      </c>
    </row>
    <row r="4032">
      <c r="BX4032" t="e">
        <f>IF(OR(cMed=0,cMed2=0,4030&gt;nFilas),NA(),IF(AND(ISNUMBER(INDEX(rMed2,4030)),ISNUMBER(INDEX(rMed,4030))),INDEX(rMed2,4030),NA()))</f>
        <v>#N/A</v>
      </c>
      <c r="BY4032" t="e">
        <f>IF(OR(cMed=0,cMed2=0,4030&gt;nFilas),NA(),IF(AND(ISNUMBER(INDEX(rMed2,4030)),ISNUMBER(INDEX(rMed,4030))),INDEX(rMed,4030),NA()))</f>
        <v>#N/A</v>
      </c>
    </row>
    <row r="4033">
      <c r="BX4033" t="e">
        <f>IF(OR(cMed=0,cMed2=0,4031&gt;nFilas),NA(),IF(AND(ISNUMBER(INDEX(rMed2,4031)),ISNUMBER(INDEX(rMed,4031))),INDEX(rMed2,4031),NA()))</f>
        <v>#N/A</v>
      </c>
      <c r="BY4033" t="e">
        <f>IF(OR(cMed=0,cMed2=0,4031&gt;nFilas),NA(),IF(AND(ISNUMBER(INDEX(rMed2,4031)),ISNUMBER(INDEX(rMed,4031))),INDEX(rMed,4031),NA()))</f>
        <v>#N/A</v>
      </c>
    </row>
    <row r="4034">
      <c r="BX4034" t="e">
        <f>IF(OR(cMed=0,cMed2=0,4032&gt;nFilas),NA(),IF(AND(ISNUMBER(INDEX(rMed2,4032)),ISNUMBER(INDEX(rMed,4032))),INDEX(rMed2,4032),NA()))</f>
        <v>#N/A</v>
      </c>
      <c r="BY4034" t="e">
        <f>IF(OR(cMed=0,cMed2=0,4032&gt;nFilas),NA(),IF(AND(ISNUMBER(INDEX(rMed2,4032)),ISNUMBER(INDEX(rMed,4032))),INDEX(rMed,4032),NA()))</f>
        <v>#N/A</v>
      </c>
    </row>
    <row r="4035">
      <c r="BX4035" t="e">
        <f>IF(OR(cMed=0,cMed2=0,4033&gt;nFilas),NA(),IF(AND(ISNUMBER(INDEX(rMed2,4033)),ISNUMBER(INDEX(rMed,4033))),INDEX(rMed2,4033),NA()))</f>
        <v>#N/A</v>
      </c>
      <c r="BY4035" t="e">
        <f>IF(OR(cMed=0,cMed2=0,4033&gt;nFilas),NA(),IF(AND(ISNUMBER(INDEX(rMed2,4033)),ISNUMBER(INDEX(rMed,4033))),INDEX(rMed,4033),NA()))</f>
        <v>#N/A</v>
      </c>
    </row>
    <row r="4036">
      <c r="BX4036" t="e">
        <f>IF(OR(cMed=0,cMed2=0,4034&gt;nFilas),NA(),IF(AND(ISNUMBER(INDEX(rMed2,4034)),ISNUMBER(INDEX(rMed,4034))),INDEX(rMed2,4034),NA()))</f>
        <v>#N/A</v>
      </c>
      <c r="BY4036" t="e">
        <f>IF(OR(cMed=0,cMed2=0,4034&gt;nFilas),NA(),IF(AND(ISNUMBER(INDEX(rMed2,4034)),ISNUMBER(INDEX(rMed,4034))),INDEX(rMed,4034),NA()))</f>
        <v>#N/A</v>
      </c>
    </row>
    <row r="4037">
      <c r="BX4037" t="e">
        <f>IF(OR(cMed=0,cMed2=0,4035&gt;nFilas),NA(),IF(AND(ISNUMBER(INDEX(rMed2,4035)),ISNUMBER(INDEX(rMed,4035))),INDEX(rMed2,4035),NA()))</f>
        <v>#N/A</v>
      </c>
      <c r="BY4037" t="e">
        <f>IF(OR(cMed=0,cMed2=0,4035&gt;nFilas),NA(),IF(AND(ISNUMBER(INDEX(rMed2,4035)),ISNUMBER(INDEX(rMed,4035))),INDEX(rMed,4035),NA()))</f>
        <v>#N/A</v>
      </c>
    </row>
    <row r="4038">
      <c r="BX4038" t="e">
        <f>IF(OR(cMed=0,cMed2=0,4036&gt;nFilas),NA(),IF(AND(ISNUMBER(INDEX(rMed2,4036)),ISNUMBER(INDEX(rMed,4036))),INDEX(rMed2,4036),NA()))</f>
        <v>#N/A</v>
      </c>
      <c r="BY4038" t="e">
        <f>IF(OR(cMed=0,cMed2=0,4036&gt;nFilas),NA(),IF(AND(ISNUMBER(INDEX(rMed2,4036)),ISNUMBER(INDEX(rMed,4036))),INDEX(rMed,4036),NA()))</f>
        <v>#N/A</v>
      </c>
    </row>
    <row r="4039">
      <c r="BX4039" t="e">
        <f>IF(OR(cMed=0,cMed2=0,4037&gt;nFilas),NA(),IF(AND(ISNUMBER(INDEX(rMed2,4037)),ISNUMBER(INDEX(rMed,4037))),INDEX(rMed2,4037),NA()))</f>
        <v>#N/A</v>
      </c>
      <c r="BY4039" t="e">
        <f>IF(OR(cMed=0,cMed2=0,4037&gt;nFilas),NA(),IF(AND(ISNUMBER(INDEX(rMed2,4037)),ISNUMBER(INDEX(rMed,4037))),INDEX(rMed,4037),NA()))</f>
        <v>#N/A</v>
      </c>
    </row>
    <row r="4040">
      <c r="BX4040" t="e">
        <f>IF(OR(cMed=0,cMed2=0,4038&gt;nFilas),NA(),IF(AND(ISNUMBER(INDEX(rMed2,4038)),ISNUMBER(INDEX(rMed,4038))),INDEX(rMed2,4038),NA()))</f>
        <v>#N/A</v>
      </c>
      <c r="BY4040" t="e">
        <f>IF(OR(cMed=0,cMed2=0,4038&gt;nFilas),NA(),IF(AND(ISNUMBER(INDEX(rMed2,4038)),ISNUMBER(INDEX(rMed,4038))),INDEX(rMed,4038),NA()))</f>
        <v>#N/A</v>
      </c>
    </row>
    <row r="4041">
      <c r="BX4041" t="e">
        <f>IF(OR(cMed=0,cMed2=0,4039&gt;nFilas),NA(),IF(AND(ISNUMBER(INDEX(rMed2,4039)),ISNUMBER(INDEX(rMed,4039))),INDEX(rMed2,4039),NA()))</f>
        <v>#N/A</v>
      </c>
      <c r="BY4041" t="e">
        <f>IF(OR(cMed=0,cMed2=0,4039&gt;nFilas),NA(),IF(AND(ISNUMBER(INDEX(rMed2,4039)),ISNUMBER(INDEX(rMed,4039))),INDEX(rMed,4039),NA()))</f>
        <v>#N/A</v>
      </c>
    </row>
    <row r="4042">
      <c r="BX4042" t="e">
        <f>IF(OR(cMed=0,cMed2=0,4040&gt;nFilas),NA(),IF(AND(ISNUMBER(INDEX(rMed2,4040)),ISNUMBER(INDEX(rMed,4040))),INDEX(rMed2,4040),NA()))</f>
        <v>#N/A</v>
      </c>
      <c r="BY4042" t="e">
        <f>IF(OR(cMed=0,cMed2=0,4040&gt;nFilas),NA(),IF(AND(ISNUMBER(INDEX(rMed2,4040)),ISNUMBER(INDEX(rMed,4040))),INDEX(rMed,4040),NA()))</f>
        <v>#N/A</v>
      </c>
    </row>
    <row r="4043">
      <c r="BX4043" t="e">
        <f>IF(OR(cMed=0,cMed2=0,4041&gt;nFilas),NA(),IF(AND(ISNUMBER(INDEX(rMed2,4041)),ISNUMBER(INDEX(rMed,4041))),INDEX(rMed2,4041),NA()))</f>
        <v>#N/A</v>
      </c>
      <c r="BY4043" t="e">
        <f>IF(OR(cMed=0,cMed2=0,4041&gt;nFilas),NA(),IF(AND(ISNUMBER(INDEX(rMed2,4041)),ISNUMBER(INDEX(rMed,4041))),INDEX(rMed,4041),NA()))</f>
        <v>#N/A</v>
      </c>
    </row>
    <row r="4044">
      <c r="BX4044" t="e">
        <f>IF(OR(cMed=0,cMed2=0,4042&gt;nFilas),NA(),IF(AND(ISNUMBER(INDEX(rMed2,4042)),ISNUMBER(INDEX(rMed,4042))),INDEX(rMed2,4042),NA()))</f>
        <v>#N/A</v>
      </c>
      <c r="BY4044" t="e">
        <f>IF(OR(cMed=0,cMed2=0,4042&gt;nFilas),NA(),IF(AND(ISNUMBER(INDEX(rMed2,4042)),ISNUMBER(INDEX(rMed,4042))),INDEX(rMed,4042),NA()))</f>
        <v>#N/A</v>
      </c>
    </row>
    <row r="4045">
      <c r="BX4045" t="e">
        <f>IF(OR(cMed=0,cMed2=0,4043&gt;nFilas),NA(),IF(AND(ISNUMBER(INDEX(rMed2,4043)),ISNUMBER(INDEX(rMed,4043))),INDEX(rMed2,4043),NA()))</f>
        <v>#N/A</v>
      </c>
      <c r="BY4045" t="e">
        <f>IF(OR(cMed=0,cMed2=0,4043&gt;nFilas),NA(),IF(AND(ISNUMBER(INDEX(rMed2,4043)),ISNUMBER(INDEX(rMed,4043))),INDEX(rMed,4043),NA()))</f>
        <v>#N/A</v>
      </c>
    </row>
    <row r="4046">
      <c r="BX4046" t="e">
        <f>IF(OR(cMed=0,cMed2=0,4044&gt;nFilas),NA(),IF(AND(ISNUMBER(INDEX(rMed2,4044)),ISNUMBER(INDEX(rMed,4044))),INDEX(rMed2,4044),NA()))</f>
        <v>#N/A</v>
      </c>
      <c r="BY4046" t="e">
        <f>IF(OR(cMed=0,cMed2=0,4044&gt;nFilas),NA(),IF(AND(ISNUMBER(INDEX(rMed2,4044)),ISNUMBER(INDEX(rMed,4044))),INDEX(rMed,4044),NA()))</f>
        <v>#N/A</v>
      </c>
    </row>
    <row r="4047">
      <c r="BX4047" t="e">
        <f>IF(OR(cMed=0,cMed2=0,4045&gt;nFilas),NA(),IF(AND(ISNUMBER(INDEX(rMed2,4045)),ISNUMBER(INDEX(rMed,4045))),INDEX(rMed2,4045),NA()))</f>
        <v>#N/A</v>
      </c>
      <c r="BY4047" t="e">
        <f>IF(OR(cMed=0,cMed2=0,4045&gt;nFilas),NA(),IF(AND(ISNUMBER(INDEX(rMed2,4045)),ISNUMBER(INDEX(rMed,4045))),INDEX(rMed,4045),NA()))</f>
        <v>#N/A</v>
      </c>
    </row>
    <row r="4048">
      <c r="BX4048" t="e">
        <f>IF(OR(cMed=0,cMed2=0,4046&gt;nFilas),NA(),IF(AND(ISNUMBER(INDEX(rMed2,4046)),ISNUMBER(INDEX(rMed,4046))),INDEX(rMed2,4046),NA()))</f>
        <v>#N/A</v>
      </c>
      <c r="BY4048" t="e">
        <f>IF(OR(cMed=0,cMed2=0,4046&gt;nFilas),NA(),IF(AND(ISNUMBER(INDEX(rMed2,4046)),ISNUMBER(INDEX(rMed,4046))),INDEX(rMed,4046),NA()))</f>
        <v>#N/A</v>
      </c>
    </row>
    <row r="4049">
      <c r="BX4049" t="e">
        <f>IF(OR(cMed=0,cMed2=0,4047&gt;nFilas),NA(),IF(AND(ISNUMBER(INDEX(rMed2,4047)),ISNUMBER(INDEX(rMed,4047))),INDEX(rMed2,4047),NA()))</f>
        <v>#N/A</v>
      </c>
      <c r="BY4049" t="e">
        <f>IF(OR(cMed=0,cMed2=0,4047&gt;nFilas),NA(),IF(AND(ISNUMBER(INDEX(rMed2,4047)),ISNUMBER(INDEX(rMed,4047))),INDEX(rMed,4047),NA()))</f>
        <v>#N/A</v>
      </c>
    </row>
    <row r="4050">
      <c r="BX4050" t="e">
        <f>IF(OR(cMed=0,cMed2=0,4048&gt;nFilas),NA(),IF(AND(ISNUMBER(INDEX(rMed2,4048)),ISNUMBER(INDEX(rMed,4048))),INDEX(rMed2,4048),NA()))</f>
        <v>#N/A</v>
      </c>
      <c r="BY4050" t="e">
        <f>IF(OR(cMed=0,cMed2=0,4048&gt;nFilas),NA(),IF(AND(ISNUMBER(INDEX(rMed2,4048)),ISNUMBER(INDEX(rMed,4048))),INDEX(rMed,4048),NA()))</f>
        <v>#N/A</v>
      </c>
    </row>
    <row r="4051">
      <c r="BX4051" t="e">
        <f>IF(OR(cMed=0,cMed2=0,4049&gt;nFilas),NA(),IF(AND(ISNUMBER(INDEX(rMed2,4049)),ISNUMBER(INDEX(rMed,4049))),INDEX(rMed2,4049),NA()))</f>
        <v>#N/A</v>
      </c>
      <c r="BY4051" t="e">
        <f>IF(OR(cMed=0,cMed2=0,4049&gt;nFilas),NA(),IF(AND(ISNUMBER(INDEX(rMed2,4049)),ISNUMBER(INDEX(rMed,4049))),INDEX(rMed,4049),NA()))</f>
        <v>#N/A</v>
      </c>
    </row>
    <row r="4052">
      <c r="BX4052" t="e">
        <f>IF(OR(cMed=0,cMed2=0,4050&gt;nFilas),NA(),IF(AND(ISNUMBER(INDEX(rMed2,4050)),ISNUMBER(INDEX(rMed,4050))),INDEX(rMed2,4050),NA()))</f>
        <v>#N/A</v>
      </c>
      <c r="BY4052" t="e">
        <f>IF(OR(cMed=0,cMed2=0,4050&gt;nFilas),NA(),IF(AND(ISNUMBER(INDEX(rMed2,4050)),ISNUMBER(INDEX(rMed,4050))),INDEX(rMed,4050),NA()))</f>
        <v>#N/A</v>
      </c>
    </row>
    <row r="4053">
      <c r="BX4053" t="e">
        <f>IF(OR(cMed=0,cMed2=0,4051&gt;nFilas),NA(),IF(AND(ISNUMBER(INDEX(rMed2,4051)),ISNUMBER(INDEX(rMed,4051))),INDEX(rMed2,4051),NA()))</f>
        <v>#N/A</v>
      </c>
      <c r="BY4053" t="e">
        <f>IF(OR(cMed=0,cMed2=0,4051&gt;nFilas),NA(),IF(AND(ISNUMBER(INDEX(rMed2,4051)),ISNUMBER(INDEX(rMed,4051))),INDEX(rMed,4051),NA()))</f>
        <v>#N/A</v>
      </c>
    </row>
    <row r="4054">
      <c r="BX4054" t="e">
        <f>IF(OR(cMed=0,cMed2=0,4052&gt;nFilas),NA(),IF(AND(ISNUMBER(INDEX(rMed2,4052)),ISNUMBER(INDEX(rMed,4052))),INDEX(rMed2,4052),NA()))</f>
        <v>#N/A</v>
      </c>
      <c r="BY4054" t="e">
        <f>IF(OR(cMed=0,cMed2=0,4052&gt;nFilas),NA(),IF(AND(ISNUMBER(INDEX(rMed2,4052)),ISNUMBER(INDEX(rMed,4052))),INDEX(rMed,4052),NA()))</f>
        <v>#N/A</v>
      </c>
    </row>
    <row r="4055">
      <c r="BX4055" t="e">
        <f>IF(OR(cMed=0,cMed2=0,4053&gt;nFilas),NA(),IF(AND(ISNUMBER(INDEX(rMed2,4053)),ISNUMBER(INDEX(rMed,4053))),INDEX(rMed2,4053),NA()))</f>
        <v>#N/A</v>
      </c>
      <c r="BY4055" t="e">
        <f>IF(OR(cMed=0,cMed2=0,4053&gt;nFilas),NA(),IF(AND(ISNUMBER(INDEX(rMed2,4053)),ISNUMBER(INDEX(rMed,4053))),INDEX(rMed,4053),NA()))</f>
        <v>#N/A</v>
      </c>
    </row>
    <row r="4056">
      <c r="BX4056" t="e">
        <f>IF(OR(cMed=0,cMed2=0,4054&gt;nFilas),NA(),IF(AND(ISNUMBER(INDEX(rMed2,4054)),ISNUMBER(INDEX(rMed,4054))),INDEX(rMed2,4054),NA()))</f>
        <v>#N/A</v>
      </c>
      <c r="BY4056" t="e">
        <f>IF(OR(cMed=0,cMed2=0,4054&gt;nFilas),NA(),IF(AND(ISNUMBER(INDEX(rMed2,4054)),ISNUMBER(INDEX(rMed,4054))),INDEX(rMed,4054),NA()))</f>
        <v>#N/A</v>
      </c>
    </row>
    <row r="4057">
      <c r="BX4057" t="e">
        <f>IF(OR(cMed=0,cMed2=0,4055&gt;nFilas),NA(),IF(AND(ISNUMBER(INDEX(rMed2,4055)),ISNUMBER(INDEX(rMed,4055))),INDEX(rMed2,4055),NA()))</f>
        <v>#N/A</v>
      </c>
      <c r="BY4057" t="e">
        <f>IF(OR(cMed=0,cMed2=0,4055&gt;nFilas),NA(),IF(AND(ISNUMBER(INDEX(rMed2,4055)),ISNUMBER(INDEX(rMed,4055))),INDEX(rMed,4055),NA()))</f>
        <v>#N/A</v>
      </c>
    </row>
    <row r="4058">
      <c r="BX4058" t="e">
        <f>IF(OR(cMed=0,cMed2=0,4056&gt;nFilas),NA(),IF(AND(ISNUMBER(INDEX(rMed2,4056)),ISNUMBER(INDEX(rMed,4056))),INDEX(rMed2,4056),NA()))</f>
        <v>#N/A</v>
      </c>
      <c r="BY4058" t="e">
        <f>IF(OR(cMed=0,cMed2=0,4056&gt;nFilas),NA(),IF(AND(ISNUMBER(INDEX(rMed2,4056)),ISNUMBER(INDEX(rMed,4056))),INDEX(rMed,4056),NA()))</f>
        <v>#N/A</v>
      </c>
    </row>
    <row r="4059">
      <c r="BX4059" t="e">
        <f>IF(OR(cMed=0,cMed2=0,4057&gt;nFilas),NA(),IF(AND(ISNUMBER(INDEX(rMed2,4057)),ISNUMBER(INDEX(rMed,4057))),INDEX(rMed2,4057),NA()))</f>
        <v>#N/A</v>
      </c>
      <c r="BY4059" t="e">
        <f>IF(OR(cMed=0,cMed2=0,4057&gt;nFilas),NA(),IF(AND(ISNUMBER(INDEX(rMed2,4057)),ISNUMBER(INDEX(rMed,4057))),INDEX(rMed,4057),NA()))</f>
        <v>#N/A</v>
      </c>
    </row>
    <row r="4060">
      <c r="BX4060" t="e">
        <f>IF(OR(cMed=0,cMed2=0,4058&gt;nFilas),NA(),IF(AND(ISNUMBER(INDEX(rMed2,4058)),ISNUMBER(INDEX(rMed,4058))),INDEX(rMed2,4058),NA()))</f>
        <v>#N/A</v>
      </c>
      <c r="BY4060" t="e">
        <f>IF(OR(cMed=0,cMed2=0,4058&gt;nFilas),NA(),IF(AND(ISNUMBER(INDEX(rMed2,4058)),ISNUMBER(INDEX(rMed,4058))),INDEX(rMed,4058),NA()))</f>
        <v>#N/A</v>
      </c>
    </row>
    <row r="4061">
      <c r="BX4061" t="e">
        <f>IF(OR(cMed=0,cMed2=0,4059&gt;nFilas),NA(),IF(AND(ISNUMBER(INDEX(rMed2,4059)),ISNUMBER(INDEX(rMed,4059))),INDEX(rMed2,4059),NA()))</f>
        <v>#N/A</v>
      </c>
      <c r="BY4061" t="e">
        <f>IF(OR(cMed=0,cMed2=0,4059&gt;nFilas),NA(),IF(AND(ISNUMBER(INDEX(rMed2,4059)),ISNUMBER(INDEX(rMed,4059))),INDEX(rMed,4059),NA()))</f>
        <v>#N/A</v>
      </c>
    </row>
    <row r="4062">
      <c r="BX4062" t="e">
        <f>IF(OR(cMed=0,cMed2=0,4060&gt;nFilas),NA(),IF(AND(ISNUMBER(INDEX(rMed2,4060)),ISNUMBER(INDEX(rMed,4060))),INDEX(rMed2,4060),NA()))</f>
        <v>#N/A</v>
      </c>
      <c r="BY4062" t="e">
        <f>IF(OR(cMed=0,cMed2=0,4060&gt;nFilas),NA(),IF(AND(ISNUMBER(INDEX(rMed2,4060)),ISNUMBER(INDEX(rMed,4060))),INDEX(rMed,4060),NA()))</f>
        <v>#N/A</v>
      </c>
    </row>
    <row r="4063">
      <c r="BX4063" t="e">
        <f>IF(OR(cMed=0,cMed2=0,4061&gt;nFilas),NA(),IF(AND(ISNUMBER(INDEX(rMed2,4061)),ISNUMBER(INDEX(rMed,4061))),INDEX(rMed2,4061),NA()))</f>
        <v>#N/A</v>
      </c>
      <c r="BY4063" t="e">
        <f>IF(OR(cMed=0,cMed2=0,4061&gt;nFilas),NA(),IF(AND(ISNUMBER(INDEX(rMed2,4061)),ISNUMBER(INDEX(rMed,4061))),INDEX(rMed,4061),NA()))</f>
        <v>#N/A</v>
      </c>
    </row>
    <row r="4064">
      <c r="BX4064" t="e">
        <f>IF(OR(cMed=0,cMed2=0,4062&gt;nFilas),NA(),IF(AND(ISNUMBER(INDEX(rMed2,4062)),ISNUMBER(INDEX(rMed,4062))),INDEX(rMed2,4062),NA()))</f>
        <v>#N/A</v>
      </c>
      <c r="BY4064" t="e">
        <f>IF(OR(cMed=0,cMed2=0,4062&gt;nFilas),NA(),IF(AND(ISNUMBER(INDEX(rMed2,4062)),ISNUMBER(INDEX(rMed,4062))),INDEX(rMed,4062),NA()))</f>
        <v>#N/A</v>
      </c>
    </row>
    <row r="4065">
      <c r="BX4065" t="e">
        <f>IF(OR(cMed=0,cMed2=0,4063&gt;nFilas),NA(),IF(AND(ISNUMBER(INDEX(rMed2,4063)),ISNUMBER(INDEX(rMed,4063))),INDEX(rMed2,4063),NA()))</f>
        <v>#N/A</v>
      </c>
      <c r="BY4065" t="e">
        <f>IF(OR(cMed=0,cMed2=0,4063&gt;nFilas),NA(),IF(AND(ISNUMBER(INDEX(rMed2,4063)),ISNUMBER(INDEX(rMed,4063))),INDEX(rMed,4063),NA()))</f>
        <v>#N/A</v>
      </c>
    </row>
    <row r="4066">
      <c r="BX4066" t="e">
        <f>IF(OR(cMed=0,cMed2=0,4064&gt;nFilas),NA(),IF(AND(ISNUMBER(INDEX(rMed2,4064)),ISNUMBER(INDEX(rMed,4064))),INDEX(rMed2,4064),NA()))</f>
        <v>#N/A</v>
      </c>
      <c r="BY4066" t="e">
        <f>IF(OR(cMed=0,cMed2=0,4064&gt;nFilas),NA(),IF(AND(ISNUMBER(INDEX(rMed2,4064)),ISNUMBER(INDEX(rMed,4064))),INDEX(rMed,4064),NA()))</f>
        <v>#N/A</v>
      </c>
    </row>
    <row r="4067">
      <c r="BX4067" t="e">
        <f>IF(OR(cMed=0,cMed2=0,4065&gt;nFilas),NA(),IF(AND(ISNUMBER(INDEX(rMed2,4065)),ISNUMBER(INDEX(rMed,4065))),INDEX(rMed2,4065),NA()))</f>
        <v>#N/A</v>
      </c>
      <c r="BY4067" t="e">
        <f>IF(OR(cMed=0,cMed2=0,4065&gt;nFilas),NA(),IF(AND(ISNUMBER(INDEX(rMed2,4065)),ISNUMBER(INDEX(rMed,4065))),INDEX(rMed,4065),NA()))</f>
        <v>#N/A</v>
      </c>
    </row>
    <row r="4068">
      <c r="BX4068" t="e">
        <f>IF(OR(cMed=0,cMed2=0,4066&gt;nFilas),NA(),IF(AND(ISNUMBER(INDEX(rMed2,4066)),ISNUMBER(INDEX(rMed,4066))),INDEX(rMed2,4066),NA()))</f>
        <v>#N/A</v>
      </c>
      <c r="BY4068" t="e">
        <f>IF(OR(cMed=0,cMed2=0,4066&gt;nFilas),NA(),IF(AND(ISNUMBER(INDEX(rMed2,4066)),ISNUMBER(INDEX(rMed,4066))),INDEX(rMed,4066),NA()))</f>
        <v>#N/A</v>
      </c>
    </row>
    <row r="4069">
      <c r="BX4069" t="e">
        <f>IF(OR(cMed=0,cMed2=0,4067&gt;nFilas),NA(),IF(AND(ISNUMBER(INDEX(rMed2,4067)),ISNUMBER(INDEX(rMed,4067))),INDEX(rMed2,4067),NA()))</f>
        <v>#N/A</v>
      </c>
      <c r="BY4069" t="e">
        <f>IF(OR(cMed=0,cMed2=0,4067&gt;nFilas),NA(),IF(AND(ISNUMBER(INDEX(rMed2,4067)),ISNUMBER(INDEX(rMed,4067))),INDEX(rMed,4067),NA()))</f>
        <v>#N/A</v>
      </c>
    </row>
    <row r="4070">
      <c r="BX4070" t="e">
        <f>IF(OR(cMed=0,cMed2=0,4068&gt;nFilas),NA(),IF(AND(ISNUMBER(INDEX(rMed2,4068)),ISNUMBER(INDEX(rMed,4068))),INDEX(rMed2,4068),NA()))</f>
        <v>#N/A</v>
      </c>
      <c r="BY4070" t="e">
        <f>IF(OR(cMed=0,cMed2=0,4068&gt;nFilas),NA(),IF(AND(ISNUMBER(INDEX(rMed2,4068)),ISNUMBER(INDEX(rMed,4068))),INDEX(rMed,4068),NA()))</f>
        <v>#N/A</v>
      </c>
    </row>
    <row r="4071">
      <c r="BX4071" t="e">
        <f>IF(OR(cMed=0,cMed2=0,4069&gt;nFilas),NA(),IF(AND(ISNUMBER(INDEX(rMed2,4069)),ISNUMBER(INDEX(rMed,4069))),INDEX(rMed2,4069),NA()))</f>
        <v>#N/A</v>
      </c>
      <c r="BY4071" t="e">
        <f>IF(OR(cMed=0,cMed2=0,4069&gt;nFilas),NA(),IF(AND(ISNUMBER(INDEX(rMed2,4069)),ISNUMBER(INDEX(rMed,4069))),INDEX(rMed,4069),NA()))</f>
        <v>#N/A</v>
      </c>
    </row>
    <row r="4072">
      <c r="BX4072" t="e">
        <f>IF(OR(cMed=0,cMed2=0,4070&gt;nFilas),NA(),IF(AND(ISNUMBER(INDEX(rMed2,4070)),ISNUMBER(INDEX(rMed,4070))),INDEX(rMed2,4070),NA()))</f>
        <v>#N/A</v>
      </c>
      <c r="BY4072" t="e">
        <f>IF(OR(cMed=0,cMed2=0,4070&gt;nFilas),NA(),IF(AND(ISNUMBER(INDEX(rMed2,4070)),ISNUMBER(INDEX(rMed,4070))),INDEX(rMed,4070),NA()))</f>
        <v>#N/A</v>
      </c>
    </row>
    <row r="4073">
      <c r="BX4073" t="e">
        <f>IF(OR(cMed=0,cMed2=0,4071&gt;nFilas),NA(),IF(AND(ISNUMBER(INDEX(rMed2,4071)),ISNUMBER(INDEX(rMed,4071))),INDEX(rMed2,4071),NA()))</f>
        <v>#N/A</v>
      </c>
      <c r="BY4073" t="e">
        <f>IF(OR(cMed=0,cMed2=0,4071&gt;nFilas),NA(),IF(AND(ISNUMBER(INDEX(rMed2,4071)),ISNUMBER(INDEX(rMed,4071))),INDEX(rMed,4071),NA()))</f>
        <v>#N/A</v>
      </c>
    </row>
    <row r="4074">
      <c r="BX4074" t="e">
        <f>IF(OR(cMed=0,cMed2=0,4072&gt;nFilas),NA(),IF(AND(ISNUMBER(INDEX(rMed2,4072)),ISNUMBER(INDEX(rMed,4072))),INDEX(rMed2,4072),NA()))</f>
        <v>#N/A</v>
      </c>
      <c r="BY4074" t="e">
        <f>IF(OR(cMed=0,cMed2=0,4072&gt;nFilas),NA(),IF(AND(ISNUMBER(INDEX(rMed2,4072)),ISNUMBER(INDEX(rMed,4072))),INDEX(rMed,4072),NA()))</f>
        <v>#N/A</v>
      </c>
    </row>
    <row r="4075">
      <c r="BX4075" t="e">
        <f>IF(OR(cMed=0,cMed2=0,4073&gt;nFilas),NA(),IF(AND(ISNUMBER(INDEX(rMed2,4073)),ISNUMBER(INDEX(rMed,4073))),INDEX(rMed2,4073),NA()))</f>
        <v>#N/A</v>
      </c>
      <c r="BY4075" t="e">
        <f>IF(OR(cMed=0,cMed2=0,4073&gt;nFilas),NA(),IF(AND(ISNUMBER(INDEX(rMed2,4073)),ISNUMBER(INDEX(rMed,4073))),INDEX(rMed,4073),NA()))</f>
        <v>#N/A</v>
      </c>
    </row>
    <row r="4076">
      <c r="BX4076" t="e">
        <f>IF(OR(cMed=0,cMed2=0,4074&gt;nFilas),NA(),IF(AND(ISNUMBER(INDEX(rMed2,4074)),ISNUMBER(INDEX(rMed,4074))),INDEX(rMed2,4074),NA()))</f>
        <v>#N/A</v>
      </c>
      <c r="BY4076" t="e">
        <f>IF(OR(cMed=0,cMed2=0,4074&gt;nFilas),NA(),IF(AND(ISNUMBER(INDEX(rMed2,4074)),ISNUMBER(INDEX(rMed,4074))),INDEX(rMed,4074),NA()))</f>
        <v>#N/A</v>
      </c>
    </row>
    <row r="4077">
      <c r="BX4077" t="e">
        <f>IF(OR(cMed=0,cMed2=0,4075&gt;nFilas),NA(),IF(AND(ISNUMBER(INDEX(rMed2,4075)),ISNUMBER(INDEX(rMed,4075))),INDEX(rMed2,4075),NA()))</f>
        <v>#N/A</v>
      </c>
      <c r="BY4077" t="e">
        <f>IF(OR(cMed=0,cMed2=0,4075&gt;nFilas),NA(),IF(AND(ISNUMBER(INDEX(rMed2,4075)),ISNUMBER(INDEX(rMed,4075))),INDEX(rMed,4075),NA()))</f>
        <v>#N/A</v>
      </c>
    </row>
    <row r="4078">
      <c r="BX4078" t="e">
        <f>IF(OR(cMed=0,cMed2=0,4076&gt;nFilas),NA(),IF(AND(ISNUMBER(INDEX(rMed2,4076)),ISNUMBER(INDEX(rMed,4076))),INDEX(rMed2,4076),NA()))</f>
        <v>#N/A</v>
      </c>
      <c r="BY4078" t="e">
        <f>IF(OR(cMed=0,cMed2=0,4076&gt;nFilas),NA(),IF(AND(ISNUMBER(INDEX(rMed2,4076)),ISNUMBER(INDEX(rMed,4076))),INDEX(rMed,4076),NA()))</f>
        <v>#N/A</v>
      </c>
    </row>
    <row r="4079">
      <c r="BX4079" t="e">
        <f>IF(OR(cMed=0,cMed2=0,4077&gt;nFilas),NA(),IF(AND(ISNUMBER(INDEX(rMed2,4077)),ISNUMBER(INDEX(rMed,4077))),INDEX(rMed2,4077),NA()))</f>
        <v>#N/A</v>
      </c>
      <c r="BY4079" t="e">
        <f>IF(OR(cMed=0,cMed2=0,4077&gt;nFilas),NA(),IF(AND(ISNUMBER(INDEX(rMed2,4077)),ISNUMBER(INDEX(rMed,4077))),INDEX(rMed,4077),NA()))</f>
        <v>#N/A</v>
      </c>
    </row>
    <row r="4080">
      <c r="BX4080" t="e">
        <f>IF(OR(cMed=0,cMed2=0,4078&gt;nFilas),NA(),IF(AND(ISNUMBER(INDEX(rMed2,4078)),ISNUMBER(INDEX(rMed,4078))),INDEX(rMed2,4078),NA()))</f>
        <v>#N/A</v>
      </c>
      <c r="BY4080" t="e">
        <f>IF(OR(cMed=0,cMed2=0,4078&gt;nFilas),NA(),IF(AND(ISNUMBER(INDEX(rMed2,4078)),ISNUMBER(INDEX(rMed,4078))),INDEX(rMed,4078),NA()))</f>
        <v>#N/A</v>
      </c>
    </row>
    <row r="4081">
      <c r="BX4081" t="e">
        <f>IF(OR(cMed=0,cMed2=0,4079&gt;nFilas),NA(),IF(AND(ISNUMBER(INDEX(rMed2,4079)),ISNUMBER(INDEX(rMed,4079))),INDEX(rMed2,4079),NA()))</f>
        <v>#N/A</v>
      </c>
      <c r="BY4081" t="e">
        <f>IF(OR(cMed=0,cMed2=0,4079&gt;nFilas),NA(),IF(AND(ISNUMBER(INDEX(rMed2,4079)),ISNUMBER(INDEX(rMed,4079))),INDEX(rMed,4079),NA()))</f>
        <v>#N/A</v>
      </c>
    </row>
    <row r="4082">
      <c r="BX4082" t="e">
        <f>IF(OR(cMed=0,cMed2=0,4080&gt;nFilas),NA(),IF(AND(ISNUMBER(INDEX(rMed2,4080)),ISNUMBER(INDEX(rMed,4080))),INDEX(rMed2,4080),NA()))</f>
        <v>#N/A</v>
      </c>
      <c r="BY4082" t="e">
        <f>IF(OR(cMed=0,cMed2=0,4080&gt;nFilas),NA(),IF(AND(ISNUMBER(INDEX(rMed2,4080)),ISNUMBER(INDEX(rMed,4080))),INDEX(rMed,4080),NA()))</f>
        <v>#N/A</v>
      </c>
    </row>
    <row r="4083">
      <c r="BX4083" t="e">
        <f>IF(OR(cMed=0,cMed2=0,4081&gt;nFilas),NA(),IF(AND(ISNUMBER(INDEX(rMed2,4081)),ISNUMBER(INDEX(rMed,4081))),INDEX(rMed2,4081),NA()))</f>
        <v>#N/A</v>
      </c>
      <c r="BY4083" t="e">
        <f>IF(OR(cMed=0,cMed2=0,4081&gt;nFilas),NA(),IF(AND(ISNUMBER(INDEX(rMed2,4081)),ISNUMBER(INDEX(rMed,4081))),INDEX(rMed,4081),NA()))</f>
        <v>#N/A</v>
      </c>
    </row>
    <row r="4084">
      <c r="BX4084" t="e">
        <f>IF(OR(cMed=0,cMed2=0,4082&gt;nFilas),NA(),IF(AND(ISNUMBER(INDEX(rMed2,4082)),ISNUMBER(INDEX(rMed,4082))),INDEX(rMed2,4082),NA()))</f>
        <v>#N/A</v>
      </c>
      <c r="BY4084" t="e">
        <f>IF(OR(cMed=0,cMed2=0,4082&gt;nFilas),NA(),IF(AND(ISNUMBER(INDEX(rMed2,4082)),ISNUMBER(INDEX(rMed,4082))),INDEX(rMed,4082),NA()))</f>
        <v>#N/A</v>
      </c>
    </row>
    <row r="4085">
      <c r="BX4085" t="e">
        <f>IF(OR(cMed=0,cMed2=0,4083&gt;nFilas),NA(),IF(AND(ISNUMBER(INDEX(rMed2,4083)),ISNUMBER(INDEX(rMed,4083))),INDEX(rMed2,4083),NA()))</f>
        <v>#N/A</v>
      </c>
      <c r="BY4085" t="e">
        <f>IF(OR(cMed=0,cMed2=0,4083&gt;nFilas),NA(),IF(AND(ISNUMBER(INDEX(rMed2,4083)),ISNUMBER(INDEX(rMed,4083))),INDEX(rMed,4083),NA()))</f>
        <v>#N/A</v>
      </c>
    </row>
    <row r="4086">
      <c r="BX4086" t="e">
        <f>IF(OR(cMed=0,cMed2=0,4084&gt;nFilas),NA(),IF(AND(ISNUMBER(INDEX(rMed2,4084)),ISNUMBER(INDEX(rMed,4084))),INDEX(rMed2,4084),NA()))</f>
        <v>#N/A</v>
      </c>
      <c r="BY4086" t="e">
        <f>IF(OR(cMed=0,cMed2=0,4084&gt;nFilas),NA(),IF(AND(ISNUMBER(INDEX(rMed2,4084)),ISNUMBER(INDEX(rMed,4084))),INDEX(rMed,4084),NA()))</f>
        <v>#N/A</v>
      </c>
    </row>
    <row r="4087">
      <c r="BX4087" t="e">
        <f>IF(OR(cMed=0,cMed2=0,4085&gt;nFilas),NA(),IF(AND(ISNUMBER(INDEX(rMed2,4085)),ISNUMBER(INDEX(rMed,4085))),INDEX(rMed2,4085),NA()))</f>
        <v>#N/A</v>
      </c>
      <c r="BY4087" t="e">
        <f>IF(OR(cMed=0,cMed2=0,4085&gt;nFilas),NA(),IF(AND(ISNUMBER(INDEX(rMed2,4085)),ISNUMBER(INDEX(rMed,4085))),INDEX(rMed,4085),NA()))</f>
        <v>#N/A</v>
      </c>
    </row>
    <row r="4088">
      <c r="BX4088" t="e">
        <f>IF(OR(cMed=0,cMed2=0,4086&gt;nFilas),NA(),IF(AND(ISNUMBER(INDEX(rMed2,4086)),ISNUMBER(INDEX(rMed,4086))),INDEX(rMed2,4086),NA()))</f>
        <v>#N/A</v>
      </c>
      <c r="BY4088" t="e">
        <f>IF(OR(cMed=0,cMed2=0,4086&gt;nFilas),NA(),IF(AND(ISNUMBER(INDEX(rMed2,4086)),ISNUMBER(INDEX(rMed,4086))),INDEX(rMed,4086),NA()))</f>
        <v>#N/A</v>
      </c>
    </row>
    <row r="4089">
      <c r="BX4089" t="e">
        <f>IF(OR(cMed=0,cMed2=0,4087&gt;nFilas),NA(),IF(AND(ISNUMBER(INDEX(rMed2,4087)),ISNUMBER(INDEX(rMed,4087))),INDEX(rMed2,4087),NA()))</f>
        <v>#N/A</v>
      </c>
      <c r="BY4089" t="e">
        <f>IF(OR(cMed=0,cMed2=0,4087&gt;nFilas),NA(),IF(AND(ISNUMBER(INDEX(rMed2,4087)),ISNUMBER(INDEX(rMed,4087))),INDEX(rMed,4087),NA()))</f>
        <v>#N/A</v>
      </c>
    </row>
    <row r="4090">
      <c r="BX4090" t="e">
        <f>IF(OR(cMed=0,cMed2=0,4088&gt;nFilas),NA(),IF(AND(ISNUMBER(INDEX(rMed2,4088)),ISNUMBER(INDEX(rMed,4088))),INDEX(rMed2,4088),NA()))</f>
        <v>#N/A</v>
      </c>
      <c r="BY4090" t="e">
        <f>IF(OR(cMed=0,cMed2=0,4088&gt;nFilas),NA(),IF(AND(ISNUMBER(INDEX(rMed2,4088)),ISNUMBER(INDEX(rMed,4088))),INDEX(rMed,4088),NA()))</f>
        <v>#N/A</v>
      </c>
    </row>
    <row r="4091">
      <c r="BX4091" t="e">
        <f>IF(OR(cMed=0,cMed2=0,4089&gt;nFilas),NA(),IF(AND(ISNUMBER(INDEX(rMed2,4089)),ISNUMBER(INDEX(rMed,4089))),INDEX(rMed2,4089),NA()))</f>
        <v>#N/A</v>
      </c>
      <c r="BY4091" t="e">
        <f>IF(OR(cMed=0,cMed2=0,4089&gt;nFilas),NA(),IF(AND(ISNUMBER(INDEX(rMed2,4089)),ISNUMBER(INDEX(rMed,4089))),INDEX(rMed,4089),NA()))</f>
        <v>#N/A</v>
      </c>
    </row>
    <row r="4092">
      <c r="BX4092" t="e">
        <f>IF(OR(cMed=0,cMed2=0,4090&gt;nFilas),NA(),IF(AND(ISNUMBER(INDEX(rMed2,4090)),ISNUMBER(INDEX(rMed,4090))),INDEX(rMed2,4090),NA()))</f>
        <v>#N/A</v>
      </c>
      <c r="BY4092" t="e">
        <f>IF(OR(cMed=0,cMed2=0,4090&gt;nFilas),NA(),IF(AND(ISNUMBER(INDEX(rMed2,4090)),ISNUMBER(INDEX(rMed,4090))),INDEX(rMed,4090),NA()))</f>
        <v>#N/A</v>
      </c>
    </row>
    <row r="4093">
      <c r="BX4093" t="e">
        <f>IF(OR(cMed=0,cMed2=0,4091&gt;nFilas),NA(),IF(AND(ISNUMBER(INDEX(rMed2,4091)),ISNUMBER(INDEX(rMed,4091))),INDEX(rMed2,4091),NA()))</f>
        <v>#N/A</v>
      </c>
      <c r="BY4093" t="e">
        <f>IF(OR(cMed=0,cMed2=0,4091&gt;nFilas),NA(),IF(AND(ISNUMBER(INDEX(rMed2,4091)),ISNUMBER(INDEX(rMed,4091))),INDEX(rMed,4091),NA()))</f>
        <v>#N/A</v>
      </c>
    </row>
    <row r="4094">
      <c r="BX4094" t="e">
        <f>IF(OR(cMed=0,cMed2=0,4092&gt;nFilas),NA(),IF(AND(ISNUMBER(INDEX(rMed2,4092)),ISNUMBER(INDEX(rMed,4092))),INDEX(rMed2,4092),NA()))</f>
        <v>#N/A</v>
      </c>
      <c r="BY4094" t="e">
        <f>IF(OR(cMed=0,cMed2=0,4092&gt;nFilas),NA(),IF(AND(ISNUMBER(INDEX(rMed2,4092)),ISNUMBER(INDEX(rMed,4092))),INDEX(rMed,4092),NA()))</f>
        <v>#N/A</v>
      </c>
    </row>
    <row r="4095">
      <c r="BX4095" t="e">
        <f>IF(OR(cMed=0,cMed2=0,4093&gt;nFilas),NA(),IF(AND(ISNUMBER(INDEX(rMed2,4093)),ISNUMBER(INDEX(rMed,4093))),INDEX(rMed2,4093),NA()))</f>
        <v>#N/A</v>
      </c>
      <c r="BY4095" t="e">
        <f>IF(OR(cMed=0,cMed2=0,4093&gt;nFilas),NA(),IF(AND(ISNUMBER(INDEX(rMed2,4093)),ISNUMBER(INDEX(rMed,4093))),INDEX(rMed,4093),NA()))</f>
        <v>#N/A</v>
      </c>
    </row>
    <row r="4096">
      <c r="BX4096" t="e">
        <f>IF(OR(cMed=0,cMed2=0,4094&gt;nFilas),NA(),IF(AND(ISNUMBER(INDEX(rMed2,4094)),ISNUMBER(INDEX(rMed,4094))),INDEX(rMed2,4094),NA()))</f>
        <v>#N/A</v>
      </c>
      <c r="BY4096" t="e">
        <f>IF(OR(cMed=0,cMed2=0,4094&gt;nFilas),NA(),IF(AND(ISNUMBER(INDEX(rMed2,4094)),ISNUMBER(INDEX(rMed,4094))),INDEX(rMed,4094),NA()))</f>
        <v>#N/A</v>
      </c>
    </row>
    <row r="4097">
      <c r="BX4097" t="e">
        <f>IF(OR(cMed=0,cMed2=0,4095&gt;nFilas),NA(),IF(AND(ISNUMBER(INDEX(rMed2,4095)),ISNUMBER(INDEX(rMed,4095))),INDEX(rMed2,4095),NA()))</f>
        <v>#N/A</v>
      </c>
      <c r="BY4097" t="e">
        <f>IF(OR(cMed=0,cMed2=0,4095&gt;nFilas),NA(),IF(AND(ISNUMBER(INDEX(rMed2,4095)),ISNUMBER(INDEX(rMed,4095))),INDEX(rMed,4095),NA()))</f>
        <v>#N/A</v>
      </c>
    </row>
    <row r="4098">
      <c r="BX4098" t="e">
        <f>IF(OR(cMed=0,cMed2=0,4096&gt;nFilas),NA(),IF(AND(ISNUMBER(INDEX(rMed2,4096)),ISNUMBER(INDEX(rMed,4096))),INDEX(rMed2,4096),NA()))</f>
        <v>#N/A</v>
      </c>
      <c r="BY4098" t="e">
        <f>IF(OR(cMed=0,cMed2=0,4096&gt;nFilas),NA(),IF(AND(ISNUMBER(INDEX(rMed2,4096)),ISNUMBER(INDEX(rMed,4096))),INDEX(rMed,4096),NA()))</f>
        <v>#N/A</v>
      </c>
    </row>
    <row r="4099">
      <c r="BX4099" t="e">
        <f>IF(OR(cMed=0,cMed2=0,4097&gt;nFilas),NA(),IF(AND(ISNUMBER(INDEX(rMed2,4097)),ISNUMBER(INDEX(rMed,4097))),INDEX(rMed2,4097),NA()))</f>
        <v>#N/A</v>
      </c>
      <c r="BY4099" t="e">
        <f>IF(OR(cMed=0,cMed2=0,4097&gt;nFilas),NA(),IF(AND(ISNUMBER(INDEX(rMed2,4097)),ISNUMBER(INDEX(rMed,4097))),INDEX(rMed,4097),NA()))</f>
        <v>#N/A</v>
      </c>
    </row>
    <row r="4100">
      <c r="BX4100" t="e">
        <f>IF(OR(cMed=0,cMed2=0,4098&gt;nFilas),NA(),IF(AND(ISNUMBER(INDEX(rMed2,4098)),ISNUMBER(INDEX(rMed,4098))),INDEX(rMed2,4098),NA()))</f>
        <v>#N/A</v>
      </c>
      <c r="BY4100" t="e">
        <f>IF(OR(cMed=0,cMed2=0,4098&gt;nFilas),NA(),IF(AND(ISNUMBER(INDEX(rMed2,4098)),ISNUMBER(INDEX(rMed,4098))),INDEX(rMed,4098),NA()))</f>
        <v>#N/A</v>
      </c>
    </row>
    <row r="4101">
      <c r="BX4101" t="e">
        <f>IF(OR(cMed=0,cMed2=0,4099&gt;nFilas),NA(),IF(AND(ISNUMBER(INDEX(rMed2,4099)),ISNUMBER(INDEX(rMed,4099))),INDEX(rMed2,4099),NA()))</f>
        <v>#N/A</v>
      </c>
      <c r="BY4101" t="e">
        <f>IF(OR(cMed=0,cMed2=0,4099&gt;nFilas),NA(),IF(AND(ISNUMBER(INDEX(rMed2,4099)),ISNUMBER(INDEX(rMed,4099))),INDEX(rMed,4099),NA()))</f>
        <v>#N/A</v>
      </c>
    </row>
    <row r="4102">
      <c r="BX4102" t="e">
        <f>IF(OR(cMed=0,cMed2=0,4100&gt;nFilas),NA(),IF(AND(ISNUMBER(INDEX(rMed2,4100)),ISNUMBER(INDEX(rMed,4100))),INDEX(rMed2,4100),NA()))</f>
        <v>#N/A</v>
      </c>
      <c r="BY4102" t="e">
        <f>IF(OR(cMed=0,cMed2=0,4100&gt;nFilas),NA(),IF(AND(ISNUMBER(INDEX(rMed2,4100)),ISNUMBER(INDEX(rMed,4100))),INDEX(rMed,4100),NA()))</f>
        <v>#N/A</v>
      </c>
    </row>
    <row r="4103">
      <c r="BX4103" t="e">
        <f>IF(OR(cMed=0,cMed2=0,4101&gt;nFilas),NA(),IF(AND(ISNUMBER(INDEX(rMed2,4101)),ISNUMBER(INDEX(rMed,4101))),INDEX(rMed2,4101),NA()))</f>
        <v>#N/A</v>
      </c>
      <c r="BY4103" t="e">
        <f>IF(OR(cMed=0,cMed2=0,4101&gt;nFilas),NA(),IF(AND(ISNUMBER(INDEX(rMed2,4101)),ISNUMBER(INDEX(rMed,4101))),INDEX(rMed,4101),NA()))</f>
        <v>#N/A</v>
      </c>
    </row>
    <row r="4104">
      <c r="BX4104" t="e">
        <f>IF(OR(cMed=0,cMed2=0,4102&gt;nFilas),NA(),IF(AND(ISNUMBER(INDEX(rMed2,4102)),ISNUMBER(INDEX(rMed,4102))),INDEX(rMed2,4102),NA()))</f>
        <v>#N/A</v>
      </c>
      <c r="BY4104" t="e">
        <f>IF(OR(cMed=0,cMed2=0,4102&gt;nFilas),NA(),IF(AND(ISNUMBER(INDEX(rMed2,4102)),ISNUMBER(INDEX(rMed,4102))),INDEX(rMed,4102),NA()))</f>
        <v>#N/A</v>
      </c>
    </row>
    <row r="4105">
      <c r="BX4105" t="e">
        <f>IF(OR(cMed=0,cMed2=0,4103&gt;nFilas),NA(),IF(AND(ISNUMBER(INDEX(rMed2,4103)),ISNUMBER(INDEX(rMed,4103))),INDEX(rMed2,4103),NA()))</f>
        <v>#N/A</v>
      </c>
      <c r="BY4105" t="e">
        <f>IF(OR(cMed=0,cMed2=0,4103&gt;nFilas),NA(),IF(AND(ISNUMBER(INDEX(rMed2,4103)),ISNUMBER(INDEX(rMed,4103))),INDEX(rMed,4103),NA()))</f>
        <v>#N/A</v>
      </c>
    </row>
    <row r="4106">
      <c r="BX4106" t="e">
        <f>IF(OR(cMed=0,cMed2=0,4104&gt;nFilas),NA(),IF(AND(ISNUMBER(INDEX(rMed2,4104)),ISNUMBER(INDEX(rMed,4104))),INDEX(rMed2,4104),NA()))</f>
        <v>#N/A</v>
      </c>
      <c r="BY4106" t="e">
        <f>IF(OR(cMed=0,cMed2=0,4104&gt;nFilas),NA(),IF(AND(ISNUMBER(INDEX(rMed2,4104)),ISNUMBER(INDEX(rMed,4104))),INDEX(rMed,4104),NA()))</f>
        <v>#N/A</v>
      </c>
    </row>
    <row r="4107">
      <c r="BX4107" t="e">
        <f>IF(OR(cMed=0,cMed2=0,4105&gt;nFilas),NA(),IF(AND(ISNUMBER(INDEX(rMed2,4105)),ISNUMBER(INDEX(rMed,4105))),INDEX(rMed2,4105),NA()))</f>
        <v>#N/A</v>
      </c>
      <c r="BY4107" t="e">
        <f>IF(OR(cMed=0,cMed2=0,4105&gt;nFilas),NA(),IF(AND(ISNUMBER(INDEX(rMed2,4105)),ISNUMBER(INDEX(rMed,4105))),INDEX(rMed,4105),NA()))</f>
        <v>#N/A</v>
      </c>
    </row>
    <row r="4108">
      <c r="BX4108" t="e">
        <f>IF(OR(cMed=0,cMed2=0,4106&gt;nFilas),NA(),IF(AND(ISNUMBER(INDEX(rMed2,4106)),ISNUMBER(INDEX(rMed,4106))),INDEX(rMed2,4106),NA()))</f>
        <v>#N/A</v>
      </c>
      <c r="BY4108" t="e">
        <f>IF(OR(cMed=0,cMed2=0,4106&gt;nFilas),NA(),IF(AND(ISNUMBER(INDEX(rMed2,4106)),ISNUMBER(INDEX(rMed,4106))),INDEX(rMed,4106),NA()))</f>
        <v>#N/A</v>
      </c>
    </row>
    <row r="4109">
      <c r="BX4109" t="e">
        <f>IF(OR(cMed=0,cMed2=0,4107&gt;nFilas),NA(),IF(AND(ISNUMBER(INDEX(rMed2,4107)),ISNUMBER(INDEX(rMed,4107))),INDEX(rMed2,4107),NA()))</f>
        <v>#N/A</v>
      </c>
      <c r="BY4109" t="e">
        <f>IF(OR(cMed=0,cMed2=0,4107&gt;nFilas),NA(),IF(AND(ISNUMBER(INDEX(rMed2,4107)),ISNUMBER(INDEX(rMed,4107))),INDEX(rMed,4107),NA()))</f>
        <v>#N/A</v>
      </c>
    </row>
    <row r="4110">
      <c r="BX4110" t="e">
        <f>IF(OR(cMed=0,cMed2=0,4108&gt;nFilas),NA(),IF(AND(ISNUMBER(INDEX(rMed2,4108)),ISNUMBER(INDEX(rMed,4108))),INDEX(rMed2,4108),NA()))</f>
        <v>#N/A</v>
      </c>
      <c r="BY4110" t="e">
        <f>IF(OR(cMed=0,cMed2=0,4108&gt;nFilas),NA(),IF(AND(ISNUMBER(INDEX(rMed2,4108)),ISNUMBER(INDEX(rMed,4108))),INDEX(rMed,4108),NA()))</f>
        <v>#N/A</v>
      </c>
    </row>
    <row r="4111">
      <c r="BX4111" t="e">
        <f>IF(OR(cMed=0,cMed2=0,4109&gt;nFilas),NA(),IF(AND(ISNUMBER(INDEX(rMed2,4109)),ISNUMBER(INDEX(rMed,4109))),INDEX(rMed2,4109),NA()))</f>
        <v>#N/A</v>
      </c>
      <c r="BY4111" t="e">
        <f>IF(OR(cMed=0,cMed2=0,4109&gt;nFilas),NA(),IF(AND(ISNUMBER(INDEX(rMed2,4109)),ISNUMBER(INDEX(rMed,4109))),INDEX(rMed,4109),NA()))</f>
        <v>#N/A</v>
      </c>
    </row>
    <row r="4112">
      <c r="BX4112" t="e">
        <f>IF(OR(cMed=0,cMed2=0,4110&gt;nFilas),NA(),IF(AND(ISNUMBER(INDEX(rMed2,4110)),ISNUMBER(INDEX(rMed,4110))),INDEX(rMed2,4110),NA()))</f>
        <v>#N/A</v>
      </c>
      <c r="BY4112" t="e">
        <f>IF(OR(cMed=0,cMed2=0,4110&gt;nFilas),NA(),IF(AND(ISNUMBER(INDEX(rMed2,4110)),ISNUMBER(INDEX(rMed,4110))),INDEX(rMed,4110),NA()))</f>
        <v>#N/A</v>
      </c>
    </row>
    <row r="4113">
      <c r="BX4113" t="e">
        <f>IF(OR(cMed=0,cMed2=0,4111&gt;nFilas),NA(),IF(AND(ISNUMBER(INDEX(rMed2,4111)),ISNUMBER(INDEX(rMed,4111))),INDEX(rMed2,4111),NA()))</f>
        <v>#N/A</v>
      </c>
      <c r="BY4113" t="e">
        <f>IF(OR(cMed=0,cMed2=0,4111&gt;nFilas),NA(),IF(AND(ISNUMBER(INDEX(rMed2,4111)),ISNUMBER(INDEX(rMed,4111))),INDEX(rMed,4111),NA()))</f>
        <v>#N/A</v>
      </c>
    </row>
    <row r="4114">
      <c r="BX4114" t="e">
        <f>IF(OR(cMed=0,cMed2=0,4112&gt;nFilas),NA(),IF(AND(ISNUMBER(INDEX(rMed2,4112)),ISNUMBER(INDEX(rMed,4112))),INDEX(rMed2,4112),NA()))</f>
        <v>#N/A</v>
      </c>
      <c r="BY4114" t="e">
        <f>IF(OR(cMed=0,cMed2=0,4112&gt;nFilas),NA(),IF(AND(ISNUMBER(INDEX(rMed2,4112)),ISNUMBER(INDEX(rMed,4112))),INDEX(rMed,4112),NA()))</f>
        <v>#N/A</v>
      </c>
    </row>
    <row r="4115">
      <c r="BX4115" t="e">
        <f>IF(OR(cMed=0,cMed2=0,4113&gt;nFilas),NA(),IF(AND(ISNUMBER(INDEX(rMed2,4113)),ISNUMBER(INDEX(rMed,4113))),INDEX(rMed2,4113),NA()))</f>
        <v>#N/A</v>
      </c>
      <c r="BY4115" t="e">
        <f>IF(OR(cMed=0,cMed2=0,4113&gt;nFilas),NA(),IF(AND(ISNUMBER(INDEX(rMed2,4113)),ISNUMBER(INDEX(rMed,4113))),INDEX(rMed,4113),NA()))</f>
        <v>#N/A</v>
      </c>
    </row>
    <row r="4116">
      <c r="BX4116" t="e">
        <f>IF(OR(cMed=0,cMed2=0,4114&gt;nFilas),NA(),IF(AND(ISNUMBER(INDEX(rMed2,4114)),ISNUMBER(INDEX(rMed,4114))),INDEX(rMed2,4114),NA()))</f>
        <v>#N/A</v>
      </c>
      <c r="BY4116" t="e">
        <f>IF(OR(cMed=0,cMed2=0,4114&gt;nFilas),NA(),IF(AND(ISNUMBER(INDEX(rMed2,4114)),ISNUMBER(INDEX(rMed,4114))),INDEX(rMed,4114),NA()))</f>
        <v>#N/A</v>
      </c>
    </row>
    <row r="4117">
      <c r="BX4117" t="e">
        <f>IF(OR(cMed=0,cMed2=0,4115&gt;nFilas),NA(),IF(AND(ISNUMBER(INDEX(rMed2,4115)),ISNUMBER(INDEX(rMed,4115))),INDEX(rMed2,4115),NA()))</f>
        <v>#N/A</v>
      </c>
      <c r="BY4117" t="e">
        <f>IF(OR(cMed=0,cMed2=0,4115&gt;nFilas),NA(),IF(AND(ISNUMBER(INDEX(rMed2,4115)),ISNUMBER(INDEX(rMed,4115))),INDEX(rMed,4115),NA()))</f>
        <v>#N/A</v>
      </c>
    </row>
    <row r="4118">
      <c r="BX4118" t="e">
        <f>IF(OR(cMed=0,cMed2=0,4116&gt;nFilas),NA(),IF(AND(ISNUMBER(INDEX(rMed2,4116)),ISNUMBER(INDEX(rMed,4116))),INDEX(rMed2,4116),NA()))</f>
        <v>#N/A</v>
      </c>
      <c r="BY4118" t="e">
        <f>IF(OR(cMed=0,cMed2=0,4116&gt;nFilas),NA(),IF(AND(ISNUMBER(INDEX(rMed2,4116)),ISNUMBER(INDEX(rMed,4116))),INDEX(rMed,4116),NA()))</f>
        <v>#N/A</v>
      </c>
    </row>
    <row r="4119">
      <c r="BX4119" t="e">
        <f>IF(OR(cMed=0,cMed2=0,4117&gt;nFilas),NA(),IF(AND(ISNUMBER(INDEX(rMed2,4117)),ISNUMBER(INDEX(rMed,4117))),INDEX(rMed2,4117),NA()))</f>
        <v>#N/A</v>
      </c>
      <c r="BY4119" t="e">
        <f>IF(OR(cMed=0,cMed2=0,4117&gt;nFilas),NA(),IF(AND(ISNUMBER(INDEX(rMed2,4117)),ISNUMBER(INDEX(rMed,4117))),INDEX(rMed,4117),NA()))</f>
        <v>#N/A</v>
      </c>
    </row>
    <row r="4120">
      <c r="BX4120" t="e">
        <f>IF(OR(cMed=0,cMed2=0,4118&gt;nFilas),NA(),IF(AND(ISNUMBER(INDEX(rMed2,4118)),ISNUMBER(INDEX(rMed,4118))),INDEX(rMed2,4118),NA()))</f>
        <v>#N/A</v>
      </c>
      <c r="BY4120" t="e">
        <f>IF(OR(cMed=0,cMed2=0,4118&gt;nFilas),NA(),IF(AND(ISNUMBER(INDEX(rMed2,4118)),ISNUMBER(INDEX(rMed,4118))),INDEX(rMed,4118),NA()))</f>
        <v>#N/A</v>
      </c>
    </row>
    <row r="4121">
      <c r="BX4121" t="e">
        <f>IF(OR(cMed=0,cMed2=0,4119&gt;nFilas),NA(),IF(AND(ISNUMBER(INDEX(rMed2,4119)),ISNUMBER(INDEX(rMed,4119))),INDEX(rMed2,4119),NA()))</f>
        <v>#N/A</v>
      </c>
      <c r="BY4121" t="e">
        <f>IF(OR(cMed=0,cMed2=0,4119&gt;nFilas),NA(),IF(AND(ISNUMBER(INDEX(rMed2,4119)),ISNUMBER(INDEX(rMed,4119))),INDEX(rMed,4119),NA()))</f>
        <v>#N/A</v>
      </c>
    </row>
    <row r="4122">
      <c r="BX4122" t="e">
        <f>IF(OR(cMed=0,cMed2=0,4120&gt;nFilas),NA(),IF(AND(ISNUMBER(INDEX(rMed2,4120)),ISNUMBER(INDEX(rMed,4120))),INDEX(rMed2,4120),NA()))</f>
        <v>#N/A</v>
      </c>
      <c r="BY4122" t="e">
        <f>IF(OR(cMed=0,cMed2=0,4120&gt;nFilas),NA(),IF(AND(ISNUMBER(INDEX(rMed2,4120)),ISNUMBER(INDEX(rMed,4120))),INDEX(rMed,4120),NA()))</f>
        <v>#N/A</v>
      </c>
    </row>
    <row r="4123">
      <c r="BX4123" t="e">
        <f>IF(OR(cMed=0,cMed2=0,4121&gt;nFilas),NA(),IF(AND(ISNUMBER(INDEX(rMed2,4121)),ISNUMBER(INDEX(rMed,4121))),INDEX(rMed2,4121),NA()))</f>
        <v>#N/A</v>
      </c>
      <c r="BY4123" t="e">
        <f>IF(OR(cMed=0,cMed2=0,4121&gt;nFilas),NA(),IF(AND(ISNUMBER(INDEX(rMed2,4121)),ISNUMBER(INDEX(rMed,4121))),INDEX(rMed,4121),NA()))</f>
        <v>#N/A</v>
      </c>
    </row>
    <row r="4124">
      <c r="BX4124" t="e">
        <f>IF(OR(cMed=0,cMed2=0,4122&gt;nFilas),NA(),IF(AND(ISNUMBER(INDEX(rMed2,4122)),ISNUMBER(INDEX(rMed,4122))),INDEX(rMed2,4122),NA()))</f>
        <v>#N/A</v>
      </c>
      <c r="BY4124" t="e">
        <f>IF(OR(cMed=0,cMed2=0,4122&gt;nFilas),NA(),IF(AND(ISNUMBER(INDEX(rMed2,4122)),ISNUMBER(INDEX(rMed,4122))),INDEX(rMed,4122),NA()))</f>
        <v>#N/A</v>
      </c>
    </row>
    <row r="4125">
      <c r="BX4125" t="e">
        <f>IF(OR(cMed=0,cMed2=0,4123&gt;nFilas),NA(),IF(AND(ISNUMBER(INDEX(rMed2,4123)),ISNUMBER(INDEX(rMed,4123))),INDEX(rMed2,4123),NA()))</f>
        <v>#N/A</v>
      </c>
      <c r="BY4125" t="e">
        <f>IF(OR(cMed=0,cMed2=0,4123&gt;nFilas),NA(),IF(AND(ISNUMBER(INDEX(rMed2,4123)),ISNUMBER(INDEX(rMed,4123))),INDEX(rMed,4123),NA()))</f>
        <v>#N/A</v>
      </c>
    </row>
    <row r="4126">
      <c r="BX4126" t="e">
        <f>IF(OR(cMed=0,cMed2=0,4124&gt;nFilas),NA(),IF(AND(ISNUMBER(INDEX(rMed2,4124)),ISNUMBER(INDEX(rMed,4124))),INDEX(rMed2,4124),NA()))</f>
        <v>#N/A</v>
      </c>
      <c r="BY4126" t="e">
        <f>IF(OR(cMed=0,cMed2=0,4124&gt;nFilas),NA(),IF(AND(ISNUMBER(INDEX(rMed2,4124)),ISNUMBER(INDEX(rMed,4124))),INDEX(rMed,4124),NA()))</f>
        <v>#N/A</v>
      </c>
    </row>
    <row r="4127">
      <c r="BX4127" t="e">
        <f>IF(OR(cMed=0,cMed2=0,4125&gt;nFilas),NA(),IF(AND(ISNUMBER(INDEX(rMed2,4125)),ISNUMBER(INDEX(rMed,4125))),INDEX(rMed2,4125),NA()))</f>
        <v>#N/A</v>
      </c>
      <c r="BY4127" t="e">
        <f>IF(OR(cMed=0,cMed2=0,4125&gt;nFilas),NA(),IF(AND(ISNUMBER(INDEX(rMed2,4125)),ISNUMBER(INDEX(rMed,4125))),INDEX(rMed,4125),NA()))</f>
        <v>#N/A</v>
      </c>
    </row>
    <row r="4128">
      <c r="BX4128" t="e">
        <f>IF(OR(cMed=0,cMed2=0,4126&gt;nFilas),NA(),IF(AND(ISNUMBER(INDEX(rMed2,4126)),ISNUMBER(INDEX(rMed,4126))),INDEX(rMed2,4126),NA()))</f>
        <v>#N/A</v>
      </c>
      <c r="BY4128" t="e">
        <f>IF(OR(cMed=0,cMed2=0,4126&gt;nFilas),NA(),IF(AND(ISNUMBER(INDEX(rMed2,4126)),ISNUMBER(INDEX(rMed,4126))),INDEX(rMed,4126),NA()))</f>
        <v>#N/A</v>
      </c>
    </row>
    <row r="4129">
      <c r="BX4129" t="e">
        <f>IF(OR(cMed=0,cMed2=0,4127&gt;nFilas),NA(),IF(AND(ISNUMBER(INDEX(rMed2,4127)),ISNUMBER(INDEX(rMed,4127))),INDEX(rMed2,4127),NA()))</f>
        <v>#N/A</v>
      </c>
      <c r="BY4129" t="e">
        <f>IF(OR(cMed=0,cMed2=0,4127&gt;nFilas),NA(),IF(AND(ISNUMBER(INDEX(rMed2,4127)),ISNUMBER(INDEX(rMed,4127))),INDEX(rMed,4127),NA()))</f>
        <v>#N/A</v>
      </c>
    </row>
    <row r="4130">
      <c r="BX4130" t="e">
        <f>IF(OR(cMed=0,cMed2=0,4128&gt;nFilas),NA(),IF(AND(ISNUMBER(INDEX(rMed2,4128)),ISNUMBER(INDEX(rMed,4128))),INDEX(rMed2,4128),NA()))</f>
        <v>#N/A</v>
      </c>
      <c r="BY4130" t="e">
        <f>IF(OR(cMed=0,cMed2=0,4128&gt;nFilas),NA(),IF(AND(ISNUMBER(INDEX(rMed2,4128)),ISNUMBER(INDEX(rMed,4128))),INDEX(rMed,4128),NA()))</f>
        <v>#N/A</v>
      </c>
    </row>
    <row r="4131">
      <c r="BX4131" t="e">
        <f>IF(OR(cMed=0,cMed2=0,4129&gt;nFilas),NA(),IF(AND(ISNUMBER(INDEX(rMed2,4129)),ISNUMBER(INDEX(rMed,4129))),INDEX(rMed2,4129),NA()))</f>
        <v>#N/A</v>
      </c>
      <c r="BY4131" t="e">
        <f>IF(OR(cMed=0,cMed2=0,4129&gt;nFilas),NA(),IF(AND(ISNUMBER(INDEX(rMed2,4129)),ISNUMBER(INDEX(rMed,4129))),INDEX(rMed,4129),NA()))</f>
        <v>#N/A</v>
      </c>
    </row>
    <row r="4132">
      <c r="BX4132" t="e">
        <f>IF(OR(cMed=0,cMed2=0,4130&gt;nFilas),NA(),IF(AND(ISNUMBER(INDEX(rMed2,4130)),ISNUMBER(INDEX(rMed,4130))),INDEX(rMed2,4130),NA()))</f>
        <v>#N/A</v>
      </c>
      <c r="BY4132" t="e">
        <f>IF(OR(cMed=0,cMed2=0,4130&gt;nFilas),NA(),IF(AND(ISNUMBER(INDEX(rMed2,4130)),ISNUMBER(INDEX(rMed,4130))),INDEX(rMed,4130),NA()))</f>
        <v>#N/A</v>
      </c>
    </row>
    <row r="4133">
      <c r="BX4133" t="e">
        <f>IF(OR(cMed=0,cMed2=0,4131&gt;nFilas),NA(),IF(AND(ISNUMBER(INDEX(rMed2,4131)),ISNUMBER(INDEX(rMed,4131))),INDEX(rMed2,4131),NA()))</f>
        <v>#N/A</v>
      </c>
      <c r="BY4133" t="e">
        <f>IF(OR(cMed=0,cMed2=0,4131&gt;nFilas),NA(),IF(AND(ISNUMBER(INDEX(rMed2,4131)),ISNUMBER(INDEX(rMed,4131))),INDEX(rMed,4131),NA()))</f>
        <v>#N/A</v>
      </c>
    </row>
    <row r="4134">
      <c r="BX4134" t="e">
        <f>IF(OR(cMed=0,cMed2=0,4132&gt;nFilas),NA(),IF(AND(ISNUMBER(INDEX(rMed2,4132)),ISNUMBER(INDEX(rMed,4132))),INDEX(rMed2,4132),NA()))</f>
        <v>#N/A</v>
      </c>
      <c r="BY4134" t="e">
        <f>IF(OR(cMed=0,cMed2=0,4132&gt;nFilas),NA(),IF(AND(ISNUMBER(INDEX(rMed2,4132)),ISNUMBER(INDEX(rMed,4132))),INDEX(rMed,4132),NA()))</f>
        <v>#N/A</v>
      </c>
    </row>
    <row r="4135">
      <c r="BX4135" t="e">
        <f>IF(OR(cMed=0,cMed2=0,4133&gt;nFilas),NA(),IF(AND(ISNUMBER(INDEX(rMed2,4133)),ISNUMBER(INDEX(rMed,4133))),INDEX(rMed2,4133),NA()))</f>
        <v>#N/A</v>
      </c>
      <c r="BY4135" t="e">
        <f>IF(OR(cMed=0,cMed2=0,4133&gt;nFilas),NA(),IF(AND(ISNUMBER(INDEX(rMed2,4133)),ISNUMBER(INDEX(rMed,4133))),INDEX(rMed,4133),NA()))</f>
        <v>#N/A</v>
      </c>
    </row>
    <row r="4136">
      <c r="BX4136" t="e">
        <f>IF(OR(cMed=0,cMed2=0,4134&gt;nFilas),NA(),IF(AND(ISNUMBER(INDEX(rMed2,4134)),ISNUMBER(INDEX(rMed,4134))),INDEX(rMed2,4134),NA()))</f>
        <v>#N/A</v>
      </c>
      <c r="BY4136" t="e">
        <f>IF(OR(cMed=0,cMed2=0,4134&gt;nFilas),NA(),IF(AND(ISNUMBER(INDEX(rMed2,4134)),ISNUMBER(INDEX(rMed,4134))),INDEX(rMed,4134),NA()))</f>
        <v>#N/A</v>
      </c>
    </row>
    <row r="4137">
      <c r="BX4137" t="e">
        <f>IF(OR(cMed=0,cMed2=0,4135&gt;nFilas),NA(),IF(AND(ISNUMBER(INDEX(rMed2,4135)),ISNUMBER(INDEX(rMed,4135))),INDEX(rMed2,4135),NA()))</f>
        <v>#N/A</v>
      </c>
      <c r="BY4137" t="e">
        <f>IF(OR(cMed=0,cMed2=0,4135&gt;nFilas),NA(),IF(AND(ISNUMBER(INDEX(rMed2,4135)),ISNUMBER(INDEX(rMed,4135))),INDEX(rMed,4135),NA()))</f>
        <v>#N/A</v>
      </c>
    </row>
    <row r="4138">
      <c r="BX4138" t="e">
        <f>IF(OR(cMed=0,cMed2=0,4136&gt;nFilas),NA(),IF(AND(ISNUMBER(INDEX(rMed2,4136)),ISNUMBER(INDEX(rMed,4136))),INDEX(rMed2,4136),NA()))</f>
        <v>#N/A</v>
      </c>
      <c r="BY4138" t="e">
        <f>IF(OR(cMed=0,cMed2=0,4136&gt;nFilas),NA(),IF(AND(ISNUMBER(INDEX(rMed2,4136)),ISNUMBER(INDEX(rMed,4136))),INDEX(rMed,4136),NA()))</f>
        <v>#N/A</v>
      </c>
    </row>
    <row r="4139">
      <c r="BX4139" t="e">
        <f>IF(OR(cMed=0,cMed2=0,4137&gt;nFilas),NA(),IF(AND(ISNUMBER(INDEX(rMed2,4137)),ISNUMBER(INDEX(rMed,4137))),INDEX(rMed2,4137),NA()))</f>
        <v>#N/A</v>
      </c>
      <c r="BY4139" t="e">
        <f>IF(OR(cMed=0,cMed2=0,4137&gt;nFilas),NA(),IF(AND(ISNUMBER(INDEX(rMed2,4137)),ISNUMBER(INDEX(rMed,4137))),INDEX(rMed,4137),NA()))</f>
        <v>#N/A</v>
      </c>
    </row>
    <row r="4140">
      <c r="BX4140" t="e">
        <f>IF(OR(cMed=0,cMed2=0,4138&gt;nFilas),NA(),IF(AND(ISNUMBER(INDEX(rMed2,4138)),ISNUMBER(INDEX(rMed,4138))),INDEX(rMed2,4138),NA()))</f>
        <v>#N/A</v>
      </c>
      <c r="BY4140" t="e">
        <f>IF(OR(cMed=0,cMed2=0,4138&gt;nFilas),NA(),IF(AND(ISNUMBER(INDEX(rMed2,4138)),ISNUMBER(INDEX(rMed,4138))),INDEX(rMed,4138),NA()))</f>
        <v>#N/A</v>
      </c>
    </row>
    <row r="4141">
      <c r="BX4141" t="e">
        <f>IF(OR(cMed=0,cMed2=0,4139&gt;nFilas),NA(),IF(AND(ISNUMBER(INDEX(rMed2,4139)),ISNUMBER(INDEX(rMed,4139))),INDEX(rMed2,4139),NA()))</f>
        <v>#N/A</v>
      </c>
      <c r="BY4141" t="e">
        <f>IF(OR(cMed=0,cMed2=0,4139&gt;nFilas),NA(),IF(AND(ISNUMBER(INDEX(rMed2,4139)),ISNUMBER(INDEX(rMed,4139))),INDEX(rMed,4139),NA()))</f>
        <v>#N/A</v>
      </c>
    </row>
    <row r="4142">
      <c r="BX4142" t="e">
        <f>IF(OR(cMed=0,cMed2=0,4140&gt;nFilas),NA(),IF(AND(ISNUMBER(INDEX(rMed2,4140)),ISNUMBER(INDEX(rMed,4140))),INDEX(rMed2,4140),NA()))</f>
        <v>#N/A</v>
      </c>
      <c r="BY4142" t="e">
        <f>IF(OR(cMed=0,cMed2=0,4140&gt;nFilas),NA(),IF(AND(ISNUMBER(INDEX(rMed2,4140)),ISNUMBER(INDEX(rMed,4140))),INDEX(rMed,4140),NA()))</f>
        <v>#N/A</v>
      </c>
    </row>
    <row r="4143">
      <c r="BX4143" t="e">
        <f>IF(OR(cMed=0,cMed2=0,4141&gt;nFilas),NA(),IF(AND(ISNUMBER(INDEX(rMed2,4141)),ISNUMBER(INDEX(rMed,4141))),INDEX(rMed2,4141),NA()))</f>
        <v>#N/A</v>
      </c>
      <c r="BY4143" t="e">
        <f>IF(OR(cMed=0,cMed2=0,4141&gt;nFilas),NA(),IF(AND(ISNUMBER(INDEX(rMed2,4141)),ISNUMBER(INDEX(rMed,4141))),INDEX(rMed,4141),NA()))</f>
        <v>#N/A</v>
      </c>
    </row>
    <row r="4144">
      <c r="BX4144" t="e">
        <f>IF(OR(cMed=0,cMed2=0,4142&gt;nFilas),NA(),IF(AND(ISNUMBER(INDEX(rMed2,4142)),ISNUMBER(INDEX(rMed,4142))),INDEX(rMed2,4142),NA()))</f>
        <v>#N/A</v>
      </c>
      <c r="BY4144" t="e">
        <f>IF(OR(cMed=0,cMed2=0,4142&gt;nFilas),NA(),IF(AND(ISNUMBER(INDEX(rMed2,4142)),ISNUMBER(INDEX(rMed,4142))),INDEX(rMed,4142),NA()))</f>
        <v>#N/A</v>
      </c>
    </row>
    <row r="4145">
      <c r="BX4145" t="e">
        <f>IF(OR(cMed=0,cMed2=0,4143&gt;nFilas),NA(),IF(AND(ISNUMBER(INDEX(rMed2,4143)),ISNUMBER(INDEX(rMed,4143))),INDEX(rMed2,4143),NA()))</f>
        <v>#N/A</v>
      </c>
      <c r="BY4145" t="e">
        <f>IF(OR(cMed=0,cMed2=0,4143&gt;nFilas),NA(),IF(AND(ISNUMBER(INDEX(rMed2,4143)),ISNUMBER(INDEX(rMed,4143))),INDEX(rMed,4143),NA()))</f>
        <v>#N/A</v>
      </c>
    </row>
    <row r="4146">
      <c r="BX4146" t="e">
        <f>IF(OR(cMed=0,cMed2=0,4144&gt;nFilas),NA(),IF(AND(ISNUMBER(INDEX(rMed2,4144)),ISNUMBER(INDEX(rMed,4144))),INDEX(rMed2,4144),NA()))</f>
        <v>#N/A</v>
      </c>
      <c r="BY4146" t="e">
        <f>IF(OR(cMed=0,cMed2=0,4144&gt;nFilas),NA(),IF(AND(ISNUMBER(INDEX(rMed2,4144)),ISNUMBER(INDEX(rMed,4144))),INDEX(rMed,4144),NA()))</f>
        <v>#N/A</v>
      </c>
    </row>
    <row r="4147">
      <c r="BX4147" t="e">
        <f>IF(OR(cMed=0,cMed2=0,4145&gt;nFilas),NA(),IF(AND(ISNUMBER(INDEX(rMed2,4145)),ISNUMBER(INDEX(rMed,4145))),INDEX(rMed2,4145),NA()))</f>
        <v>#N/A</v>
      </c>
      <c r="BY4147" t="e">
        <f>IF(OR(cMed=0,cMed2=0,4145&gt;nFilas),NA(),IF(AND(ISNUMBER(INDEX(rMed2,4145)),ISNUMBER(INDEX(rMed,4145))),INDEX(rMed,4145),NA()))</f>
        <v>#N/A</v>
      </c>
    </row>
    <row r="4148">
      <c r="BX4148" t="e">
        <f>IF(OR(cMed=0,cMed2=0,4146&gt;nFilas),NA(),IF(AND(ISNUMBER(INDEX(rMed2,4146)),ISNUMBER(INDEX(rMed,4146))),INDEX(rMed2,4146),NA()))</f>
        <v>#N/A</v>
      </c>
      <c r="BY4148" t="e">
        <f>IF(OR(cMed=0,cMed2=0,4146&gt;nFilas),NA(),IF(AND(ISNUMBER(INDEX(rMed2,4146)),ISNUMBER(INDEX(rMed,4146))),INDEX(rMed,4146),NA()))</f>
        <v>#N/A</v>
      </c>
    </row>
    <row r="4149">
      <c r="BX4149" t="e">
        <f>IF(OR(cMed=0,cMed2=0,4147&gt;nFilas),NA(),IF(AND(ISNUMBER(INDEX(rMed2,4147)),ISNUMBER(INDEX(rMed,4147))),INDEX(rMed2,4147),NA()))</f>
        <v>#N/A</v>
      </c>
      <c r="BY4149" t="e">
        <f>IF(OR(cMed=0,cMed2=0,4147&gt;nFilas),NA(),IF(AND(ISNUMBER(INDEX(rMed2,4147)),ISNUMBER(INDEX(rMed,4147))),INDEX(rMed,4147),NA()))</f>
        <v>#N/A</v>
      </c>
    </row>
    <row r="4150">
      <c r="BX4150" t="e">
        <f>IF(OR(cMed=0,cMed2=0,4148&gt;nFilas),NA(),IF(AND(ISNUMBER(INDEX(rMed2,4148)),ISNUMBER(INDEX(rMed,4148))),INDEX(rMed2,4148),NA()))</f>
        <v>#N/A</v>
      </c>
      <c r="BY4150" t="e">
        <f>IF(OR(cMed=0,cMed2=0,4148&gt;nFilas),NA(),IF(AND(ISNUMBER(INDEX(rMed2,4148)),ISNUMBER(INDEX(rMed,4148))),INDEX(rMed,4148),NA()))</f>
        <v>#N/A</v>
      </c>
    </row>
    <row r="4151">
      <c r="BX4151" t="e">
        <f>IF(OR(cMed=0,cMed2=0,4149&gt;nFilas),NA(),IF(AND(ISNUMBER(INDEX(rMed2,4149)),ISNUMBER(INDEX(rMed,4149))),INDEX(rMed2,4149),NA()))</f>
        <v>#N/A</v>
      </c>
      <c r="BY4151" t="e">
        <f>IF(OR(cMed=0,cMed2=0,4149&gt;nFilas),NA(),IF(AND(ISNUMBER(INDEX(rMed2,4149)),ISNUMBER(INDEX(rMed,4149))),INDEX(rMed,4149),NA()))</f>
        <v>#N/A</v>
      </c>
    </row>
    <row r="4152">
      <c r="BX4152" t="e">
        <f>IF(OR(cMed=0,cMed2=0,4150&gt;nFilas),NA(),IF(AND(ISNUMBER(INDEX(rMed2,4150)),ISNUMBER(INDEX(rMed,4150))),INDEX(rMed2,4150),NA()))</f>
        <v>#N/A</v>
      </c>
      <c r="BY4152" t="e">
        <f>IF(OR(cMed=0,cMed2=0,4150&gt;nFilas),NA(),IF(AND(ISNUMBER(INDEX(rMed2,4150)),ISNUMBER(INDEX(rMed,4150))),INDEX(rMed,4150),NA()))</f>
        <v>#N/A</v>
      </c>
    </row>
    <row r="4153">
      <c r="BX4153" t="e">
        <f>IF(OR(cMed=0,cMed2=0,4151&gt;nFilas),NA(),IF(AND(ISNUMBER(INDEX(rMed2,4151)),ISNUMBER(INDEX(rMed,4151))),INDEX(rMed2,4151),NA()))</f>
        <v>#N/A</v>
      </c>
      <c r="BY4153" t="e">
        <f>IF(OR(cMed=0,cMed2=0,4151&gt;nFilas),NA(),IF(AND(ISNUMBER(INDEX(rMed2,4151)),ISNUMBER(INDEX(rMed,4151))),INDEX(rMed,4151),NA()))</f>
        <v>#N/A</v>
      </c>
    </row>
    <row r="4154">
      <c r="BX4154" t="e">
        <f>IF(OR(cMed=0,cMed2=0,4152&gt;nFilas),NA(),IF(AND(ISNUMBER(INDEX(rMed2,4152)),ISNUMBER(INDEX(rMed,4152))),INDEX(rMed2,4152),NA()))</f>
        <v>#N/A</v>
      </c>
      <c r="BY4154" t="e">
        <f>IF(OR(cMed=0,cMed2=0,4152&gt;nFilas),NA(),IF(AND(ISNUMBER(INDEX(rMed2,4152)),ISNUMBER(INDEX(rMed,4152))),INDEX(rMed,4152),NA()))</f>
        <v>#N/A</v>
      </c>
    </row>
    <row r="4155">
      <c r="BX4155" t="e">
        <f>IF(OR(cMed=0,cMed2=0,4153&gt;nFilas),NA(),IF(AND(ISNUMBER(INDEX(rMed2,4153)),ISNUMBER(INDEX(rMed,4153))),INDEX(rMed2,4153),NA()))</f>
        <v>#N/A</v>
      </c>
      <c r="BY4155" t="e">
        <f>IF(OR(cMed=0,cMed2=0,4153&gt;nFilas),NA(),IF(AND(ISNUMBER(INDEX(rMed2,4153)),ISNUMBER(INDEX(rMed,4153))),INDEX(rMed,4153),NA()))</f>
        <v>#N/A</v>
      </c>
    </row>
    <row r="4156">
      <c r="BX4156" t="e">
        <f>IF(OR(cMed=0,cMed2=0,4154&gt;nFilas),NA(),IF(AND(ISNUMBER(INDEX(rMed2,4154)),ISNUMBER(INDEX(rMed,4154))),INDEX(rMed2,4154),NA()))</f>
        <v>#N/A</v>
      </c>
      <c r="BY4156" t="e">
        <f>IF(OR(cMed=0,cMed2=0,4154&gt;nFilas),NA(),IF(AND(ISNUMBER(INDEX(rMed2,4154)),ISNUMBER(INDEX(rMed,4154))),INDEX(rMed,4154),NA()))</f>
        <v>#N/A</v>
      </c>
    </row>
    <row r="4157">
      <c r="BX4157" t="e">
        <f>IF(OR(cMed=0,cMed2=0,4155&gt;nFilas),NA(),IF(AND(ISNUMBER(INDEX(rMed2,4155)),ISNUMBER(INDEX(rMed,4155))),INDEX(rMed2,4155),NA()))</f>
        <v>#N/A</v>
      </c>
      <c r="BY4157" t="e">
        <f>IF(OR(cMed=0,cMed2=0,4155&gt;nFilas),NA(),IF(AND(ISNUMBER(INDEX(rMed2,4155)),ISNUMBER(INDEX(rMed,4155))),INDEX(rMed,4155),NA()))</f>
        <v>#N/A</v>
      </c>
    </row>
    <row r="4158">
      <c r="BX4158" t="e">
        <f>IF(OR(cMed=0,cMed2=0,4156&gt;nFilas),NA(),IF(AND(ISNUMBER(INDEX(rMed2,4156)),ISNUMBER(INDEX(rMed,4156))),INDEX(rMed2,4156),NA()))</f>
        <v>#N/A</v>
      </c>
      <c r="BY4158" t="e">
        <f>IF(OR(cMed=0,cMed2=0,4156&gt;nFilas),NA(),IF(AND(ISNUMBER(INDEX(rMed2,4156)),ISNUMBER(INDEX(rMed,4156))),INDEX(rMed,4156),NA()))</f>
        <v>#N/A</v>
      </c>
    </row>
    <row r="4159">
      <c r="BX4159" t="e">
        <f>IF(OR(cMed=0,cMed2=0,4157&gt;nFilas),NA(),IF(AND(ISNUMBER(INDEX(rMed2,4157)),ISNUMBER(INDEX(rMed,4157))),INDEX(rMed2,4157),NA()))</f>
        <v>#N/A</v>
      </c>
      <c r="BY4159" t="e">
        <f>IF(OR(cMed=0,cMed2=0,4157&gt;nFilas),NA(),IF(AND(ISNUMBER(INDEX(rMed2,4157)),ISNUMBER(INDEX(rMed,4157))),INDEX(rMed,4157),NA()))</f>
        <v>#N/A</v>
      </c>
    </row>
    <row r="4160">
      <c r="BX4160" t="e">
        <f>IF(OR(cMed=0,cMed2=0,4158&gt;nFilas),NA(),IF(AND(ISNUMBER(INDEX(rMed2,4158)),ISNUMBER(INDEX(rMed,4158))),INDEX(rMed2,4158),NA()))</f>
        <v>#N/A</v>
      </c>
      <c r="BY4160" t="e">
        <f>IF(OR(cMed=0,cMed2=0,4158&gt;nFilas),NA(),IF(AND(ISNUMBER(INDEX(rMed2,4158)),ISNUMBER(INDEX(rMed,4158))),INDEX(rMed,4158),NA()))</f>
        <v>#N/A</v>
      </c>
    </row>
    <row r="4161">
      <c r="BX4161" t="e">
        <f>IF(OR(cMed=0,cMed2=0,4159&gt;nFilas),NA(),IF(AND(ISNUMBER(INDEX(rMed2,4159)),ISNUMBER(INDEX(rMed,4159))),INDEX(rMed2,4159),NA()))</f>
        <v>#N/A</v>
      </c>
      <c r="BY4161" t="e">
        <f>IF(OR(cMed=0,cMed2=0,4159&gt;nFilas),NA(),IF(AND(ISNUMBER(INDEX(rMed2,4159)),ISNUMBER(INDEX(rMed,4159))),INDEX(rMed,4159),NA()))</f>
        <v>#N/A</v>
      </c>
    </row>
    <row r="4162">
      <c r="BX4162" t="e">
        <f>IF(OR(cMed=0,cMed2=0,4160&gt;nFilas),NA(),IF(AND(ISNUMBER(INDEX(rMed2,4160)),ISNUMBER(INDEX(rMed,4160))),INDEX(rMed2,4160),NA()))</f>
        <v>#N/A</v>
      </c>
      <c r="BY4162" t="e">
        <f>IF(OR(cMed=0,cMed2=0,4160&gt;nFilas),NA(),IF(AND(ISNUMBER(INDEX(rMed2,4160)),ISNUMBER(INDEX(rMed,4160))),INDEX(rMed,4160),NA()))</f>
        <v>#N/A</v>
      </c>
    </row>
    <row r="4163">
      <c r="BX4163" t="e">
        <f>IF(OR(cMed=0,cMed2=0,4161&gt;nFilas),NA(),IF(AND(ISNUMBER(INDEX(rMed2,4161)),ISNUMBER(INDEX(rMed,4161))),INDEX(rMed2,4161),NA()))</f>
        <v>#N/A</v>
      </c>
      <c r="BY4163" t="e">
        <f>IF(OR(cMed=0,cMed2=0,4161&gt;nFilas),NA(),IF(AND(ISNUMBER(INDEX(rMed2,4161)),ISNUMBER(INDEX(rMed,4161))),INDEX(rMed,4161),NA()))</f>
        <v>#N/A</v>
      </c>
    </row>
    <row r="4164">
      <c r="BX4164" t="e">
        <f>IF(OR(cMed=0,cMed2=0,4162&gt;nFilas),NA(),IF(AND(ISNUMBER(INDEX(rMed2,4162)),ISNUMBER(INDEX(rMed,4162))),INDEX(rMed2,4162),NA()))</f>
        <v>#N/A</v>
      </c>
      <c r="BY4164" t="e">
        <f>IF(OR(cMed=0,cMed2=0,4162&gt;nFilas),NA(),IF(AND(ISNUMBER(INDEX(rMed2,4162)),ISNUMBER(INDEX(rMed,4162))),INDEX(rMed,4162),NA()))</f>
        <v>#N/A</v>
      </c>
    </row>
    <row r="4165">
      <c r="BX4165" t="e">
        <f>IF(OR(cMed=0,cMed2=0,4163&gt;nFilas),NA(),IF(AND(ISNUMBER(INDEX(rMed2,4163)),ISNUMBER(INDEX(rMed,4163))),INDEX(rMed2,4163),NA()))</f>
        <v>#N/A</v>
      </c>
      <c r="BY4165" t="e">
        <f>IF(OR(cMed=0,cMed2=0,4163&gt;nFilas),NA(),IF(AND(ISNUMBER(INDEX(rMed2,4163)),ISNUMBER(INDEX(rMed,4163))),INDEX(rMed,4163),NA()))</f>
        <v>#N/A</v>
      </c>
    </row>
    <row r="4166">
      <c r="BX4166" t="e">
        <f>IF(OR(cMed=0,cMed2=0,4164&gt;nFilas),NA(),IF(AND(ISNUMBER(INDEX(rMed2,4164)),ISNUMBER(INDEX(rMed,4164))),INDEX(rMed2,4164),NA()))</f>
        <v>#N/A</v>
      </c>
      <c r="BY4166" t="e">
        <f>IF(OR(cMed=0,cMed2=0,4164&gt;nFilas),NA(),IF(AND(ISNUMBER(INDEX(rMed2,4164)),ISNUMBER(INDEX(rMed,4164))),INDEX(rMed,4164),NA()))</f>
        <v>#N/A</v>
      </c>
    </row>
    <row r="4167">
      <c r="BX4167" t="e">
        <f>IF(OR(cMed=0,cMed2=0,4165&gt;nFilas),NA(),IF(AND(ISNUMBER(INDEX(rMed2,4165)),ISNUMBER(INDEX(rMed,4165))),INDEX(rMed2,4165),NA()))</f>
        <v>#N/A</v>
      </c>
      <c r="BY4167" t="e">
        <f>IF(OR(cMed=0,cMed2=0,4165&gt;nFilas),NA(),IF(AND(ISNUMBER(INDEX(rMed2,4165)),ISNUMBER(INDEX(rMed,4165))),INDEX(rMed,4165),NA()))</f>
        <v>#N/A</v>
      </c>
    </row>
    <row r="4168">
      <c r="BX4168" t="e">
        <f>IF(OR(cMed=0,cMed2=0,4166&gt;nFilas),NA(),IF(AND(ISNUMBER(INDEX(rMed2,4166)),ISNUMBER(INDEX(rMed,4166))),INDEX(rMed2,4166),NA()))</f>
        <v>#N/A</v>
      </c>
      <c r="BY4168" t="e">
        <f>IF(OR(cMed=0,cMed2=0,4166&gt;nFilas),NA(),IF(AND(ISNUMBER(INDEX(rMed2,4166)),ISNUMBER(INDEX(rMed,4166))),INDEX(rMed,4166),NA()))</f>
        <v>#N/A</v>
      </c>
    </row>
    <row r="4169">
      <c r="BX4169" t="e">
        <f>IF(OR(cMed=0,cMed2=0,4167&gt;nFilas),NA(),IF(AND(ISNUMBER(INDEX(rMed2,4167)),ISNUMBER(INDEX(rMed,4167))),INDEX(rMed2,4167),NA()))</f>
        <v>#N/A</v>
      </c>
      <c r="BY4169" t="e">
        <f>IF(OR(cMed=0,cMed2=0,4167&gt;nFilas),NA(),IF(AND(ISNUMBER(INDEX(rMed2,4167)),ISNUMBER(INDEX(rMed,4167))),INDEX(rMed,4167),NA()))</f>
        <v>#N/A</v>
      </c>
    </row>
    <row r="4170">
      <c r="BX4170" t="e">
        <f>IF(OR(cMed=0,cMed2=0,4168&gt;nFilas),NA(),IF(AND(ISNUMBER(INDEX(rMed2,4168)),ISNUMBER(INDEX(rMed,4168))),INDEX(rMed2,4168),NA()))</f>
        <v>#N/A</v>
      </c>
      <c r="BY4170" t="e">
        <f>IF(OR(cMed=0,cMed2=0,4168&gt;nFilas),NA(),IF(AND(ISNUMBER(INDEX(rMed2,4168)),ISNUMBER(INDEX(rMed,4168))),INDEX(rMed,4168),NA()))</f>
        <v>#N/A</v>
      </c>
    </row>
    <row r="4171">
      <c r="BX4171" t="e">
        <f>IF(OR(cMed=0,cMed2=0,4169&gt;nFilas),NA(),IF(AND(ISNUMBER(INDEX(rMed2,4169)),ISNUMBER(INDEX(rMed,4169))),INDEX(rMed2,4169),NA()))</f>
        <v>#N/A</v>
      </c>
      <c r="BY4171" t="e">
        <f>IF(OR(cMed=0,cMed2=0,4169&gt;nFilas),NA(),IF(AND(ISNUMBER(INDEX(rMed2,4169)),ISNUMBER(INDEX(rMed,4169))),INDEX(rMed,4169),NA()))</f>
        <v>#N/A</v>
      </c>
    </row>
    <row r="4172">
      <c r="BX4172" t="e">
        <f>IF(OR(cMed=0,cMed2=0,4170&gt;nFilas),NA(),IF(AND(ISNUMBER(INDEX(rMed2,4170)),ISNUMBER(INDEX(rMed,4170))),INDEX(rMed2,4170),NA()))</f>
        <v>#N/A</v>
      </c>
      <c r="BY4172" t="e">
        <f>IF(OR(cMed=0,cMed2=0,4170&gt;nFilas),NA(),IF(AND(ISNUMBER(INDEX(rMed2,4170)),ISNUMBER(INDEX(rMed,4170))),INDEX(rMed,4170),NA()))</f>
        <v>#N/A</v>
      </c>
    </row>
    <row r="4173">
      <c r="BX4173" t="e">
        <f>IF(OR(cMed=0,cMed2=0,4171&gt;nFilas),NA(),IF(AND(ISNUMBER(INDEX(rMed2,4171)),ISNUMBER(INDEX(rMed,4171))),INDEX(rMed2,4171),NA()))</f>
        <v>#N/A</v>
      </c>
      <c r="BY4173" t="e">
        <f>IF(OR(cMed=0,cMed2=0,4171&gt;nFilas),NA(),IF(AND(ISNUMBER(INDEX(rMed2,4171)),ISNUMBER(INDEX(rMed,4171))),INDEX(rMed,4171),NA()))</f>
        <v>#N/A</v>
      </c>
    </row>
    <row r="4174">
      <c r="BX4174" t="e">
        <f>IF(OR(cMed=0,cMed2=0,4172&gt;nFilas),NA(),IF(AND(ISNUMBER(INDEX(rMed2,4172)),ISNUMBER(INDEX(rMed,4172))),INDEX(rMed2,4172),NA()))</f>
        <v>#N/A</v>
      </c>
      <c r="BY4174" t="e">
        <f>IF(OR(cMed=0,cMed2=0,4172&gt;nFilas),NA(),IF(AND(ISNUMBER(INDEX(rMed2,4172)),ISNUMBER(INDEX(rMed,4172))),INDEX(rMed,4172),NA()))</f>
        <v>#N/A</v>
      </c>
    </row>
    <row r="4175">
      <c r="BX4175" t="e">
        <f>IF(OR(cMed=0,cMed2=0,4173&gt;nFilas),NA(),IF(AND(ISNUMBER(INDEX(rMed2,4173)),ISNUMBER(INDEX(rMed,4173))),INDEX(rMed2,4173),NA()))</f>
        <v>#N/A</v>
      </c>
      <c r="BY4175" t="e">
        <f>IF(OR(cMed=0,cMed2=0,4173&gt;nFilas),NA(),IF(AND(ISNUMBER(INDEX(rMed2,4173)),ISNUMBER(INDEX(rMed,4173))),INDEX(rMed,4173),NA()))</f>
        <v>#N/A</v>
      </c>
    </row>
    <row r="4176">
      <c r="BX4176" t="e">
        <f>IF(OR(cMed=0,cMed2=0,4174&gt;nFilas),NA(),IF(AND(ISNUMBER(INDEX(rMed2,4174)),ISNUMBER(INDEX(rMed,4174))),INDEX(rMed2,4174),NA()))</f>
        <v>#N/A</v>
      </c>
      <c r="BY4176" t="e">
        <f>IF(OR(cMed=0,cMed2=0,4174&gt;nFilas),NA(),IF(AND(ISNUMBER(INDEX(rMed2,4174)),ISNUMBER(INDEX(rMed,4174))),INDEX(rMed,4174),NA()))</f>
        <v>#N/A</v>
      </c>
    </row>
    <row r="4177">
      <c r="BX4177" t="e">
        <f>IF(OR(cMed=0,cMed2=0,4175&gt;nFilas),NA(),IF(AND(ISNUMBER(INDEX(rMed2,4175)),ISNUMBER(INDEX(rMed,4175))),INDEX(rMed2,4175),NA()))</f>
        <v>#N/A</v>
      </c>
      <c r="BY4177" t="e">
        <f>IF(OR(cMed=0,cMed2=0,4175&gt;nFilas),NA(),IF(AND(ISNUMBER(INDEX(rMed2,4175)),ISNUMBER(INDEX(rMed,4175))),INDEX(rMed,4175),NA()))</f>
        <v>#N/A</v>
      </c>
    </row>
    <row r="4178">
      <c r="BX4178" t="e">
        <f>IF(OR(cMed=0,cMed2=0,4176&gt;nFilas),NA(),IF(AND(ISNUMBER(INDEX(rMed2,4176)),ISNUMBER(INDEX(rMed,4176))),INDEX(rMed2,4176),NA()))</f>
        <v>#N/A</v>
      </c>
      <c r="BY4178" t="e">
        <f>IF(OR(cMed=0,cMed2=0,4176&gt;nFilas),NA(),IF(AND(ISNUMBER(INDEX(rMed2,4176)),ISNUMBER(INDEX(rMed,4176))),INDEX(rMed,4176),NA()))</f>
        <v>#N/A</v>
      </c>
    </row>
    <row r="4179">
      <c r="BX4179" t="e">
        <f>IF(OR(cMed=0,cMed2=0,4177&gt;nFilas),NA(),IF(AND(ISNUMBER(INDEX(rMed2,4177)),ISNUMBER(INDEX(rMed,4177))),INDEX(rMed2,4177),NA()))</f>
        <v>#N/A</v>
      </c>
      <c r="BY4179" t="e">
        <f>IF(OR(cMed=0,cMed2=0,4177&gt;nFilas),NA(),IF(AND(ISNUMBER(INDEX(rMed2,4177)),ISNUMBER(INDEX(rMed,4177))),INDEX(rMed,4177),NA()))</f>
        <v>#N/A</v>
      </c>
    </row>
    <row r="4180">
      <c r="BX4180" t="e">
        <f>IF(OR(cMed=0,cMed2=0,4178&gt;nFilas),NA(),IF(AND(ISNUMBER(INDEX(rMed2,4178)),ISNUMBER(INDEX(rMed,4178))),INDEX(rMed2,4178),NA()))</f>
        <v>#N/A</v>
      </c>
      <c r="BY4180" t="e">
        <f>IF(OR(cMed=0,cMed2=0,4178&gt;nFilas),NA(),IF(AND(ISNUMBER(INDEX(rMed2,4178)),ISNUMBER(INDEX(rMed,4178))),INDEX(rMed,4178),NA()))</f>
        <v>#N/A</v>
      </c>
    </row>
    <row r="4181">
      <c r="BX4181" t="e">
        <f>IF(OR(cMed=0,cMed2=0,4179&gt;nFilas),NA(),IF(AND(ISNUMBER(INDEX(rMed2,4179)),ISNUMBER(INDEX(rMed,4179))),INDEX(rMed2,4179),NA()))</f>
        <v>#N/A</v>
      </c>
      <c r="BY4181" t="e">
        <f>IF(OR(cMed=0,cMed2=0,4179&gt;nFilas),NA(),IF(AND(ISNUMBER(INDEX(rMed2,4179)),ISNUMBER(INDEX(rMed,4179))),INDEX(rMed,4179),NA()))</f>
        <v>#N/A</v>
      </c>
    </row>
    <row r="4182">
      <c r="BX4182" t="e">
        <f>IF(OR(cMed=0,cMed2=0,4180&gt;nFilas),NA(),IF(AND(ISNUMBER(INDEX(rMed2,4180)),ISNUMBER(INDEX(rMed,4180))),INDEX(rMed2,4180),NA()))</f>
        <v>#N/A</v>
      </c>
      <c r="BY4182" t="e">
        <f>IF(OR(cMed=0,cMed2=0,4180&gt;nFilas),NA(),IF(AND(ISNUMBER(INDEX(rMed2,4180)),ISNUMBER(INDEX(rMed,4180))),INDEX(rMed,4180),NA()))</f>
        <v>#N/A</v>
      </c>
    </row>
    <row r="4183">
      <c r="BX4183" t="e">
        <f>IF(OR(cMed=0,cMed2=0,4181&gt;nFilas),NA(),IF(AND(ISNUMBER(INDEX(rMed2,4181)),ISNUMBER(INDEX(rMed,4181))),INDEX(rMed2,4181),NA()))</f>
        <v>#N/A</v>
      </c>
      <c r="BY4183" t="e">
        <f>IF(OR(cMed=0,cMed2=0,4181&gt;nFilas),NA(),IF(AND(ISNUMBER(INDEX(rMed2,4181)),ISNUMBER(INDEX(rMed,4181))),INDEX(rMed,4181),NA()))</f>
        <v>#N/A</v>
      </c>
    </row>
    <row r="4184">
      <c r="BX4184" t="e">
        <f>IF(OR(cMed=0,cMed2=0,4182&gt;nFilas),NA(),IF(AND(ISNUMBER(INDEX(rMed2,4182)),ISNUMBER(INDEX(rMed,4182))),INDEX(rMed2,4182),NA()))</f>
        <v>#N/A</v>
      </c>
      <c r="BY4184" t="e">
        <f>IF(OR(cMed=0,cMed2=0,4182&gt;nFilas),NA(),IF(AND(ISNUMBER(INDEX(rMed2,4182)),ISNUMBER(INDEX(rMed,4182))),INDEX(rMed,4182),NA()))</f>
        <v>#N/A</v>
      </c>
    </row>
    <row r="4185">
      <c r="BX4185" t="e">
        <f>IF(OR(cMed=0,cMed2=0,4183&gt;nFilas),NA(),IF(AND(ISNUMBER(INDEX(rMed2,4183)),ISNUMBER(INDEX(rMed,4183))),INDEX(rMed2,4183),NA()))</f>
        <v>#N/A</v>
      </c>
      <c r="BY4185" t="e">
        <f>IF(OR(cMed=0,cMed2=0,4183&gt;nFilas),NA(),IF(AND(ISNUMBER(INDEX(rMed2,4183)),ISNUMBER(INDEX(rMed,4183))),INDEX(rMed,4183),NA()))</f>
        <v>#N/A</v>
      </c>
    </row>
    <row r="4186">
      <c r="BX4186" t="e">
        <f>IF(OR(cMed=0,cMed2=0,4184&gt;nFilas),NA(),IF(AND(ISNUMBER(INDEX(rMed2,4184)),ISNUMBER(INDEX(rMed,4184))),INDEX(rMed2,4184),NA()))</f>
        <v>#N/A</v>
      </c>
      <c r="BY4186" t="e">
        <f>IF(OR(cMed=0,cMed2=0,4184&gt;nFilas),NA(),IF(AND(ISNUMBER(INDEX(rMed2,4184)),ISNUMBER(INDEX(rMed,4184))),INDEX(rMed,4184),NA()))</f>
        <v>#N/A</v>
      </c>
    </row>
    <row r="4187">
      <c r="BX4187" t="e">
        <f>IF(OR(cMed=0,cMed2=0,4185&gt;nFilas),NA(),IF(AND(ISNUMBER(INDEX(rMed2,4185)),ISNUMBER(INDEX(rMed,4185))),INDEX(rMed2,4185),NA()))</f>
        <v>#N/A</v>
      </c>
      <c r="BY4187" t="e">
        <f>IF(OR(cMed=0,cMed2=0,4185&gt;nFilas),NA(),IF(AND(ISNUMBER(INDEX(rMed2,4185)),ISNUMBER(INDEX(rMed,4185))),INDEX(rMed,4185),NA()))</f>
        <v>#N/A</v>
      </c>
    </row>
    <row r="4188">
      <c r="BX4188" t="e">
        <f>IF(OR(cMed=0,cMed2=0,4186&gt;nFilas),NA(),IF(AND(ISNUMBER(INDEX(rMed2,4186)),ISNUMBER(INDEX(rMed,4186))),INDEX(rMed2,4186),NA()))</f>
        <v>#N/A</v>
      </c>
      <c r="BY4188" t="e">
        <f>IF(OR(cMed=0,cMed2=0,4186&gt;nFilas),NA(),IF(AND(ISNUMBER(INDEX(rMed2,4186)),ISNUMBER(INDEX(rMed,4186))),INDEX(rMed,4186),NA()))</f>
        <v>#N/A</v>
      </c>
    </row>
    <row r="4189">
      <c r="BX4189" t="e">
        <f>IF(OR(cMed=0,cMed2=0,4187&gt;nFilas),NA(),IF(AND(ISNUMBER(INDEX(rMed2,4187)),ISNUMBER(INDEX(rMed,4187))),INDEX(rMed2,4187),NA()))</f>
        <v>#N/A</v>
      </c>
      <c r="BY4189" t="e">
        <f>IF(OR(cMed=0,cMed2=0,4187&gt;nFilas),NA(),IF(AND(ISNUMBER(INDEX(rMed2,4187)),ISNUMBER(INDEX(rMed,4187))),INDEX(rMed,4187),NA()))</f>
        <v>#N/A</v>
      </c>
    </row>
    <row r="4190">
      <c r="BX4190" t="e">
        <f>IF(OR(cMed=0,cMed2=0,4188&gt;nFilas),NA(),IF(AND(ISNUMBER(INDEX(rMed2,4188)),ISNUMBER(INDEX(rMed,4188))),INDEX(rMed2,4188),NA()))</f>
        <v>#N/A</v>
      </c>
      <c r="BY4190" t="e">
        <f>IF(OR(cMed=0,cMed2=0,4188&gt;nFilas),NA(),IF(AND(ISNUMBER(INDEX(rMed2,4188)),ISNUMBER(INDEX(rMed,4188))),INDEX(rMed,4188),NA()))</f>
        <v>#N/A</v>
      </c>
    </row>
    <row r="4191">
      <c r="BX4191" t="e">
        <f>IF(OR(cMed=0,cMed2=0,4189&gt;nFilas),NA(),IF(AND(ISNUMBER(INDEX(rMed2,4189)),ISNUMBER(INDEX(rMed,4189))),INDEX(rMed2,4189),NA()))</f>
        <v>#N/A</v>
      </c>
      <c r="BY4191" t="e">
        <f>IF(OR(cMed=0,cMed2=0,4189&gt;nFilas),NA(),IF(AND(ISNUMBER(INDEX(rMed2,4189)),ISNUMBER(INDEX(rMed,4189))),INDEX(rMed,4189),NA()))</f>
        <v>#N/A</v>
      </c>
    </row>
    <row r="4192">
      <c r="BX4192" t="e">
        <f>IF(OR(cMed=0,cMed2=0,4190&gt;nFilas),NA(),IF(AND(ISNUMBER(INDEX(rMed2,4190)),ISNUMBER(INDEX(rMed,4190))),INDEX(rMed2,4190),NA()))</f>
        <v>#N/A</v>
      </c>
      <c r="BY4192" t="e">
        <f>IF(OR(cMed=0,cMed2=0,4190&gt;nFilas),NA(),IF(AND(ISNUMBER(INDEX(rMed2,4190)),ISNUMBER(INDEX(rMed,4190))),INDEX(rMed,4190),NA()))</f>
        <v>#N/A</v>
      </c>
    </row>
    <row r="4193">
      <c r="BX4193" t="e">
        <f>IF(OR(cMed=0,cMed2=0,4191&gt;nFilas),NA(),IF(AND(ISNUMBER(INDEX(rMed2,4191)),ISNUMBER(INDEX(rMed,4191))),INDEX(rMed2,4191),NA()))</f>
        <v>#N/A</v>
      </c>
      <c r="BY4193" t="e">
        <f>IF(OR(cMed=0,cMed2=0,4191&gt;nFilas),NA(),IF(AND(ISNUMBER(INDEX(rMed2,4191)),ISNUMBER(INDEX(rMed,4191))),INDEX(rMed,4191),NA()))</f>
        <v>#N/A</v>
      </c>
    </row>
    <row r="4194">
      <c r="BX4194" t="e">
        <f>IF(OR(cMed=0,cMed2=0,4192&gt;nFilas),NA(),IF(AND(ISNUMBER(INDEX(rMed2,4192)),ISNUMBER(INDEX(rMed,4192))),INDEX(rMed2,4192),NA()))</f>
        <v>#N/A</v>
      </c>
      <c r="BY4194" t="e">
        <f>IF(OR(cMed=0,cMed2=0,4192&gt;nFilas),NA(),IF(AND(ISNUMBER(INDEX(rMed2,4192)),ISNUMBER(INDEX(rMed,4192))),INDEX(rMed,4192),NA()))</f>
        <v>#N/A</v>
      </c>
    </row>
    <row r="4195">
      <c r="BX4195" t="e">
        <f>IF(OR(cMed=0,cMed2=0,4193&gt;nFilas),NA(),IF(AND(ISNUMBER(INDEX(rMed2,4193)),ISNUMBER(INDEX(rMed,4193))),INDEX(rMed2,4193),NA()))</f>
        <v>#N/A</v>
      </c>
      <c r="BY4195" t="e">
        <f>IF(OR(cMed=0,cMed2=0,4193&gt;nFilas),NA(),IF(AND(ISNUMBER(INDEX(rMed2,4193)),ISNUMBER(INDEX(rMed,4193))),INDEX(rMed,4193),NA()))</f>
        <v>#N/A</v>
      </c>
    </row>
    <row r="4196">
      <c r="BX4196" t="e">
        <f>IF(OR(cMed=0,cMed2=0,4194&gt;nFilas),NA(),IF(AND(ISNUMBER(INDEX(rMed2,4194)),ISNUMBER(INDEX(rMed,4194))),INDEX(rMed2,4194),NA()))</f>
        <v>#N/A</v>
      </c>
      <c r="BY4196" t="e">
        <f>IF(OR(cMed=0,cMed2=0,4194&gt;nFilas),NA(),IF(AND(ISNUMBER(INDEX(rMed2,4194)),ISNUMBER(INDEX(rMed,4194))),INDEX(rMed,4194),NA()))</f>
        <v>#N/A</v>
      </c>
    </row>
    <row r="4197">
      <c r="BX4197" t="e">
        <f>IF(OR(cMed=0,cMed2=0,4195&gt;nFilas),NA(),IF(AND(ISNUMBER(INDEX(rMed2,4195)),ISNUMBER(INDEX(rMed,4195))),INDEX(rMed2,4195),NA()))</f>
        <v>#N/A</v>
      </c>
      <c r="BY4197" t="e">
        <f>IF(OR(cMed=0,cMed2=0,4195&gt;nFilas),NA(),IF(AND(ISNUMBER(INDEX(rMed2,4195)),ISNUMBER(INDEX(rMed,4195))),INDEX(rMed,4195),NA()))</f>
        <v>#N/A</v>
      </c>
    </row>
    <row r="4198">
      <c r="BX4198" t="e">
        <f>IF(OR(cMed=0,cMed2=0,4196&gt;nFilas),NA(),IF(AND(ISNUMBER(INDEX(rMed2,4196)),ISNUMBER(INDEX(rMed,4196))),INDEX(rMed2,4196),NA()))</f>
        <v>#N/A</v>
      </c>
      <c r="BY4198" t="e">
        <f>IF(OR(cMed=0,cMed2=0,4196&gt;nFilas),NA(),IF(AND(ISNUMBER(INDEX(rMed2,4196)),ISNUMBER(INDEX(rMed,4196))),INDEX(rMed,4196),NA()))</f>
        <v>#N/A</v>
      </c>
    </row>
    <row r="4199">
      <c r="BX4199" t="e">
        <f>IF(OR(cMed=0,cMed2=0,4197&gt;nFilas),NA(),IF(AND(ISNUMBER(INDEX(rMed2,4197)),ISNUMBER(INDEX(rMed,4197))),INDEX(rMed2,4197),NA()))</f>
        <v>#N/A</v>
      </c>
      <c r="BY4199" t="e">
        <f>IF(OR(cMed=0,cMed2=0,4197&gt;nFilas),NA(),IF(AND(ISNUMBER(INDEX(rMed2,4197)),ISNUMBER(INDEX(rMed,4197))),INDEX(rMed,4197),NA()))</f>
        <v>#N/A</v>
      </c>
    </row>
    <row r="4200">
      <c r="BX4200" t="e">
        <f>IF(OR(cMed=0,cMed2=0,4198&gt;nFilas),NA(),IF(AND(ISNUMBER(INDEX(rMed2,4198)),ISNUMBER(INDEX(rMed,4198))),INDEX(rMed2,4198),NA()))</f>
        <v>#N/A</v>
      </c>
      <c r="BY4200" t="e">
        <f>IF(OR(cMed=0,cMed2=0,4198&gt;nFilas),NA(),IF(AND(ISNUMBER(INDEX(rMed2,4198)),ISNUMBER(INDEX(rMed,4198))),INDEX(rMed,4198),NA()))</f>
        <v>#N/A</v>
      </c>
    </row>
    <row r="4201">
      <c r="BX4201" t="e">
        <f>IF(OR(cMed=0,cMed2=0,4199&gt;nFilas),NA(),IF(AND(ISNUMBER(INDEX(rMed2,4199)),ISNUMBER(INDEX(rMed,4199))),INDEX(rMed2,4199),NA()))</f>
        <v>#N/A</v>
      </c>
      <c r="BY4201" t="e">
        <f>IF(OR(cMed=0,cMed2=0,4199&gt;nFilas),NA(),IF(AND(ISNUMBER(INDEX(rMed2,4199)),ISNUMBER(INDEX(rMed,4199))),INDEX(rMed,4199),NA()))</f>
        <v>#N/A</v>
      </c>
    </row>
    <row r="4202">
      <c r="BX4202" t="e">
        <f>IF(OR(cMed=0,cMed2=0,4200&gt;nFilas),NA(),IF(AND(ISNUMBER(INDEX(rMed2,4200)),ISNUMBER(INDEX(rMed,4200))),INDEX(rMed2,4200),NA()))</f>
        <v>#N/A</v>
      </c>
      <c r="BY4202" t="e">
        <f>IF(OR(cMed=0,cMed2=0,4200&gt;nFilas),NA(),IF(AND(ISNUMBER(INDEX(rMed2,4200)),ISNUMBER(INDEX(rMed,4200))),INDEX(rMed,4200),NA()))</f>
        <v>#N/A</v>
      </c>
    </row>
    <row r="4203">
      <c r="BX4203" t="e">
        <f>IF(OR(cMed=0,cMed2=0,4201&gt;nFilas),NA(),IF(AND(ISNUMBER(INDEX(rMed2,4201)),ISNUMBER(INDEX(rMed,4201))),INDEX(rMed2,4201),NA()))</f>
        <v>#N/A</v>
      </c>
      <c r="BY4203" t="e">
        <f>IF(OR(cMed=0,cMed2=0,4201&gt;nFilas),NA(),IF(AND(ISNUMBER(INDEX(rMed2,4201)),ISNUMBER(INDEX(rMed,4201))),INDEX(rMed,4201),NA()))</f>
        <v>#N/A</v>
      </c>
    </row>
    <row r="4204">
      <c r="BX4204" t="e">
        <f>IF(OR(cMed=0,cMed2=0,4202&gt;nFilas),NA(),IF(AND(ISNUMBER(INDEX(rMed2,4202)),ISNUMBER(INDEX(rMed,4202))),INDEX(rMed2,4202),NA()))</f>
        <v>#N/A</v>
      </c>
      <c r="BY4204" t="e">
        <f>IF(OR(cMed=0,cMed2=0,4202&gt;nFilas),NA(),IF(AND(ISNUMBER(INDEX(rMed2,4202)),ISNUMBER(INDEX(rMed,4202))),INDEX(rMed,4202),NA()))</f>
        <v>#N/A</v>
      </c>
    </row>
    <row r="4205">
      <c r="BX4205" t="e">
        <f>IF(OR(cMed=0,cMed2=0,4203&gt;nFilas),NA(),IF(AND(ISNUMBER(INDEX(rMed2,4203)),ISNUMBER(INDEX(rMed,4203))),INDEX(rMed2,4203),NA()))</f>
        <v>#N/A</v>
      </c>
      <c r="BY4205" t="e">
        <f>IF(OR(cMed=0,cMed2=0,4203&gt;nFilas),NA(),IF(AND(ISNUMBER(INDEX(rMed2,4203)),ISNUMBER(INDEX(rMed,4203))),INDEX(rMed,4203),NA()))</f>
        <v>#N/A</v>
      </c>
    </row>
    <row r="4206">
      <c r="BX4206" t="e">
        <f>IF(OR(cMed=0,cMed2=0,4204&gt;nFilas),NA(),IF(AND(ISNUMBER(INDEX(rMed2,4204)),ISNUMBER(INDEX(rMed,4204))),INDEX(rMed2,4204),NA()))</f>
        <v>#N/A</v>
      </c>
      <c r="BY4206" t="e">
        <f>IF(OR(cMed=0,cMed2=0,4204&gt;nFilas),NA(),IF(AND(ISNUMBER(INDEX(rMed2,4204)),ISNUMBER(INDEX(rMed,4204))),INDEX(rMed,4204),NA()))</f>
        <v>#N/A</v>
      </c>
    </row>
    <row r="4207">
      <c r="BX4207" t="e">
        <f>IF(OR(cMed=0,cMed2=0,4205&gt;nFilas),NA(),IF(AND(ISNUMBER(INDEX(rMed2,4205)),ISNUMBER(INDEX(rMed,4205))),INDEX(rMed2,4205),NA()))</f>
        <v>#N/A</v>
      </c>
      <c r="BY4207" t="e">
        <f>IF(OR(cMed=0,cMed2=0,4205&gt;nFilas),NA(),IF(AND(ISNUMBER(INDEX(rMed2,4205)),ISNUMBER(INDEX(rMed,4205))),INDEX(rMed,4205),NA()))</f>
        <v>#N/A</v>
      </c>
    </row>
    <row r="4208">
      <c r="BX4208" t="e">
        <f>IF(OR(cMed=0,cMed2=0,4206&gt;nFilas),NA(),IF(AND(ISNUMBER(INDEX(rMed2,4206)),ISNUMBER(INDEX(rMed,4206))),INDEX(rMed2,4206),NA()))</f>
        <v>#N/A</v>
      </c>
      <c r="BY4208" t="e">
        <f>IF(OR(cMed=0,cMed2=0,4206&gt;nFilas),NA(),IF(AND(ISNUMBER(INDEX(rMed2,4206)),ISNUMBER(INDEX(rMed,4206))),INDEX(rMed,4206),NA()))</f>
        <v>#N/A</v>
      </c>
    </row>
    <row r="4209">
      <c r="BX4209" t="e">
        <f>IF(OR(cMed=0,cMed2=0,4207&gt;nFilas),NA(),IF(AND(ISNUMBER(INDEX(rMed2,4207)),ISNUMBER(INDEX(rMed,4207))),INDEX(rMed2,4207),NA()))</f>
        <v>#N/A</v>
      </c>
      <c r="BY4209" t="e">
        <f>IF(OR(cMed=0,cMed2=0,4207&gt;nFilas),NA(),IF(AND(ISNUMBER(INDEX(rMed2,4207)),ISNUMBER(INDEX(rMed,4207))),INDEX(rMed,4207),NA()))</f>
        <v>#N/A</v>
      </c>
    </row>
    <row r="4210">
      <c r="BX4210" t="e">
        <f>IF(OR(cMed=0,cMed2=0,4208&gt;nFilas),NA(),IF(AND(ISNUMBER(INDEX(rMed2,4208)),ISNUMBER(INDEX(rMed,4208))),INDEX(rMed2,4208),NA()))</f>
        <v>#N/A</v>
      </c>
      <c r="BY4210" t="e">
        <f>IF(OR(cMed=0,cMed2=0,4208&gt;nFilas),NA(),IF(AND(ISNUMBER(INDEX(rMed2,4208)),ISNUMBER(INDEX(rMed,4208))),INDEX(rMed,4208),NA()))</f>
        <v>#N/A</v>
      </c>
    </row>
    <row r="4211">
      <c r="BX4211" t="e">
        <f>IF(OR(cMed=0,cMed2=0,4209&gt;nFilas),NA(),IF(AND(ISNUMBER(INDEX(rMed2,4209)),ISNUMBER(INDEX(rMed,4209))),INDEX(rMed2,4209),NA()))</f>
        <v>#N/A</v>
      </c>
      <c r="BY4211" t="e">
        <f>IF(OR(cMed=0,cMed2=0,4209&gt;nFilas),NA(),IF(AND(ISNUMBER(INDEX(rMed2,4209)),ISNUMBER(INDEX(rMed,4209))),INDEX(rMed,4209),NA()))</f>
        <v>#N/A</v>
      </c>
    </row>
    <row r="4212">
      <c r="BX4212" t="e">
        <f>IF(OR(cMed=0,cMed2=0,4210&gt;nFilas),NA(),IF(AND(ISNUMBER(INDEX(rMed2,4210)),ISNUMBER(INDEX(rMed,4210))),INDEX(rMed2,4210),NA()))</f>
        <v>#N/A</v>
      </c>
      <c r="BY4212" t="e">
        <f>IF(OR(cMed=0,cMed2=0,4210&gt;nFilas),NA(),IF(AND(ISNUMBER(INDEX(rMed2,4210)),ISNUMBER(INDEX(rMed,4210))),INDEX(rMed,4210),NA()))</f>
        <v>#N/A</v>
      </c>
    </row>
    <row r="4213">
      <c r="BX4213" t="e">
        <f>IF(OR(cMed=0,cMed2=0,4211&gt;nFilas),NA(),IF(AND(ISNUMBER(INDEX(rMed2,4211)),ISNUMBER(INDEX(rMed,4211))),INDEX(rMed2,4211),NA()))</f>
        <v>#N/A</v>
      </c>
      <c r="BY4213" t="e">
        <f>IF(OR(cMed=0,cMed2=0,4211&gt;nFilas),NA(),IF(AND(ISNUMBER(INDEX(rMed2,4211)),ISNUMBER(INDEX(rMed,4211))),INDEX(rMed,4211),NA()))</f>
        <v>#N/A</v>
      </c>
    </row>
    <row r="4214">
      <c r="BX4214" t="e">
        <f>IF(OR(cMed=0,cMed2=0,4212&gt;nFilas),NA(),IF(AND(ISNUMBER(INDEX(rMed2,4212)),ISNUMBER(INDEX(rMed,4212))),INDEX(rMed2,4212),NA()))</f>
        <v>#N/A</v>
      </c>
      <c r="BY4214" t="e">
        <f>IF(OR(cMed=0,cMed2=0,4212&gt;nFilas),NA(),IF(AND(ISNUMBER(INDEX(rMed2,4212)),ISNUMBER(INDEX(rMed,4212))),INDEX(rMed,4212),NA()))</f>
        <v>#N/A</v>
      </c>
    </row>
    <row r="4215">
      <c r="BX4215" t="e">
        <f>IF(OR(cMed=0,cMed2=0,4213&gt;nFilas),NA(),IF(AND(ISNUMBER(INDEX(rMed2,4213)),ISNUMBER(INDEX(rMed,4213))),INDEX(rMed2,4213),NA()))</f>
        <v>#N/A</v>
      </c>
      <c r="BY4215" t="e">
        <f>IF(OR(cMed=0,cMed2=0,4213&gt;nFilas),NA(),IF(AND(ISNUMBER(INDEX(rMed2,4213)),ISNUMBER(INDEX(rMed,4213))),INDEX(rMed,4213),NA()))</f>
        <v>#N/A</v>
      </c>
    </row>
    <row r="4216">
      <c r="BX4216" t="e">
        <f>IF(OR(cMed=0,cMed2=0,4214&gt;nFilas),NA(),IF(AND(ISNUMBER(INDEX(rMed2,4214)),ISNUMBER(INDEX(rMed,4214))),INDEX(rMed2,4214),NA()))</f>
        <v>#N/A</v>
      </c>
      <c r="BY4216" t="e">
        <f>IF(OR(cMed=0,cMed2=0,4214&gt;nFilas),NA(),IF(AND(ISNUMBER(INDEX(rMed2,4214)),ISNUMBER(INDEX(rMed,4214))),INDEX(rMed,4214),NA()))</f>
        <v>#N/A</v>
      </c>
    </row>
    <row r="4217">
      <c r="BX4217" t="e">
        <f>IF(OR(cMed=0,cMed2=0,4215&gt;nFilas),NA(),IF(AND(ISNUMBER(INDEX(rMed2,4215)),ISNUMBER(INDEX(rMed,4215))),INDEX(rMed2,4215),NA()))</f>
        <v>#N/A</v>
      </c>
      <c r="BY4217" t="e">
        <f>IF(OR(cMed=0,cMed2=0,4215&gt;nFilas),NA(),IF(AND(ISNUMBER(INDEX(rMed2,4215)),ISNUMBER(INDEX(rMed,4215))),INDEX(rMed,4215),NA()))</f>
        <v>#N/A</v>
      </c>
    </row>
    <row r="4218">
      <c r="BX4218" t="e">
        <f>IF(OR(cMed=0,cMed2=0,4216&gt;nFilas),NA(),IF(AND(ISNUMBER(INDEX(rMed2,4216)),ISNUMBER(INDEX(rMed,4216))),INDEX(rMed2,4216),NA()))</f>
        <v>#N/A</v>
      </c>
      <c r="BY4218" t="e">
        <f>IF(OR(cMed=0,cMed2=0,4216&gt;nFilas),NA(),IF(AND(ISNUMBER(INDEX(rMed2,4216)),ISNUMBER(INDEX(rMed,4216))),INDEX(rMed,4216),NA()))</f>
        <v>#N/A</v>
      </c>
    </row>
    <row r="4219">
      <c r="BX4219" t="e">
        <f>IF(OR(cMed=0,cMed2=0,4217&gt;nFilas),NA(),IF(AND(ISNUMBER(INDEX(rMed2,4217)),ISNUMBER(INDEX(rMed,4217))),INDEX(rMed2,4217),NA()))</f>
        <v>#N/A</v>
      </c>
      <c r="BY4219" t="e">
        <f>IF(OR(cMed=0,cMed2=0,4217&gt;nFilas),NA(),IF(AND(ISNUMBER(INDEX(rMed2,4217)),ISNUMBER(INDEX(rMed,4217))),INDEX(rMed,4217),NA()))</f>
        <v>#N/A</v>
      </c>
    </row>
    <row r="4220">
      <c r="BX4220" t="e">
        <f>IF(OR(cMed=0,cMed2=0,4218&gt;nFilas),NA(),IF(AND(ISNUMBER(INDEX(rMed2,4218)),ISNUMBER(INDEX(rMed,4218))),INDEX(rMed2,4218),NA()))</f>
        <v>#N/A</v>
      </c>
      <c r="BY4220" t="e">
        <f>IF(OR(cMed=0,cMed2=0,4218&gt;nFilas),NA(),IF(AND(ISNUMBER(INDEX(rMed2,4218)),ISNUMBER(INDEX(rMed,4218))),INDEX(rMed,4218),NA()))</f>
        <v>#N/A</v>
      </c>
    </row>
    <row r="4221">
      <c r="BX4221" t="e">
        <f>IF(OR(cMed=0,cMed2=0,4219&gt;nFilas),NA(),IF(AND(ISNUMBER(INDEX(rMed2,4219)),ISNUMBER(INDEX(rMed,4219))),INDEX(rMed2,4219),NA()))</f>
        <v>#N/A</v>
      </c>
      <c r="BY4221" t="e">
        <f>IF(OR(cMed=0,cMed2=0,4219&gt;nFilas),NA(),IF(AND(ISNUMBER(INDEX(rMed2,4219)),ISNUMBER(INDEX(rMed,4219))),INDEX(rMed,4219),NA()))</f>
        <v>#N/A</v>
      </c>
    </row>
    <row r="4222">
      <c r="BX4222" t="e">
        <f>IF(OR(cMed=0,cMed2=0,4220&gt;nFilas),NA(),IF(AND(ISNUMBER(INDEX(rMed2,4220)),ISNUMBER(INDEX(rMed,4220))),INDEX(rMed2,4220),NA()))</f>
        <v>#N/A</v>
      </c>
      <c r="BY4222" t="e">
        <f>IF(OR(cMed=0,cMed2=0,4220&gt;nFilas),NA(),IF(AND(ISNUMBER(INDEX(rMed2,4220)),ISNUMBER(INDEX(rMed,4220))),INDEX(rMed,4220),NA()))</f>
        <v>#N/A</v>
      </c>
    </row>
    <row r="4223">
      <c r="BX4223" t="e">
        <f>IF(OR(cMed=0,cMed2=0,4221&gt;nFilas),NA(),IF(AND(ISNUMBER(INDEX(rMed2,4221)),ISNUMBER(INDEX(rMed,4221))),INDEX(rMed2,4221),NA()))</f>
        <v>#N/A</v>
      </c>
      <c r="BY4223" t="e">
        <f>IF(OR(cMed=0,cMed2=0,4221&gt;nFilas),NA(),IF(AND(ISNUMBER(INDEX(rMed2,4221)),ISNUMBER(INDEX(rMed,4221))),INDEX(rMed,4221),NA()))</f>
        <v>#N/A</v>
      </c>
    </row>
    <row r="4224">
      <c r="BX4224" t="e">
        <f>IF(OR(cMed=0,cMed2=0,4222&gt;nFilas),NA(),IF(AND(ISNUMBER(INDEX(rMed2,4222)),ISNUMBER(INDEX(rMed,4222))),INDEX(rMed2,4222),NA()))</f>
        <v>#N/A</v>
      </c>
      <c r="BY4224" t="e">
        <f>IF(OR(cMed=0,cMed2=0,4222&gt;nFilas),NA(),IF(AND(ISNUMBER(INDEX(rMed2,4222)),ISNUMBER(INDEX(rMed,4222))),INDEX(rMed,4222),NA()))</f>
        <v>#N/A</v>
      </c>
    </row>
    <row r="4225">
      <c r="BX4225" t="e">
        <f>IF(OR(cMed=0,cMed2=0,4223&gt;nFilas),NA(),IF(AND(ISNUMBER(INDEX(rMed2,4223)),ISNUMBER(INDEX(rMed,4223))),INDEX(rMed2,4223),NA()))</f>
        <v>#N/A</v>
      </c>
      <c r="BY4225" t="e">
        <f>IF(OR(cMed=0,cMed2=0,4223&gt;nFilas),NA(),IF(AND(ISNUMBER(INDEX(rMed2,4223)),ISNUMBER(INDEX(rMed,4223))),INDEX(rMed,4223),NA()))</f>
        <v>#N/A</v>
      </c>
    </row>
    <row r="4226">
      <c r="BX4226" t="e">
        <f>IF(OR(cMed=0,cMed2=0,4224&gt;nFilas),NA(),IF(AND(ISNUMBER(INDEX(rMed2,4224)),ISNUMBER(INDEX(rMed,4224))),INDEX(rMed2,4224),NA()))</f>
        <v>#N/A</v>
      </c>
      <c r="BY4226" t="e">
        <f>IF(OR(cMed=0,cMed2=0,4224&gt;nFilas),NA(),IF(AND(ISNUMBER(INDEX(rMed2,4224)),ISNUMBER(INDEX(rMed,4224))),INDEX(rMed,4224),NA()))</f>
        <v>#N/A</v>
      </c>
    </row>
    <row r="4227">
      <c r="BX4227" t="e">
        <f>IF(OR(cMed=0,cMed2=0,4225&gt;nFilas),NA(),IF(AND(ISNUMBER(INDEX(rMed2,4225)),ISNUMBER(INDEX(rMed,4225))),INDEX(rMed2,4225),NA()))</f>
        <v>#N/A</v>
      </c>
      <c r="BY4227" t="e">
        <f>IF(OR(cMed=0,cMed2=0,4225&gt;nFilas),NA(),IF(AND(ISNUMBER(INDEX(rMed2,4225)),ISNUMBER(INDEX(rMed,4225))),INDEX(rMed,4225),NA()))</f>
        <v>#N/A</v>
      </c>
    </row>
    <row r="4228">
      <c r="BX4228" t="e">
        <f>IF(OR(cMed=0,cMed2=0,4226&gt;nFilas),NA(),IF(AND(ISNUMBER(INDEX(rMed2,4226)),ISNUMBER(INDEX(rMed,4226))),INDEX(rMed2,4226),NA()))</f>
        <v>#N/A</v>
      </c>
      <c r="BY4228" t="e">
        <f>IF(OR(cMed=0,cMed2=0,4226&gt;nFilas),NA(),IF(AND(ISNUMBER(INDEX(rMed2,4226)),ISNUMBER(INDEX(rMed,4226))),INDEX(rMed,4226),NA()))</f>
        <v>#N/A</v>
      </c>
    </row>
    <row r="4229">
      <c r="BX4229" t="e">
        <f>IF(OR(cMed=0,cMed2=0,4227&gt;nFilas),NA(),IF(AND(ISNUMBER(INDEX(rMed2,4227)),ISNUMBER(INDEX(rMed,4227))),INDEX(rMed2,4227),NA()))</f>
        <v>#N/A</v>
      </c>
      <c r="BY4229" t="e">
        <f>IF(OR(cMed=0,cMed2=0,4227&gt;nFilas),NA(),IF(AND(ISNUMBER(INDEX(rMed2,4227)),ISNUMBER(INDEX(rMed,4227))),INDEX(rMed,4227),NA()))</f>
        <v>#N/A</v>
      </c>
    </row>
    <row r="4230">
      <c r="BX4230" t="e">
        <f>IF(OR(cMed=0,cMed2=0,4228&gt;nFilas),NA(),IF(AND(ISNUMBER(INDEX(rMed2,4228)),ISNUMBER(INDEX(rMed,4228))),INDEX(rMed2,4228),NA()))</f>
        <v>#N/A</v>
      </c>
      <c r="BY4230" t="e">
        <f>IF(OR(cMed=0,cMed2=0,4228&gt;nFilas),NA(),IF(AND(ISNUMBER(INDEX(rMed2,4228)),ISNUMBER(INDEX(rMed,4228))),INDEX(rMed,4228),NA()))</f>
        <v>#N/A</v>
      </c>
    </row>
    <row r="4231">
      <c r="BX4231" t="e">
        <f>IF(OR(cMed=0,cMed2=0,4229&gt;nFilas),NA(),IF(AND(ISNUMBER(INDEX(rMed2,4229)),ISNUMBER(INDEX(rMed,4229))),INDEX(rMed2,4229),NA()))</f>
        <v>#N/A</v>
      </c>
      <c r="BY4231" t="e">
        <f>IF(OR(cMed=0,cMed2=0,4229&gt;nFilas),NA(),IF(AND(ISNUMBER(INDEX(rMed2,4229)),ISNUMBER(INDEX(rMed,4229))),INDEX(rMed,4229),NA()))</f>
        <v>#N/A</v>
      </c>
    </row>
    <row r="4232">
      <c r="BX4232" t="e">
        <f>IF(OR(cMed=0,cMed2=0,4230&gt;nFilas),NA(),IF(AND(ISNUMBER(INDEX(rMed2,4230)),ISNUMBER(INDEX(rMed,4230))),INDEX(rMed2,4230),NA()))</f>
        <v>#N/A</v>
      </c>
      <c r="BY4232" t="e">
        <f>IF(OR(cMed=0,cMed2=0,4230&gt;nFilas),NA(),IF(AND(ISNUMBER(INDEX(rMed2,4230)),ISNUMBER(INDEX(rMed,4230))),INDEX(rMed,4230),NA()))</f>
        <v>#N/A</v>
      </c>
    </row>
    <row r="4233">
      <c r="BX4233" t="e">
        <f>IF(OR(cMed=0,cMed2=0,4231&gt;nFilas),NA(),IF(AND(ISNUMBER(INDEX(rMed2,4231)),ISNUMBER(INDEX(rMed,4231))),INDEX(rMed2,4231),NA()))</f>
        <v>#N/A</v>
      </c>
      <c r="BY4233" t="e">
        <f>IF(OR(cMed=0,cMed2=0,4231&gt;nFilas),NA(),IF(AND(ISNUMBER(INDEX(rMed2,4231)),ISNUMBER(INDEX(rMed,4231))),INDEX(rMed,4231),NA()))</f>
        <v>#N/A</v>
      </c>
    </row>
    <row r="4234">
      <c r="BX4234" t="e">
        <f>IF(OR(cMed=0,cMed2=0,4232&gt;nFilas),NA(),IF(AND(ISNUMBER(INDEX(rMed2,4232)),ISNUMBER(INDEX(rMed,4232))),INDEX(rMed2,4232),NA()))</f>
        <v>#N/A</v>
      </c>
      <c r="BY4234" t="e">
        <f>IF(OR(cMed=0,cMed2=0,4232&gt;nFilas),NA(),IF(AND(ISNUMBER(INDEX(rMed2,4232)),ISNUMBER(INDEX(rMed,4232))),INDEX(rMed,4232),NA()))</f>
        <v>#N/A</v>
      </c>
    </row>
    <row r="4235">
      <c r="BX4235" t="e">
        <f>IF(OR(cMed=0,cMed2=0,4233&gt;nFilas),NA(),IF(AND(ISNUMBER(INDEX(rMed2,4233)),ISNUMBER(INDEX(rMed,4233))),INDEX(rMed2,4233),NA()))</f>
        <v>#N/A</v>
      </c>
      <c r="BY4235" t="e">
        <f>IF(OR(cMed=0,cMed2=0,4233&gt;nFilas),NA(),IF(AND(ISNUMBER(INDEX(rMed2,4233)),ISNUMBER(INDEX(rMed,4233))),INDEX(rMed,4233),NA()))</f>
        <v>#N/A</v>
      </c>
    </row>
    <row r="4236">
      <c r="BX4236" t="e">
        <f>IF(OR(cMed=0,cMed2=0,4234&gt;nFilas),NA(),IF(AND(ISNUMBER(INDEX(rMed2,4234)),ISNUMBER(INDEX(rMed,4234))),INDEX(rMed2,4234),NA()))</f>
        <v>#N/A</v>
      </c>
      <c r="BY4236" t="e">
        <f>IF(OR(cMed=0,cMed2=0,4234&gt;nFilas),NA(),IF(AND(ISNUMBER(INDEX(rMed2,4234)),ISNUMBER(INDEX(rMed,4234))),INDEX(rMed,4234),NA()))</f>
        <v>#N/A</v>
      </c>
    </row>
    <row r="4237">
      <c r="BX4237" t="e">
        <f>IF(OR(cMed=0,cMed2=0,4235&gt;nFilas),NA(),IF(AND(ISNUMBER(INDEX(rMed2,4235)),ISNUMBER(INDEX(rMed,4235))),INDEX(rMed2,4235),NA()))</f>
        <v>#N/A</v>
      </c>
      <c r="BY4237" t="e">
        <f>IF(OR(cMed=0,cMed2=0,4235&gt;nFilas),NA(),IF(AND(ISNUMBER(INDEX(rMed2,4235)),ISNUMBER(INDEX(rMed,4235))),INDEX(rMed,4235),NA()))</f>
        <v>#N/A</v>
      </c>
    </row>
    <row r="4238">
      <c r="BX4238" t="e">
        <f>IF(OR(cMed=0,cMed2=0,4236&gt;nFilas),NA(),IF(AND(ISNUMBER(INDEX(rMed2,4236)),ISNUMBER(INDEX(rMed,4236))),INDEX(rMed2,4236),NA()))</f>
        <v>#N/A</v>
      </c>
      <c r="BY4238" t="e">
        <f>IF(OR(cMed=0,cMed2=0,4236&gt;nFilas),NA(),IF(AND(ISNUMBER(INDEX(rMed2,4236)),ISNUMBER(INDEX(rMed,4236))),INDEX(rMed,4236),NA()))</f>
        <v>#N/A</v>
      </c>
    </row>
    <row r="4239">
      <c r="BX4239" t="e">
        <f>IF(OR(cMed=0,cMed2=0,4237&gt;nFilas),NA(),IF(AND(ISNUMBER(INDEX(rMed2,4237)),ISNUMBER(INDEX(rMed,4237))),INDEX(rMed2,4237),NA()))</f>
        <v>#N/A</v>
      </c>
      <c r="BY4239" t="e">
        <f>IF(OR(cMed=0,cMed2=0,4237&gt;nFilas),NA(),IF(AND(ISNUMBER(INDEX(rMed2,4237)),ISNUMBER(INDEX(rMed,4237))),INDEX(rMed,4237),NA()))</f>
        <v>#N/A</v>
      </c>
    </row>
    <row r="4240">
      <c r="BX4240" t="e">
        <f>IF(OR(cMed=0,cMed2=0,4238&gt;nFilas),NA(),IF(AND(ISNUMBER(INDEX(rMed2,4238)),ISNUMBER(INDEX(rMed,4238))),INDEX(rMed2,4238),NA()))</f>
        <v>#N/A</v>
      </c>
      <c r="BY4240" t="e">
        <f>IF(OR(cMed=0,cMed2=0,4238&gt;nFilas),NA(),IF(AND(ISNUMBER(INDEX(rMed2,4238)),ISNUMBER(INDEX(rMed,4238))),INDEX(rMed,4238),NA()))</f>
        <v>#N/A</v>
      </c>
    </row>
    <row r="4241">
      <c r="BX4241" t="e">
        <f>IF(OR(cMed=0,cMed2=0,4239&gt;nFilas),NA(),IF(AND(ISNUMBER(INDEX(rMed2,4239)),ISNUMBER(INDEX(rMed,4239))),INDEX(rMed2,4239),NA()))</f>
        <v>#N/A</v>
      </c>
      <c r="BY4241" t="e">
        <f>IF(OR(cMed=0,cMed2=0,4239&gt;nFilas),NA(),IF(AND(ISNUMBER(INDEX(rMed2,4239)),ISNUMBER(INDEX(rMed,4239))),INDEX(rMed,4239),NA()))</f>
        <v>#N/A</v>
      </c>
    </row>
    <row r="4242">
      <c r="BX4242" t="e">
        <f>IF(OR(cMed=0,cMed2=0,4240&gt;nFilas),NA(),IF(AND(ISNUMBER(INDEX(rMed2,4240)),ISNUMBER(INDEX(rMed,4240))),INDEX(rMed2,4240),NA()))</f>
        <v>#N/A</v>
      </c>
      <c r="BY4242" t="e">
        <f>IF(OR(cMed=0,cMed2=0,4240&gt;nFilas),NA(),IF(AND(ISNUMBER(INDEX(rMed2,4240)),ISNUMBER(INDEX(rMed,4240))),INDEX(rMed,4240),NA()))</f>
        <v>#N/A</v>
      </c>
    </row>
    <row r="4243">
      <c r="BX4243" t="e">
        <f>IF(OR(cMed=0,cMed2=0,4241&gt;nFilas),NA(),IF(AND(ISNUMBER(INDEX(rMed2,4241)),ISNUMBER(INDEX(rMed,4241))),INDEX(rMed2,4241),NA()))</f>
        <v>#N/A</v>
      </c>
      <c r="BY4243" t="e">
        <f>IF(OR(cMed=0,cMed2=0,4241&gt;nFilas),NA(),IF(AND(ISNUMBER(INDEX(rMed2,4241)),ISNUMBER(INDEX(rMed,4241))),INDEX(rMed,4241),NA()))</f>
        <v>#N/A</v>
      </c>
    </row>
    <row r="4244">
      <c r="BX4244" t="e">
        <f>IF(OR(cMed=0,cMed2=0,4242&gt;nFilas),NA(),IF(AND(ISNUMBER(INDEX(rMed2,4242)),ISNUMBER(INDEX(rMed,4242))),INDEX(rMed2,4242),NA()))</f>
        <v>#N/A</v>
      </c>
      <c r="BY4244" t="e">
        <f>IF(OR(cMed=0,cMed2=0,4242&gt;nFilas),NA(),IF(AND(ISNUMBER(INDEX(rMed2,4242)),ISNUMBER(INDEX(rMed,4242))),INDEX(rMed,4242),NA()))</f>
        <v>#N/A</v>
      </c>
    </row>
    <row r="4245">
      <c r="BX4245" t="e">
        <f>IF(OR(cMed=0,cMed2=0,4243&gt;nFilas),NA(),IF(AND(ISNUMBER(INDEX(rMed2,4243)),ISNUMBER(INDEX(rMed,4243))),INDEX(rMed2,4243),NA()))</f>
        <v>#N/A</v>
      </c>
      <c r="BY4245" t="e">
        <f>IF(OR(cMed=0,cMed2=0,4243&gt;nFilas),NA(),IF(AND(ISNUMBER(INDEX(rMed2,4243)),ISNUMBER(INDEX(rMed,4243))),INDEX(rMed,4243),NA()))</f>
        <v>#N/A</v>
      </c>
    </row>
    <row r="4246">
      <c r="BX4246" t="e">
        <f>IF(OR(cMed=0,cMed2=0,4244&gt;nFilas),NA(),IF(AND(ISNUMBER(INDEX(rMed2,4244)),ISNUMBER(INDEX(rMed,4244))),INDEX(rMed2,4244),NA()))</f>
        <v>#N/A</v>
      </c>
      <c r="BY4246" t="e">
        <f>IF(OR(cMed=0,cMed2=0,4244&gt;nFilas),NA(),IF(AND(ISNUMBER(INDEX(rMed2,4244)),ISNUMBER(INDEX(rMed,4244))),INDEX(rMed,4244),NA()))</f>
        <v>#N/A</v>
      </c>
    </row>
    <row r="4247">
      <c r="BX4247" t="e">
        <f>IF(OR(cMed=0,cMed2=0,4245&gt;nFilas),NA(),IF(AND(ISNUMBER(INDEX(rMed2,4245)),ISNUMBER(INDEX(rMed,4245))),INDEX(rMed2,4245),NA()))</f>
        <v>#N/A</v>
      </c>
      <c r="BY4247" t="e">
        <f>IF(OR(cMed=0,cMed2=0,4245&gt;nFilas),NA(),IF(AND(ISNUMBER(INDEX(rMed2,4245)),ISNUMBER(INDEX(rMed,4245))),INDEX(rMed,4245),NA()))</f>
        <v>#N/A</v>
      </c>
    </row>
    <row r="4248">
      <c r="BX4248" t="e">
        <f>IF(OR(cMed=0,cMed2=0,4246&gt;nFilas),NA(),IF(AND(ISNUMBER(INDEX(rMed2,4246)),ISNUMBER(INDEX(rMed,4246))),INDEX(rMed2,4246),NA()))</f>
        <v>#N/A</v>
      </c>
      <c r="BY4248" t="e">
        <f>IF(OR(cMed=0,cMed2=0,4246&gt;nFilas),NA(),IF(AND(ISNUMBER(INDEX(rMed2,4246)),ISNUMBER(INDEX(rMed,4246))),INDEX(rMed,4246),NA()))</f>
        <v>#N/A</v>
      </c>
    </row>
    <row r="4249">
      <c r="BX4249" t="e">
        <f>IF(OR(cMed=0,cMed2=0,4247&gt;nFilas),NA(),IF(AND(ISNUMBER(INDEX(rMed2,4247)),ISNUMBER(INDEX(rMed,4247))),INDEX(rMed2,4247),NA()))</f>
        <v>#N/A</v>
      </c>
      <c r="BY4249" t="e">
        <f>IF(OR(cMed=0,cMed2=0,4247&gt;nFilas),NA(),IF(AND(ISNUMBER(INDEX(rMed2,4247)),ISNUMBER(INDEX(rMed,4247))),INDEX(rMed,4247),NA()))</f>
        <v>#N/A</v>
      </c>
    </row>
    <row r="4250">
      <c r="BX4250" t="e">
        <f>IF(OR(cMed=0,cMed2=0,4248&gt;nFilas),NA(),IF(AND(ISNUMBER(INDEX(rMed2,4248)),ISNUMBER(INDEX(rMed,4248))),INDEX(rMed2,4248),NA()))</f>
        <v>#N/A</v>
      </c>
      <c r="BY4250" t="e">
        <f>IF(OR(cMed=0,cMed2=0,4248&gt;nFilas),NA(),IF(AND(ISNUMBER(INDEX(rMed2,4248)),ISNUMBER(INDEX(rMed,4248))),INDEX(rMed,4248),NA()))</f>
        <v>#N/A</v>
      </c>
    </row>
    <row r="4251">
      <c r="BX4251" t="e">
        <f>IF(OR(cMed=0,cMed2=0,4249&gt;nFilas),NA(),IF(AND(ISNUMBER(INDEX(rMed2,4249)),ISNUMBER(INDEX(rMed,4249))),INDEX(rMed2,4249),NA()))</f>
        <v>#N/A</v>
      </c>
      <c r="BY4251" t="e">
        <f>IF(OR(cMed=0,cMed2=0,4249&gt;nFilas),NA(),IF(AND(ISNUMBER(INDEX(rMed2,4249)),ISNUMBER(INDEX(rMed,4249))),INDEX(rMed,4249),NA()))</f>
        <v>#N/A</v>
      </c>
    </row>
    <row r="4252">
      <c r="BX4252" t="e">
        <f>IF(OR(cMed=0,cMed2=0,4250&gt;nFilas),NA(),IF(AND(ISNUMBER(INDEX(rMed2,4250)),ISNUMBER(INDEX(rMed,4250))),INDEX(rMed2,4250),NA()))</f>
        <v>#N/A</v>
      </c>
      <c r="BY4252" t="e">
        <f>IF(OR(cMed=0,cMed2=0,4250&gt;nFilas),NA(),IF(AND(ISNUMBER(INDEX(rMed2,4250)),ISNUMBER(INDEX(rMed,4250))),INDEX(rMed,4250),NA()))</f>
        <v>#N/A</v>
      </c>
    </row>
    <row r="4253">
      <c r="BX4253" t="e">
        <f>IF(OR(cMed=0,cMed2=0,4251&gt;nFilas),NA(),IF(AND(ISNUMBER(INDEX(rMed2,4251)),ISNUMBER(INDEX(rMed,4251))),INDEX(rMed2,4251),NA()))</f>
        <v>#N/A</v>
      </c>
      <c r="BY4253" t="e">
        <f>IF(OR(cMed=0,cMed2=0,4251&gt;nFilas),NA(),IF(AND(ISNUMBER(INDEX(rMed2,4251)),ISNUMBER(INDEX(rMed,4251))),INDEX(rMed,4251),NA()))</f>
        <v>#N/A</v>
      </c>
    </row>
    <row r="4254">
      <c r="BX4254" t="e">
        <f>IF(OR(cMed=0,cMed2=0,4252&gt;nFilas),NA(),IF(AND(ISNUMBER(INDEX(rMed2,4252)),ISNUMBER(INDEX(rMed,4252))),INDEX(rMed2,4252),NA()))</f>
        <v>#N/A</v>
      </c>
      <c r="BY4254" t="e">
        <f>IF(OR(cMed=0,cMed2=0,4252&gt;nFilas),NA(),IF(AND(ISNUMBER(INDEX(rMed2,4252)),ISNUMBER(INDEX(rMed,4252))),INDEX(rMed,4252),NA()))</f>
        <v>#N/A</v>
      </c>
    </row>
    <row r="4255">
      <c r="BX4255" t="e">
        <f>IF(OR(cMed=0,cMed2=0,4253&gt;nFilas),NA(),IF(AND(ISNUMBER(INDEX(rMed2,4253)),ISNUMBER(INDEX(rMed,4253))),INDEX(rMed2,4253),NA()))</f>
        <v>#N/A</v>
      </c>
      <c r="BY4255" t="e">
        <f>IF(OR(cMed=0,cMed2=0,4253&gt;nFilas),NA(),IF(AND(ISNUMBER(INDEX(rMed2,4253)),ISNUMBER(INDEX(rMed,4253))),INDEX(rMed,4253),NA()))</f>
        <v>#N/A</v>
      </c>
    </row>
    <row r="4256">
      <c r="BX4256" t="e">
        <f>IF(OR(cMed=0,cMed2=0,4254&gt;nFilas),NA(),IF(AND(ISNUMBER(INDEX(rMed2,4254)),ISNUMBER(INDEX(rMed,4254))),INDEX(rMed2,4254),NA()))</f>
        <v>#N/A</v>
      </c>
      <c r="BY4256" t="e">
        <f>IF(OR(cMed=0,cMed2=0,4254&gt;nFilas),NA(),IF(AND(ISNUMBER(INDEX(rMed2,4254)),ISNUMBER(INDEX(rMed,4254))),INDEX(rMed,4254),NA()))</f>
        <v>#N/A</v>
      </c>
    </row>
    <row r="4257">
      <c r="BX4257" t="e">
        <f>IF(OR(cMed=0,cMed2=0,4255&gt;nFilas),NA(),IF(AND(ISNUMBER(INDEX(rMed2,4255)),ISNUMBER(INDEX(rMed,4255))),INDEX(rMed2,4255),NA()))</f>
        <v>#N/A</v>
      </c>
      <c r="BY4257" t="e">
        <f>IF(OR(cMed=0,cMed2=0,4255&gt;nFilas),NA(),IF(AND(ISNUMBER(INDEX(rMed2,4255)),ISNUMBER(INDEX(rMed,4255))),INDEX(rMed,4255),NA()))</f>
        <v>#N/A</v>
      </c>
    </row>
    <row r="4258">
      <c r="BX4258" t="e">
        <f>IF(OR(cMed=0,cMed2=0,4256&gt;nFilas),NA(),IF(AND(ISNUMBER(INDEX(rMed2,4256)),ISNUMBER(INDEX(rMed,4256))),INDEX(rMed2,4256),NA()))</f>
        <v>#N/A</v>
      </c>
      <c r="BY4258" t="e">
        <f>IF(OR(cMed=0,cMed2=0,4256&gt;nFilas),NA(),IF(AND(ISNUMBER(INDEX(rMed2,4256)),ISNUMBER(INDEX(rMed,4256))),INDEX(rMed,4256),NA()))</f>
        <v>#N/A</v>
      </c>
    </row>
    <row r="4259">
      <c r="BX4259" t="e">
        <f>IF(OR(cMed=0,cMed2=0,4257&gt;nFilas),NA(),IF(AND(ISNUMBER(INDEX(rMed2,4257)),ISNUMBER(INDEX(rMed,4257))),INDEX(rMed2,4257),NA()))</f>
        <v>#N/A</v>
      </c>
      <c r="BY4259" t="e">
        <f>IF(OR(cMed=0,cMed2=0,4257&gt;nFilas),NA(),IF(AND(ISNUMBER(INDEX(rMed2,4257)),ISNUMBER(INDEX(rMed,4257))),INDEX(rMed,4257),NA()))</f>
        <v>#N/A</v>
      </c>
    </row>
    <row r="4260">
      <c r="BX4260" t="e">
        <f>IF(OR(cMed=0,cMed2=0,4258&gt;nFilas),NA(),IF(AND(ISNUMBER(INDEX(rMed2,4258)),ISNUMBER(INDEX(rMed,4258))),INDEX(rMed2,4258),NA()))</f>
        <v>#N/A</v>
      </c>
      <c r="BY4260" t="e">
        <f>IF(OR(cMed=0,cMed2=0,4258&gt;nFilas),NA(),IF(AND(ISNUMBER(INDEX(rMed2,4258)),ISNUMBER(INDEX(rMed,4258))),INDEX(rMed,4258),NA()))</f>
        <v>#N/A</v>
      </c>
    </row>
    <row r="4261">
      <c r="BX4261" t="e">
        <f>IF(OR(cMed=0,cMed2=0,4259&gt;nFilas),NA(),IF(AND(ISNUMBER(INDEX(rMed2,4259)),ISNUMBER(INDEX(rMed,4259))),INDEX(rMed2,4259),NA()))</f>
        <v>#N/A</v>
      </c>
      <c r="BY4261" t="e">
        <f>IF(OR(cMed=0,cMed2=0,4259&gt;nFilas),NA(),IF(AND(ISNUMBER(INDEX(rMed2,4259)),ISNUMBER(INDEX(rMed,4259))),INDEX(rMed,4259),NA()))</f>
        <v>#N/A</v>
      </c>
    </row>
    <row r="4262">
      <c r="BX4262" t="e">
        <f>IF(OR(cMed=0,cMed2=0,4260&gt;nFilas),NA(),IF(AND(ISNUMBER(INDEX(rMed2,4260)),ISNUMBER(INDEX(rMed,4260))),INDEX(rMed2,4260),NA()))</f>
        <v>#N/A</v>
      </c>
      <c r="BY4262" t="e">
        <f>IF(OR(cMed=0,cMed2=0,4260&gt;nFilas),NA(),IF(AND(ISNUMBER(INDEX(rMed2,4260)),ISNUMBER(INDEX(rMed,4260))),INDEX(rMed,4260),NA()))</f>
        <v>#N/A</v>
      </c>
    </row>
    <row r="4263">
      <c r="BX4263" t="e">
        <f>IF(OR(cMed=0,cMed2=0,4261&gt;nFilas),NA(),IF(AND(ISNUMBER(INDEX(rMed2,4261)),ISNUMBER(INDEX(rMed,4261))),INDEX(rMed2,4261),NA()))</f>
        <v>#N/A</v>
      </c>
      <c r="BY4263" t="e">
        <f>IF(OR(cMed=0,cMed2=0,4261&gt;nFilas),NA(),IF(AND(ISNUMBER(INDEX(rMed2,4261)),ISNUMBER(INDEX(rMed,4261))),INDEX(rMed,4261),NA()))</f>
        <v>#N/A</v>
      </c>
    </row>
    <row r="4264">
      <c r="BX4264" t="e">
        <f>IF(OR(cMed=0,cMed2=0,4262&gt;nFilas),NA(),IF(AND(ISNUMBER(INDEX(rMed2,4262)),ISNUMBER(INDEX(rMed,4262))),INDEX(rMed2,4262),NA()))</f>
        <v>#N/A</v>
      </c>
      <c r="BY4264" t="e">
        <f>IF(OR(cMed=0,cMed2=0,4262&gt;nFilas),NA(),IF(AND(ISNUMBER(INDEX(rMed2,4262)),ISNUMBER(INDEX(rMed,4262))),INDEX(rMed,4262),NA()))</f>
        <v>#N/A</v>
      </c>
    </row>
    <row r="4265">
      <c r="BX4265" t="e">
        <f>IF(OR(cMed=0,cMed2=0,4263&gt;nFilas),NA(),IF(AND(ISNUMBER(INDEX(rMed2,4263)),ISNUMBER(INDEX(rMed,4263))),INDEX(rMed2,4263),NA()))</f>
        <v>#N/A</v>
      </c>
      <c r="BY4265" t="e">
        <f>IF(OR(cMed=0,cMed2=0,4263&gt;nFilas),NA(),IF(AND(ISNUMBER(INDEX(rMed2,4263)),ISNUMBER(INDEX(rMed,4263))),INDEX(rMed,4263),NA()))</f>
        <v>#N/A</v>
      </c>
    </row>
    <row r="4266">
      <c r="BX4266" t="e">
        <f>IF(OR(cMed=0,cMed2=0,4264&gt;nFilas),NA(),IF(AND(ISNUMBER(INDEX(rMed2,4264)),ISNUMBER(INDEX(rMed,4264))),INDEX(rMed2,4264),NA()))</f>
        <v>#N/A</v>
      </c>
      <c r="BY4266" t="e">
        <f>IF(OR(cMed=0,cMed2=0,4264&gt;nFilas),NA(),IF(AND(ISNUMBER(INDEX(rMed2,4264)),ISNUMBER(INDEX(rMed,4264))),INDEX(rMed,4264),NA()))</f>
        <v>#N/A</v>
      </c>
    </row>
    <row r="4267">
      <c r="BX4267" t="e">
        <f>IF(OR(cMed=0,cMed2=0,4265&gt;nFilas),NA(),IF(AND(ISNUMBER(INDEX(rMed2,4265)),ISNUMBER(INDEX(rMed,4265))),INDEX(rMed2,4265),NA()))</f>
        <v>#N/A</v>
      </c>
      <c r="BY4267" t="e">
        <f>IF(OR(cMed=0,cMed2=0,4265&gt;nFilas),NA(),IF(AND(ISNUMBER(INDEX(rMed2,4265)),ISNUMBER(INDEX(rMed,4265))),INDEX(rMed,4265),NA()))</f>
        <v>#N/A</v>
      </c>
    </row>
    <row r="4268">
      <c r="BX4268" t="e">
        <f>IF(OR(cMed=0,cMed2=0,4266&gt;nFilas),NA(),IF(AND(ISNUMBER(INDEX(rMed2,4266)),ISNUMBER(INDEX(rMed,4266))),INDEX(rMed2,4266),NA()))</f>
        <v>#N/A</v>
      </c>
      <c r="BY4268" t="e">
        <f>IF(OR(cMed=0,cMed2=0,4266&gt;nFilas),NA(),IF(AND(ISNUMBER(INDEX(rMed2,4266)),ISNUMBER(INDEX(rMed,4266))),INDEX(rMed,4266),NA()))</f>
        <v>#N/A</v>
      </c>
    </row>
    <row r="4269">
      <c r="BX4269" t="e">
        <f>IF(OR(cMed=0,cMed2=0,4267&gt;nFilas),NA(),IF(AND(ISNUMBER(INDEX(rMed2,4267)),ISNUMBER(INDEX(rMed,4267))),INDEX(rMed2,4267),NA()))</f>
        <v>#N/A</v>
      </c>
      <c r="BY4269" t="e">
        <f>IF(OR(cMed=0,cMed2=0,4267&gt;nFilas),NA(),IF(AND(ISNUMBER(INDEX(rMed2,4267)),ISNUMBER(INDEX(rMed,4267))),INDEX(rMed,4267),NA()))</f>
        <v>#N/A</v>
      </c>
    </row>
    <row r="4270">
      <c r="BX4270" t="e">
        <f>IF(OR(cMed=0,cMed2=0,4268&gt;nFilas),NA(),IF(AND(ISNUMBER(INDEX(rMed2,4268)),ISNUMBER(INDEX(rMed,4268))),INDEX(rMed2,4268),NA()))</f>
        <v>#N/A</v>
      </c>
      <c r="BY4270" t="e">
        <f>IF(OR(cMed=0,cMed2=0,4268&gt;nFilas),NA(),IF(AND(ISNUMBER(INDEX(rMed2,4268)),ISNUMBER(INDEX(rMed,4268))),INDEX(rMed,4268),NA()))</f>
        <v>#N/A</v>
      </c>
    </row>
    <row r="4271">
      <c r="BX4271" t="e">
        <f>IF(OR(cMed=0,cMed2=0,4269&gt;nFilas),NA(),IF(AND(ISNUMBER(INDEX(rMed2,4269)),ISNUMBER(INDEX(rMed,4269))),INDEX(rMed2,4269),NA()))</f>
        <v>#N/A</v>
      </c>
      <c r="BY4271" t="e">
        <f>IF(OR(cMed=0,cMed2=0,4269&gt;nFilas),NA(),IF(AND(ISNUMBER(INDEX(rMed2,4269)),ISNUMBER(INDEX(rMed,4269))),INDEX(rMed,4269),NA()))</f>
        <v>#N/A</v>
      </c>
    </row>
    <row r="4272">
      <c r="BX4272" t="e">
        <f>IF(OR(cMed=0,cMed2=0,4270&gt;nFilas),NA(),IF(AND(ISNUMBER(INDEX(rMed2,4270)),ISNUMBER(INDEX(rMed,4270))),INDEX(rMed2,4270),NA()))</f>
        <v>#N/A</v>
      </c>
      <c r="BY4272" t="e">
        <f>IF(OR(cMed=0,cMed2=0,4270&gt;nFilas),NA(),IF(AND(ISNUMBER(INDEX(rMed2,4270)),ISNUMBER(INDEX(rMed,4270))),INDEX(rMed,4270),NA()))</f>
        <v>#N/A</v>
      </c>
    </row>
    <row r="4273">
      <c r="BX4273" t="e">
        <f>IF(OR(cMed=0,cMed2=0,4271&gt;nFilas),NA(),IF(AND(ISNUMBER(INDEX(rMed2,4271)),ISNUMBER(INDEX(rMed,4271))),INDEX(rMed2,4271),NA()))</f>
        <v>#N/A</v>
      </c>
      <c r="BY4273" t="e">
        <f>IF(OR(cMed=0,cMed2=0,4271&gt;nFilas),NA(),IF(AND(ISNUMBER(INDEX(rMed2,4271)),ISNUMBER(INDEX(rMed,4271))),INDEX(rMed,4271),NA()))</f>
        <v>#N/A</v>
      </c>
    </row>
    <row r="4274">
      <c r="BX4274" t="e">
        <f>IF(OR(cMed=0,cMed2=0,4272&gt;nFilas),NA(),IF(AND(ISNUMBER(INDEX(rMed2,4272)),ISNUMBER(INDEX(rMed,4272))),INDEX(rMed2,4272),NA()))</f>
        <v>#N/A</v>
      </c>
      <c r="BY4274" t="e">
        <f>IF(OR(cMed=0,cMed2=0,4272&gt;nFilas),NA(),IF(AND(ISNUMBER(INDEX(rMed2,4272)),ISNUMBER(INDEX(rMed,4272))),INDEX(rMed,4272),NA()))</f>
        <v>#N/A</v>
      </c>
    </row>
    <row r="4275">
      <c r="BX4275" t="e">
        <f>IF(OR(cMed=0,cMed2=0,4273&gt;nFilas),NA(),IF(AND(ISNUMBER(INDEX(rMed2,4273)),ISNUMBER(INDEX(rMed,4273))),INDEX(rMed2,4273),NA()))</f>
        <v>#N/A</v>
      </c>
      <c r="BY4275" t="e">
        <f>IF(OR(cMed=0,cMed2=0,4273&gt;nFilas),NA(),IF(AND(ISNUMBER(INDEX(rMed2,4273)),ISNUMBER(INDEX(rMed,4273))),INDEX(rMed,4273),NA()))</f>
        <v>#N/A</v>
      </c>
    </row>
    <row r="4276">
      <c r="BX4276" t="e">
        <f>IF(OR(cMed=0,cMed2=0,4274&gt;nFilas),NA(),IF(AND(ISNUMBER(INDEX(rMed2,4274)),ISNUMBER(INDEX(rMed,4274))),INDEX(rMed2,4274),NA()))</f>
        <v>#N/A</v>
      </c>
      <c r="BY4276" t="e">
        <f>IF(OR(cMed=0,cMed2=0,4274&gt;nFilas),NA(),IF(AND(ISNUMBER(INDEX(rMed2,4274)),ISNUMBER(INDEX(rMed,4274))),INDEX(rMed,4274),NA()))</f>
        <v>#N/A</v>
      </c>
    </row>
    <row r="4277">
      <c r="BX4277" t="e">
        <f>IF(OR(cMed=0,cMed2=0,4275&gt;nFilas),NA(),IF(AND(ISNUMBER(INDEX(rMed2,4275)),ISNUMBER(INDEX(rMed,4275))),INDEX(rMed2,4275),NA()))</f>
        <v>#N/A</v>
      </c>
      <c r="BY4277" t="e">
        <f>IF(OR(cMed=0,cMed2=0,4275&gt;nFilas),NA(),IF(AND(ISNUMBER(INDEX(rMed2,4275)),ISNUMBER(INDEX(rMed,4275))),INDEX(rMed,4275),NA()))</f>
        <v>#N/A</v>
      </c>
    </row>
    <row r="4278">
      <c r="BX4278" t="e">
        <f>IF(OR(cMed=0,cMed2=0,4276&gt;nFilas),NA(),IF(AND(ISNUMBER(INDEX(rMed2,4276)),ISNUMBER(INDEX(rMed,4276))),INDEX(rMed2,4276),NA()))</f>
        <v>#N/A</v>
      </c>
      <c r="BY4278" t="e">
        <f>IF(OR(cMed=0,cMed2=0,4276&gt;nFilas),NA(),IF(AND(ISNUMBER(INDEX(rMed2,4276)),ISNUMBER(INDEX(rMed,4276))),INDEX(rMed,4276),NA()))</f>
        <v>#N/A</v>
      </c>
    </row>
    <row r="4279">
      <c r="BX4279" t="e">
        <f>IF(OR(cMed=0,cMed2=0,4277&gt;nFilas),NA(),IF(AND(ISNUMBER(INDEX(rMed2,4277)),ISNUMBER(INDEX(rMed,4277))),INDEX(rMed2,4277),NA()))</f>
        <v>#N/A</v>
      </c>
      <c r="BY4279" t="e">
        <f>IF(OR(cMed=0,cMed2=0,4277&gt;nFilas),NA(),IF(AND(ISNUMBER(INDEX(rMed2,4277)),ISNUMBER(INDEX(rMed,4277))),INDEX(rMed,4277),NA()))</f>
        <v>#N/A</v>
      </c>
    </row>
    <row r="4280">
      <c r="BX4280" t="e">
        <f>IF(OR(cMed=0,cMed2=0,4278&gt;nFilas),NA(),IF(AND(ISNUMBER(INDEX(rMed2,4278)),ISNUMBER(INDEX(rMed,4278))),INDEX(rMed2,4278),NA()))</f>
        <v>#N/A</v>
      </c>
      <c r="BY4280" t="e">
        <f>IF(OR(cMed=0,cMed2=0,4278&gt;nFilas),NA(),IF(AND(ISNUMBER(INDEX(rMed2,4278)),ISNUMBER(INDEX(rMed,4278))),INDEX(rMed,4278),NA()))</f>
        <v>#N/A</v>
      </c>
    </row>
    <row r="4281">
      <c r="BX4281" t="e">
        <f>IF(OR(cMed=0,cMed2=0,4279&gt;nFilas),NA(),IF(AND(ISNUMBER(INDEX(rMed2,4279)),ISNUMBER(INDEX(rMed,4279))),INDEX(rMed2,4279),NA()))</f>
        <v>#N/A</v>
      </c>
      <c r="BY4281" t="e">
        <f>IF(OR(cMed=0,cMed2=0,4279&gt;nFilas),NA(),IF(AND(ISNUMBER(INDEX(rMed2,4279)),ISNUMBER(INDEX(rMed,4279))),INDEX(rMed,4279),NA()))</f>
        <v>#N/A</v>
      </c>
    </row>
    <row r="4282">
      <c r="BX4282" t="e">
        <f>IF(OR(cMed=0,cMed2=0,4280&gt;nFilas),NA(),IF(AND(ISNUMBER(INDEX(rMed2,4280)),ISNUMBER(INDEX(rMed,4280))),INDEX(rMed2,4280),NA()))</f>
        <v>#N/A</v>
      </c>
      <c r="BY4282" t="e">
        <f>IF(OR(cMed=0,cMed2=0,4280&gt;nFilas),NA(),IF(AND(ISNUMBER(INDEX(rMed2,4280)),ISNUMBER(INDEX(rMed,4280))),INDEX(rMed,4280),NA()))</f>
        <v>#N/A</v>
      </c>
    </row>
    <row r="4283">
      <c r="BX4283" t="e">
        <f>IF(OR(cMed=0,cMed2=0,4281&gt;nFilas),NA(),IF(AND(ISNUMBER(INDEX(rMed2,4281)),ISNUMBER(INDEX(rMed,4281))),INDEX(rMed2,4281),NA()))</f>
        <v>#N/A</v>
      </c>
      <c r="BY4283" t="e">
        <f>IF(OR(cMed=0,cMed2=0,4281&gt;nFilas),NA(),IF(AND(ISNUMBER(INDEX(rMed2,4281)),ISNUMBER(INDEX(rMed,4281))),INDEX(rMed,4281),NA()))</f>
        <v>#N/A</v>
      </c>
    </row>
    <row r="4284">
      <c r="BX4284" t="e">
        <f>IF(OR(cMed=0,cMed2=0,4282&gt;nFilas),NA(),IF(AND(ISNUMBER(INDEX(rMed2,4282)),ISNUMBER(INDEX(rMed,4282))),INDEX(rMed2,4282),NA()))</f>
        <v>#N/A</v>
      </c>
      <c r="BY4284" t="e">
        <f>IF(OR(cMed=0,cMed2=0,4282&gt;nFilas),NA(),IF(AND(ISNUMBER(INDEX(rMed2,4282)),ISNUMBER(INDEX(rMed,4282))),INDEX(rMed,4282),NA()))</f>
        <v>#N/A</v>
      </c>
    </row>
    <row r="4285">
      <c r="BX4285" t="e">
        <f>IF(OR(cMed=0,cMed2=0,4283&gt;nFilas),NA(),IF(AND(ISNUMBER(INDEX(rMed2,4283)),ISNUMBER(INDEX(rMed,4283))),INDEX(rMed2,4283),NA()))</f>
        <v>#N/A</v>
      </c>
      <c r="BY4285" t="e">
        <f>IF(OR(cMed=0,cMed2=0,4283&gt;nFilas),NA(),IF(AND(ISNUMBER(INDEX(rMed2,4283)),ISNUMBER(INDEX(rMed,4283))),INDEX(rMed,4283),NA()))</f>
        <v>#N/A</v>
      </c>
    </row>
    <row r="4286">
      <c r="BX4286" t="e">
        <f>IF(OR(cMed=0,cMed2=0,4284&gt;nFilas),NA(),IF(AND(ISNUMBER(INDEX(rMed2,4284)),ISNUMBER(INDEX(rMed,4284))),INDEX(rMed2,4284),NA()))</f>
        <v>#N/A</v>
      </c>
      <c r="BY4286" t="e">
        <f>IF(OR(cMed=0,cMed2=0,4284&gt;nFilas),NA(),IF(AND(ISNUMBER(INDEX(rMed2,4284)),ISNUMBER(INDEX(rMed,4284))),INDEX(rMed,4284),NA()))</f>
        <v>#N/A</v>
      </c>
    </row>
    <row r="4287">
      <c r="BX4287" t="e">
        <f>IF(OR(cMed=0,cMed2=0,4285&gt;nFilas),NA(),IF(AND(ISNUMBER(INDEX(rMed2,4285)),ISNUMBER(INDEX(rMed,4285))),INDEX(rMed2,4285),NA()))</f>
        <v>#N/A</v>
      </c>
      <c r="BY4287" t="e">
        <f>IF(OR(cMed=0,cMed2=0,4285&gt;nFilas),NA(),IF(AND(ISNUMBER(INDEX(rMed2,4285)),ISNUMBER(INDEX(rMed,4285))),INDEX(rMed,4285),NA()))</f>
        <v>#N/A</v>
      </c>
    </row>
    <row r="4288">
      <c r="BX4288" t="e">
        <f>IF(OR(cMed=0,cMed2=0,4286&gt;nFilas),NA(),IF(AND(ISNUMBER(INDEX(rMed2,4286)),ISNUMBER(INDEX(rMed,4286))),INDEX(rMed2,4286),NA()))</f>
        <v>#N/A</v>
      </c>
      <c r="BY4288" t="e">
        <f>IF(OR(cMed=0,cMed2=0,4286&gt;nFilas),NA(),IF(AND(ISNUMBER(INDEX(rMed2,4286)),ISNUMBER(INDEX(rMed,4286))),INDEX(rMed,4286),NA()))</f>
        <v>#N/A</v>
      </c>
    </row>
    <row r="4289">
      <c r="BX4289" t="e">
        <f>IF(OR(cMed=0,cMed2=0,4287&gt;nFilas),NA(),IF(AND(ISNUMBER(INDEX(rMed2,4287)),ISNUMBER(INDEX(rMed,4287))),INDEX(rMed2,4287),NA()))</f>
        <v>#N/A</v>
      </c>
      <c r="BY4289" t="e">
        <f>IF(OR(cMed=0,cMed2=0,4287&gt;nFilas),NA(),IF(AND(ISNUMBER(INDEX(rMed2,4287)),ISNUMBER(INDEX(rMed,4287))),INDEX(rMed,4287),NA()))</f>
        <v>#N/A</v>
      </c>
    </row>
    <row r="4290">
      <c r="BX4290" t="e">
        <f>IF(OR(cMed=0,cMed2=0,4288&gt;nFilas),NA(),IF(AND(ISNUMBER(INDEX(rMed2,4288)),ISNUMBER(INDEX(rMed,4288))),INDEX(rMed2,4288),NA()))</f>
        <v>#N/A</v>
      </c>
      <c r="BY4290" t="e">
        <f>IF(OR(cMed=0,cMed2=0,4288&gt;nFilas),NA(),IF(AND(ISNUMBER(INDEX(rMed2,4288)),ISNUMBER(INDEX(rMed,4288))),INDEX(rMed,4288),NA()))</f>
        <v>#N/A</v>
      </c>
    </row>
    <row r="4291">
      <c r="BX4291" t="e">
        <f>IF(OR(cMed=0,cMed2=0,4289&gt;nFilas),NA(),IF(AND(ISNUMBER(INDEX(rMed2,4289)),ISNUMBER(INDEX(rMed,4289))),INDEX(rMed2,4289),NA()))</f>
        <v>#N/A</v>
      </c>
      <c r="BY4291" t="e">
        <f>IF(OR(cMed=0,cMed2=0,4289&gt;nFilas),NA(),IF(AND(ISNUMBER(INDEX(rMed2,4289)),ISNUMBER(INDEX(rMed,4289))),INDEX(rMed,4289),NA()))</f>
        <v>#N/A</v>
      </c>
    </row>
    <row r="4292">
      <c r="BX4292" t="e">
        <f>IF(OR(cMed=0,cMed2=0,4290&gt;nFilas),NA(),IF(AND(ISNUMBER(INDEX(rMed2,4290)),ISNUMBER(INDEX(rMed,4290))),INDEX(rMed2,4290),NA()))</f>
        <v>#N/A</v>
      </c>
      <c r="BY4292" t="e">
        <f>IF(OR(cMed=0,cMed2=0,4290&gt;nFilas),NA(),IF(AND(ISNUMBER(INDEX(rMed2,4290)),ISNUMBER(INDEX(rMed,4290))),INDEX(rMed,4290),NA()))</f>
        <v>#N/A</v>
      </c>
    </row>
    <row r="4293">
      <c r="BX4293" t="e">
        <f>IF(OR(cMed=0,cMed2=0,4291&gt;nFilas),NA(),IF(AND(ISNUMBER(INDEX(rMed2,4291)),ISNUMBER(INDEX(rMed,4291))),INDEX(rMed2,4291),NA()))</f>
        <v>#N/A</v>
      </c>
      <c r="BY4293" t="e">
        <f>IF(OR(cMed=0,cMed2=0,4291&gt;nFilas),NA(),IF(AND(ISNUMBER(INDEX(rMed2,4291)),ISNUMBER(INDEX(rMed,4291))),INDEX(rMed,4291),NA()))</f>
        <v>#N/A</v>
      </c>
    </row>
    <row r="4294">
      <c r="BX4294" t="e">
        <f>IF(OR(cMed=0,cMed2=0,4292&gt;nFilas),NA(),IF(AND(ISNUMBER(INDEX(rMed2,4292)),ISNUMBER(INDEX(rMed,4292))),INDEX(rMed2,4292),NA()))</f>
        <v>#N/A</v>
      </c>
      <c r="BY4294" t="e">
        <f>IF(OR(cMed=0,cMed2=0,4292&gt;nFilas),NA(),IF(AND(ISNUMBER(INDEX(rMed2,4292)),ISNUMBER(INDEX(rMed,4292))),INDEX(rMed,4292),NA()))</f>
        <v>#N/A</v>
      </c>
    </row>
    <row r="4295">
      <c r="BX4295" t="e">
        <f>IF(OR(cMed=0,cMed2=0,4293&gt;nFilas),NA(),IF(AND(ISNUMBER(INDEX(rMed2,4293)),ISNUMBER(INDEX(rMed,4293))),INDEX(rMed2,4293),NA()))</f>
        <v>#N/A</v>
      </c>
      <c r="BY4295" t="e">
        <f>IF(OR(cMed=0,cMed2=0,4293&gt;nFilas),NA(),IF(AND(ISNUMBER(INDEX(rMed2,4293)),ISNUMBER(INDEX(rMed,4293))),INDEX(rMed,4293),NA()))</f>
        <v>#N/A</v>
      </c>
    </row>
    <row r="4296">
      <c r="BX4296" t="e">
        <f>IF(OR(cMed=0,cMed2=0,4294&gt;nFilas),NA(),IF(AND(ISNUMBER(INDEX(rMed2,4294)),ISNUMBER(INDEX(rMed,4294))),INDEX(rMed2,4294),NA()))</f>
        <v>#N/A</v>
      </c>
      <c r="BY4296" t="e">
        <f>IF(OR(cMed=0,cMed2=0,4294&gt;nFilas),NA(),IF(AND(ISNUMBER(INDEX(rMed2,4294)),ISNUMBER(INDEX(rMed,4294))),INDEX(rMed,4294),NA()))</f>
        <v>#N/A</v>
      </c>
    </row>
    <row r="4297">
      <c r="BX4297" t="e">
        <f>IF(OR(cMed=0,cMed2=0,4295&gt;nFilas),NA(),IF(AND(ISNUMBER(INDEX(rMed2,4295)),ISNUMBER(INDEX(rMed,4295))),INDEX(rMed2,4295),NA()))</f>
        <v>#N/A</v>
      </c>
      <c r="BY4297" t="e">
        <f>IF(OR(cMed=0,cMed2=0,4295&gt;nFilas),NA(),IF(AND(ISNUMBER(INDEX(rMed2,4295)),ISNUMBER(INDEX(rMed,4295))),INDEX(rMed,4295),NA()))</f>
        <v>#N/A</v>
      </c>
    </row>
    <row r="4298">
      <c r="BX4298" t="e">
        <f>IF(OR(cMed=0,cMed2=0,4296&gt;nFilas),NA(),IF(AND(ISNUMBER(INDEX(rMed2,4296)),ISNUMBER(INDEX(rMed,4296))),INDEX(rMed2,4296),NA()))</f>
        <v>#N/A</v>
      </c>
      <c r="BY4298" t="e">
        <f>IF(OR(cMed=0,cMed2=0,4296&gt;nFilas),NA(),IF(AND(ISNUMBER(INDEX(rMed2,4296)),ISNUMBER(INDEX(rMed,4296))),INDEX(rMed,4296),NA()))</f>
        <v>#N/A</v>
      </c>
    </row>
    <row r="4299">
      <c r="BX4299" t="e">
        <f>IF(OR(cMed=0,cMed2=0,4297&gt;nFilas),NA(),IF(AND(ISNUMBER(INDEX(rMed2,4297)),ISNUMBER(INDEX(rMed,4297))),INDEX(rMed2,4297),NA()))</f>
        <v>#N/A</v>
      </c>
      <c r="BY4299" t="e">
        <f>IF(OR(cMed=0,cMed2=0,4297&gt;nFilas),NA(),IF(AND(ISNUMBER(INDEX(rMed2,4297)),ISNUMBER(INDEX(rMed,4297))),INDEX(rMed,4297),NA()))</f>
        <v>#N/A</v>
      </c>
    </row>
    <row r="4300">
      <c r="BX4300" t="e">
        <f>IF(OR(cMed=0,cMed2=0,4298&gt;nFilas),NA(),IF(AND(ISNUMBER(INDEX(rMed2,4298)),ISNUMBER(INDEX(rMed,4298))),INDEX(rMed2,4298),NA()))</f>
        <v>#N/A</v>
      </c>
      <c r="BY4300" t="e">
        <f>IF(OR(cMed=0,cMed2=0,4298&gt;nFilas),NA(),IF(AND(ISNUMBER(INDEX(rMed2,4298)),ISNUMBER(INDEX(rMed,4298))),INDEX(rMed,4298),NA()))</f>
        <v>#N/A</v>
      </c>
    </row>
    <row r="4301">
      <c r="BX4301" t="e">
        <f>IF(OR(cMed=0,cMed2=0,4299&gt;nFilas),NA(),IF(AND(ISNUMBER(INDEX(rMed2,4299)),ISNUMBER(INDEX(rMed,4299))),INDEX(rMed2,4299),NA()))</f>
        <v>#N/A</v>
      </c>
      <c r="BY4301" t="e">
        <f>IF(OR(cMed=0,cMed2=0,4299&gt;nFilas),NA(),IF(AND(ISNUMBER(INDEX(rMed2,4299)),ISNUMBER(INDEX(rMed,4299))),INDEX(rMed,4299),NA()))</f>
        <v>#N/A</v>
      </c>
    </row>
    <row r="4302">
      <c r="BX4302" t="e">
        <f>IF(OR(cMed=0,cMed2=0,4300&gt;nFilas),NA(),IF(AND(ISNUMBER(INDEX(rMed2,4300)),ISNUMBER(INDEX(rMed,4300))),INDEX(rMed2,4300),NA()))</f>
        <v>#N/A</v>
      </c>
      <c r="BY4302" t="e">
        <f>IF(OR(cMed=0,cMed2=0,4300&gt;nFilas),NA(),IF(AND(ISNUMBER(INDEX(rMed2,4300)),ISNUMBER(INDEX(rMed,4300))),INDEX(rMed,4300),NA()))</f>
        <v>#N/A</v>
      </c>
    </row>
    <row r="4303">
      <c r="BX4303" t="e">
        <f>IF(OR(cMed=0,cMed2=0,4301&gt;nFilas),NA(),IF(AND(ISNUMBER(INDEX(rMed2,4301)),ISNUMBER(INDEX(rMed,4301))),INDEX(rMed2,4301),NA()))</f>
        <v>#N/A</v>
      </c>
      <c r="BY4303" t="e">
        <f>IF(OR(cMed=0,cMed2=0,4301&gt;nFilas),NA(),IF(AND(ISNUMBER(INDEX(rMed2,4301)),ISNUMBER(INDEX(rMed,4301))),INDEX(rMed,4301),NA()))</f>
        <v>#N/A</v>
      </c>
    </row>
    <row r="4304">
      <c r="BX4304" t="e">
        <f>IF(OR(cMed=0,cMed2=0,4302&gt;nFilas),NA(),IF(AND(ISNUMBER(INDEX(rMed2,4302)),ISNUMBER(INDEX(rMed,4302))),INDEX(rMed2,4302),NA()))</f>
        <v>#N/A</v>
      </c>
      <c r="BY4304" t="e">
        <f>IF(OR(cMed=0,cMed2=0,4302&gt;nFilas),NA(),IF(AND(ISNUMBER(INDEX(rMed2,4302)),ISNUMBER(INDEX(rMed,4302))),INDEX(rMed,4302),NA()))</f>
        <v>#N/A</v>
      </c>
    </row>
    <row r="4305">
      <c r="BX4305" t="e">
        <f>IF(OR(cMed=0,cMed2=0,4303&gt;nFilas),NA(),IF(AND(ISNUMBER(INDEX(rMed2,4303)),ISNUMBER(INDEX(rMed,4303))),INDEX(rMed2,4303),NA()))</f>
        <v>#N/A</v>
      </c>
      <c r="BY4305" t="e">
        <f>IF(OR(cMed=0,cMed2=0,4303&gt;nFilas),NA(),IF(AND(ISNUMBER(INDEX(rMed2,4303)),ISNUMBER(INDEX(rMed,4303))),INDEX(rMed,4303),NA()))</f>
        <v>#N/A</v>
      </c>
    </row>
    <row r="4306">
      <c r="BX4306" t="e">
        <f>IF(OR(cMed=0,cMed2=0,4304&gt;nFilas),NA(),IF(AND(ISNUMBER(INDEX(rMed2,4304)),ISNUMBER(INDEX(rMed,4304))),INDEX(rMed2,4304),NA()))</f>
        <v>#N/A</v>
      </c>
      <c r="BY4306" t="e">
        <f>IF(OR(cMed=0,cMed2=0,4304&gt;nFilas),NA(),IF(AND(ISNUMBER(INDEX(rMed2,4304)),ISNUMBER(INDEX(rMed,4304))),INDEX(rMed,4304),NA()))</f>
        <v>#N/A</v>
      </c>
    </row>
    <row r="4307">
      <c r="BX4307" t="e">
        <f>IF(OR(cMed=0,cMed2=0,4305&gt;nFilas),NA(),IF(AND(ISNUMBER(INDEX(rMed2,4305)),ISNUMBER(INDEX(rMed,4305))),INDEX(rMed2,4305),NA()))</f>
        <v>#N/A</v>
      </c>
      <c r="BY4307" t="e">
        <f>IF(OR(cMed=0,cMed2=0,4305&gt;nFilas),NA(),IF(AND(ISNUMBER(INDEX(rMed2,4305)),ISNUMBER(INDEX(rMed,4305))),INDEX(rMed,4305),NA()))</f>
        <v>#N/A</v>
      </c>
    </row>
    <row r="4308">
      <c r="BX4308" t="e">
        <f>IF(OR(cMed=0,cMed2=0,4306&gt;nFilas),NA(),IF(AND(ISNUMBER(INDEX(rMed2,4306)),ISNUMBER(INDEX(rMed,4306))),INDEX(rMed2,4306),NA()))</f>
        <v>#N/A</v>
      </c>
      <c r="BY4308" t="e">
        <f>IF(OR(cMed=0,cMed2=0,4306&gt;nFilas),NA(),IF(AND(ISNUMBER(INDEX(rMed2,4306)),ISNUMBER(INDEX(rMed,4306))),INDEX(rMed,4306),NA()))</f>
        <v>#N/A</v>
      </c>
    </row>
    <row r="4309">
      <c r="BX4309" t="e">
        <f>IF(OR(cMed=0,cMed2=0,4307&gt;nFilas),NA(),IF(AND(ISNUMBER(INDEX(rMed2,4307)),ISNUMBER(INDEX(rMed,4307))),INDEX(rMed2,4307),NA()))</f>
        <v>#N/A</v>
      </c>
      <c r="BY4309" t="e">
        <f>IF(OR(cMed=0,cMed2=0,4307&gt;nFilas),NA(),IF(AND(ISNUMBER(INDEX(rMed2,4307)),ISNUMBER(INDEX(rMed,4307))),INDEX(rMed,4307),NA()))</f>
        <v>#N/A</v>
      </c>
    </row>
    <row r="4310">
      <c r="BX4310" t="e">
        <f>IF(OR(cMed=0,cMed2=0,4308&gt;nFilas),NA(),IF(AND(ISNUMBER(INDEX(rMed2,4308)),ISNUMBER(INDEX(rMed,4308))),INDEX(rMed2,4308),NA()))</f>
        <v>#N/A</v>
      </c>
      <c r="BY4310" t="e">
        <f>IF(OR(cMed=0,cMed2=0,4308&gt;nFilas),NA(),IF(AND(ISNUMBER(INDEX(rMed2,4308)),ISNUMBER(INDEX(rMed,4308))),INDEX(rMed,4308),NA()))</f>
        <v>#N/A</v>
      </c>
    </row>
    <row r="4311">
      <c r="BX4311" t="e">
        <f>IF(OR(cMed=0,cMed2=0,4309&gt;nFilas),NA(),IF(AND(ISNUMBER(INDEX(rMed2,4309)),ISNUMBER(INDEX(rMed,4309))),INDEX(rMed2,4309),NA()))</f>
        <v>#N/A</v>
      </c>
      <c r="BY4311" t="e">
        <f>IF(OR(cMed=0,cMed2=0,4309&gt;nFilas),NA(),IF(AND(ISNUMBER(INDEX(rMed2,4309)),ISNUMBER(INDEX(rMed,4309))),INDEX(rMed,4309),NA()))</f>
        <v>#N/A</v>
      </c>
    </row>
    <row r="4312">
      <c r="BX4312" t="e">
        <f>IF(OR(cMed=0,cMed2=0,4310&gt;nFilas),NA(),IF(AND(ISNUMBER(INDEX(rMed2,4310)),ISNUMBER(INDEX(rMed,4310))),INDEX(rMed2,4310),NA()))</f>
        <v>#N/A</v>
      </c>
      <c r="BY4312" t="e">
        <f>IF(OR(cMed=0,cMed2=0,4310&gt;nFilas),NA(),IF(AND(ISNUMBER(INDEX(rMed2,4310)),ISNUMBER(INDEX(rMed,4310))),INDEX(rMed,4310),NA()))</f>
        <v>#N/A</v>
      </c>
    </row>
    <row r="4313">
      <c r="BX4313" t="e">
        <f>IF(OR(cMed=0,cMed2=0,4311&gt;nFilas),NA(),IF(AND(ISNUMBER(INDEX(rMed2,4311)),ISNUMBER(INDEX(rMed,4311))),INDEX(rMed2,4311),NA()))</f>
        <v>#N/A</v>
      </c>
      <c r="BY4313" t="e">
        <f>IF(OR(cMed=0,cMed2=0,4311&gt;nFilas),NA(),IF(AND(ISNUMBER(INDEX(rMed2,4311)),ISNUMBER(INDEX(rMed,4311))),INDEX(rMed,4311),NA()))</f>
        <v>#N/A</v>
      </c>
    </row>
    <row r="4314">
      <c r="BX4314" t="e">
        <f>IF(OR(cMed=0,cMed2=0,4312&gt;nFilas),NA(),IF(AND(ISNUMBER(INDEX(rMed2,4312)),ISNUMBER(INDEX(rMed,4312))),INDEX(rMed2,4312),NA()))</f>
        <v>#N/A</v>
      </c>
      <c r="BY4314" t="e">
        <f>IF(OR(cMed=0,cMed2=0,4312&gt;nFilas),NA(),IF(AND(ISNUMBER(INDEX(rMed2,4312)),ISNUMBER(INDEX(rMed,4312))),INDEX(rMed,4312),NA()))</f>
        <v>#N/A</v>
      </c>
    </row>
    <row r="4315">
      <c r="BX4315" t="e">
        <f>IF(OR(cMed=0,cMed2=0,4313&gt;nFilas),NA(),IF(AND(ISNUMBER(INDEX(rMed2,4313)),ISNUMBER(INDEX(rMed,4313))),INDEX(rMed2,4313),NA()))</f>
        <v>#N/A</v>
      </c>
      <c r="BY4315" t="e">
        <f>IF(OR(cMed=0,cMed2=0,4313&gt;nFilas),NA(),IF(AND(ISNUMBER(INDEX(rMed2,4313)),ISNUMBER(INDEX(rMed,4313))),INDEX(rMed,4313),NA()))</f>
        <v>#N/A</v>
      </c>
    </row>
    <row r="4316">
      <c r="BX4316" t="e">
        <f>IF(OR(cMed=0,cMed2=0,4314&gt;nFilas),NA(),IF(AND(ISNUMBER(INDEX(rMed2,4314)),ISNUMBER(INDEX(rMed,4314))),INDEX(rMed2,4314),NA()))</f>
        <v>#N/A</v>
      </c>
      <c r="BY4316" t="e">
        <f>IF(OR(cMed=0,cMed2=0,4314&gt;nFilas),NA(),IF(AND(ISNUMBER(INDEX(rMed2,4314)),ISNUMBER(INDEX(rMed,4314))),INDEX(rMed,4314),NA()))</f>
        <v>#N/A</v>
      </c>
    </row>
    <row r="4317">
      <c r="BX4317" t="e">
        <f>IF(OR(cMed=0,cMed2=0,4315&gt;nFilas),NA(),IF(AND(ISNUMBER(INDEX(rMed2,4315)),ISNUMBER(INDEX(rMed,4315))),INDEX(rMed2,4315),NA()))</f>
        <v>#N/A</v>
      </c>
      <c r="BY4317" t="e">
        <f>IF(OR(cMed=0,cMed2=0,4315&gt;nFilas),NA(),IF(AND(ISNUMBER(INDEX(rMed2,4315)),ISNUMBER(INDEX(rMed,4315))),INDEX(rMed,4315),NA()))</f>
        <v>#N/A</v>
      </c>
    </row>
    <row r="4318">
      <c r="BX4318" t="e">
        <f>IF(OR(cMed=0,cMed2=0,4316&gt;nFilas),NA(),IF(AND(ISNUMBER(INDEX(rMed2,4316)),ISNUMBER(INDEX(rMed,4316))),INDEX(rMed2,4316),NA()))</f>
        <v>#N/A</v>
      </c>
      <c r="BY4318" t="e">
        <f>IF(OR(cMed=0,cMed2=0,4316&gt;nFilas),NA(),IF(AND(ISNUMBER(INDEX(rMed2,4316)),ISNUMBER(INDEX(rMed,4316))),INDEX(rMed,4316),NA()))</f>
        <v>#N/A</v>
      </c>
    </row>
    <row r="4319">
      <c r="BX4319" t="e">
        <f>IF(OR(cMed=0,cMed2=0,4317&gt;nFilas),NA(),IF(AND(ISNUMBER(INDEX(rMed2,4317)),ISNUMBER(INDEX(rMed,4317))),INDEX(rMed2,4317),NA()))</f>
        <v>#N/A</v>
      </c>
      <c r="BY4319" t="e">
        <f>IF(OR(cMed=0,cMed2=0,4317&gt;nFilas),NA(),IF(AND(ISNUMBER(INDEX(rMed2,4317)),ISNUMBER(INDEX(rMed,4317))),INDEX(rMed,4317),NA()))</f>
        <v>#N/A</v>
      </c>
    </row>
    <row r="4320">
      <c r="BX4320" t="e">
        <f>IF(OR(cMed=0,cMed2=0,4318&gt;nFilas),NA(),IF(AND(ISNUMBER(INDEX(rMed2,4318)),ISNUMBER(INDEX(rMed,4318))),INDEX(rMed2,4318),NA()))</f>
        <v>#N/A</v>
      </c>
      <c r="BY4320" t="e">
        <f>IF(OR(cMed=0,cMed2=0,4318&gt;nFilas),NA(),IF(AND(ISNUMBER(INDEX(rMed2,4318)),ISNUMBER(INDEX(rMed,4318))),INDEX(rMed,4318),NA()))</f>
        <v>#N/A</v>
      </c>
    </row>
    <row r="4321">
      <c r="BX4321" t="e">
        <f>IF(OR(cMed=0,cMed2=0,4319&gt;nFilas),NA(),IF(AND(ISNUMBER(INDEX(rMed2,4319)),ISNUMBER(INDEX(rMed,4319))),INDEX(rMed2,4319),NA()))</f>
        <v>#N/A</v>
      </c>
      <c r="BY4321" t="e">
        <f>IF(OR(cMed=0,cMed2=0,4319&gt;nFilas),NA(),IF(AND(ISNUMBER(INDEX(rMed2,4319)),ISNUMBER(INDEX(rMed,4319))),INDEX(rMed,4319),NA()))</f>
        <v>#N/A</v>
      </c>
    </row>
    <row r="4322">
      <c r="BX4322" t="e">
        <f>IF(OR(cMed=0,cMed2=0,4320&gt;nFilas),NA(),IF(AND(ISNUMBER(INDEX(rMed2,4320)),ISNUMBER(INDEX(rMed,4320))),INDEX(rMed2,4320),NA()))</f>
        <v>#N/A</v>
      </c>
      <c r="BY4322" t="e">
        <f>IF(OR(cMed=0,cMed2=0,4320&gt;nFilas),NA(),IF(AND(ISNUMBER(INDEX(rMed2,4320)),ISNUMBER(INDEX(rMed,4320))),INDEX(rMed,4320),NA()))</f>
        <v>#N/A</v>
      </c>
    </row>
    <row r="4323">
      <c r="BX4323" t="e">
        <f>IF(OR(cMed=0,cMed2=0,4321&gt;nFilas),NA(),IF(AND(ISNUMBER(INDEX(rMed2,4321)),ISNUMBER(INDEX(rMed,4321))),INDEX(rMed2,4321),NA()))</f>
        <v>#N/A</v>
      </c>
      <c r="BY4323" t="e">
        <f>IF(OR(cMed=0,cMed2=0,4321&gt;nFilas),NA(),IF(AND(ISNUMBER(INDEX(rMed2,4321)),ISNUMBER(INDEX(rMed,4321))),INDEX(rMed,4321),NA()))</f>
        <v>#N/A</v>
      </c>
    </row>
    <row r="4324">
      <c r="BX4324" t="e">
        <f>IF(OR(cMed=0,cMed2=0,4322&gt;nFilas),NA(),IF(AND(ISNUMBER(INDEX(rMed2,4322)),ISNUMBER(INDEX(rMed,4322))),INDEX(rMed2,4322),NA()))</f>
        <v>#N/A</v>
      </c>
      <c r="BY4324" t="e">
        <f>IF(OR(cMed=0,cMed2=0,4322&gt;nFilas),NA(),IF(AND(ISNUMBER(INDEX(rMed2,4322)),ISNUMBER(INDEX(rMed,4322))),INDEX(rMed,4322),NA()))</f>
        <v>#N/A</v>
      </c>
    </row>
    <row r="4325">
      <c r="BX4325" t="e">
        <f>IF(OR(cMed=0,cMed2=0,4323&gt;nFilas),NA(),IF(AND(ISNUMBER(INDEX(rMed2,4323)),ISNUMBER(INDEX(rMed,4323))),INDEX(rMed2,4323),NA()))</f>
        <v>#N/A</v>
      </c>
      <c r="BY4325" t="e">
        <f>IF(OR(cMed=0,cMed2=0,4323&gt;nFilas),NA(),IF(AND(ISNUMBER(INDEX(rMed2,4323)),ISNUMBER(INDEX(rMed,4323))),INDEX(rMed,4323),NA()))</f>
        <v>#N/A</v>
      </c>
    </row>
    <row r="4326">
      <c r="BX4326" t="e">
        <f>IF(OR(cMed=0,cMed2=0,4324&gt;nFilas),NA(),IF(AND(ISNUMBER(INDEX(rMed2,4324)),ISNUMBER(INDEX(rMed,4324))),INDEX(rMed2,4324),NA()))</f>
        <v>#N/A</v>
      </c>
      <c r="BY4326" t="e">
        <f>IF(OR(cMed=0,cMed2=0,4324&gt;nFilas),NA(),IF(AND(ISNUMBER(INDEX(rMed2,4324)),ISNUMBER(INDEX(rMed,4324))),INDEX(rMed,4324),NA()))</f>
        <v>#N/A</v>
      </c>
    </row>
    <row r="4327">
      <c r="BX4327" t="e">
        <f>IF(OR(cMed=0,cMed2=0,4325&gt;nFilas),NA(),IF(AND(ISNUMBER(INDEX(rMed2,4325)),ISNUMBER(INDEX(rMed,4325))),INDEX(rMed2,4325),NA()))</f>
        <v>#N/A</v>
      </c>
      <c r="BY4327" t="e">
        <f>IF(OR(cMed=0,cMed2=0,4325&gt;nFilas),NA(),IF(AND(ISNUMBER(INDEX(rMed2,4325)),ISNUMBER(INDEX(rMed,4325))),INDEX(rMed,4325),NA()))</f>
        <v>#N/A</v>
      </c>
    </row>
    <row r="4328">
      <c r="BX4328" t="e">
        <f>IF(OR(cMed=0,cMed2=0,4326&gt;nFilas),NA(),IF(AND(ISNUMBER(INDEX(rMed2,4326)),ISNUMBER(INDEX(rMed,4326))),INDEX(rMed2,4326),NA()))</f>
        <v>#N/A</v>
      </c>
      <c r="BY4328" t="e">
        <f>IF(OR(cMed=0,cMed2=0,4326&gt;nFilas),NA(),IF(AND(ISNUMBER(INDEX(rMed2,4326)),ISNUMBER(INDEX(rMed,4326))),INDEX(rMed,4326),NA()))</f>
        <v>#N/A</v>
      </c>
    </row>
    <row r="4329">
      <c r="BX4329" t="e">
        <f>IF(OR(cMed=0,cMed2=0,4327&gt;nFilas),NA(),IF(AND(ISNUMBER(INDEX(rMed2,4327)),ISNUMBER(INDEX(rMed,4327))),INDEX(rMed2,4327),NA()))</f>
        <v>#N/A</v>
      </c>
      <c r="BY4329" t="e">
        <f>IF(OR(cMed=0,cMed2=0,4327&gt;nFilas),NA(),IF(AND(ISNUMBER(INDEX(rMed2,4327)),ISNUMBER(INDEX(rMed,4327))),INDEX(rMed,4327),NA()))</f>
        <v>#N/A</v>
      </c>
    </row>
    <row r="4330">
      <c r="BX4330" t="e">
        <f>IF(OR(cMed=0,cMed2=0,4328&gt;nFilas),NA(),IF(AND(ISNUMBER(INDEX(rMed2,4328)),ISNUMBER(INDEX(rMed,4328))),INDEX(rMed2,4328),NA()))</f>
        <v>#N/A</v>
      </c>
      <c r="BY4330" t="e">
        <f>IF(OR(cMed=0,cMed2=0,4328&gt;nFilas),NA(),IF(AND(ISNUMBER(INDEX(rMed2,4328)),ISNUMBER(INDEX(rMed,4328))),INDEX(rMed,4328),NA()))</f>
        <v>#N/A</v>
      </c>
    </row>
    <row r="4331">
      <c r="BX4331" t="e">
        <f>IF(OR(cMed=0,cMed2=0,4329&gt;nFilas),NA(),IF(AND(ISNUMBER(INDEX(rMed2,4329)),ISNUMBER(INDEX(rMed,4329))),INDEX(rMed2,4329),NA()))</f>
        <v>#N/A</v>
      </c>
      <c r="BY4331" t="e">
        <f>IF(OR(cMed=0,cMed2=0,4329&gt;nFilas),NA(),IF(AND(ISNUMBER(INDEX(rMed2,4329)),ISNUMBER(INDEX(rMed,4329))),INDEX(rMed,4329),NA()))</f>
        <v>#N/A</v>
      </c>
    </row>
    <row r="4332">
      <c r="BX4332" t="e">
        <f>IF(OR(cMed=0,cMed2=0,4330&gt;nFilas),NA(),IF(AND(ISNUMBER(INDEX(rMed2,4330)),ISNUMBER(INDEX(rMed,4330))),INDEX(rMed2,4330),NA()))</f>
        <v>#N/A</v>
      </c>
      <c r="BY4332" t="e">
        <f>IF(OR(cMed=0,cMed2=0,4330&gt;nFilas),NA(),IF(AND(ISNUMBER(INDEX(rMed2,4330)),ISNUMBER(INDEX(rMed,4330))),INDEX(rMed,4330),NA()))</f>
        <v>#N/A</v>
      </c>
    </row>
    <row r="4333">
      <c r="BX4333" t="e">
        <f>IF(OR(cMed=0,cMed2=0,4331&gt;nFilas),NA(),IF(AND(ISNUMBER(INDEX(rMed2,4331)),ISNUMBER(INDEX(rMed,4331))),INDEX(rMed2,4331),NA()))</f>
        <v>#N/A</v>
      </c>
      <c r="BY4333" t="e">
        <f>IF(OR(cMed=0,cMed2=0,4331&gt;nFilas),NA(),IF(AND(ISNUMBER(INDEX(rMed2,4331)),ISNUMBER(INDEX(rMed,4331))),INDEX(rMed,4331),NA()))</f>
        <v>#N/A</v>
      </c>
    </row>
    <row r="4334">
      <c r="BX4334" t="e">
        <f>IF(OR(cMed=0,cMed2=0,4332&gt;nFilas),NA(),IF(AND(ISNUMBER(INDEX(rMed2,4332)),ISNUMBER(INDEX(rMed,4332))),INDEX(rMed2,4332),NA()))</f>
        <v>#N/A</v>
      </c>
      <c r="BY4334" t="e">
        <f>IF(OR(cMed=0,cMed2=0,4332&gt;nFilas),NA(),IF(AND(ISNUMBER(INDEX(rMed2,4332)),ISNUMBER(INDEX(rMed,4332))),INDEX(rMed,4332),NA()))</f>
        <v>#N/A</v>
      </c>
    </row>
    <row r="4335">
      <c r="BX4335" t="e">
        <f>IF(OR(cMed=0,cMed2=0,4333&gt;nFilas),NA(),IF(AND(ISNUMBER(INDEX(rMed2,4333)),ISNUMBER(INDEX(rMed,4333))),INDEX(rMed2,4333),NA()))</f>
        <v>#N/A</v>
      </c>
      <c r="BY4335" t="e">
        <f>IF(OR(cMed=0,cMed2=0,4333&gt;nFilas),NA(),IF(AND(ISNUMBER(INDEX(rMed2,4333)),ISNUMBER(INDEX(rMed,4333))),INDEX(rMed,4333),NA()))</f>
        <v>#N/A</v>
      </c>
    </row>
    <row r="4336">
      <c r="BX4336" t="e">
        <f>IF(OR(cMed=0,cMed2=0,4334&gt;nFilas),NA(),IF(AND(ISNUMBER(INDEX(rMed2,4334)),ISNUMBER(INDEX(rMed,4334))),INDEX(rMed2,4334),NA()))</f>
        <v>#N/A</v>
      </c>
      <c r="BY4336" t="e">
        <f>IF(OR(cMed=0,cMed2=0,4334&gt;nFilas),NA(),IF(AND(ISNUMBER(INDEX(rMed2,4334)),ISNUMBER(INDEX(rMed,4334))),INDEX(rMed,4334),NA()))</f>
        <v>#N/A</v>
      </c>
    </row>
    <row r="4337">
      <c r="BX4337" t="e">
        <f>IF(OR(cMed=0,cMed2=0,4335&gt;nFilas),NA(),IF(AND(ISNUMBER(INDEX(rMed2,4335)),ISNUMBER(INDEX(rMed,4335))),INDEX(rMed2,4335),NA()))</f>
        <v>#N/A</v>
      </c>
      <c r="BY4337" t="e">
        <f>IF(OR(cMed=0,cMed2=0,4335&gt;nFilas),NA(),IF(AND(ISNUMBER(INDEX(rMed2,4335)),ISNUMBER(INDEX(rMed,4335))),INDEX(rMed,4335),NA()))</f>
        <v>#N/A</v>
      </c>
    </row>
    <row r="4338">
      <c r="BX4338" t="e">
        <f>IF(OR(cMed=0,cMed2=0,4336&gt;nFilas),NA(),IF(AND(ISNUMBER(INDEX(rMed2,4336)),ISNUMBER(INDEX(rMed,4336))),INDEX(rMed2,4336),NA()))</f>
        <v>#N/A</v>
      </c>
      <c r="BY4338" t="e">
        <f>IF(OR(cMed=0,cMed2=0,4336&gt;nFilas),NA(),IF(AND(ISNUMBER(INDEX(rMed2,4336)),ISNUMBER(INDEX(rMed,4336))),INDEX(rMed,4336),NA()))</f>
        <v>#N/A</v>
      </c>
    </row>
    <row r="4339">
      <c r="BX4339" t="e">
        <f>IF(OR(cMed=0,cMed2=0,4337&gt;nFilas),NA(),IF(AND(ISNUMBER(INDEX(rMed2,4337)),ISNUMBER(INDEX(rMed,4337))),INDEX(rMed2,4337),NA()))</f>
        <v>#N/A</v>
      </c>
      <c r="BY4339" t="e">
        <f>IF(OR(cMed=0,cMed2=0,4337&gt;nFilas),NA(),IF(AND(ISNUMBER(INDEX(rMed2,4337)),ISNUMBER(INDEX(rMed,4337))),INDEX(rMed,4337),NA()))</f>
        <v>#N/A</v>
      </c>
    </row>
    <row r="4340">
      <c r="BX4340" t="e">
        <f>IF(OR(cMed=0,cMed2=0,4338&gt;nFilas),NA(),IF(AND(ISNUMBER(INDEX(rMed2,4338)),ISNUMBER(INDEX(rMed,4338))),INDEX(rMed2,4338),NA()))</f>
        <v>#N/A</v>
      </c>
      <c r="BY4340" t="e">
        <f>IF(OR(cMed=0,cMed2=0,4338&gt;nFilas),NA(),IF(AND(ISNUMBER(INDEX(rMed2,4338)),ISNUMBER(INDEX(rMed,4338))),INDEX(rMed,4338),NA()))</f>
        <v>#N/A</v>
      </c>
    </row>
    <row r="4341">
      <c r="BX4341" t="e">
        <f>IF(OR(cMed=0,cMed2=0,4339&gt;nFilas),NA(),IF(AND(ISNUMBER(INDEX(rMed2,4339)),ISNUMBER(INDEX(rMed,4339))),INDEX(rMed2,4339),NA()))</f>
        <v>#N/A</v>
      </c>
      <c r="BY4341" t="e">
        <f>IF(OR(cMed=0,cMed2=0,4339&gt;nFilas),NA(),IF(AND(ISNUMBER(INDEX(rMed2,4339)),ISNUMBER(INDEX(rMed,4339))),INDEX(rMed,4339),NA()))</f>
        <v>#N/A</v>
      </c>
    </row>
    <row r="4342">
      <c r="BX4342" t="e">
        <f>IF(OR(cMed=0,cMed2=0,4340&gt;nFilas),NA(),IF(AND(ISNUMBER(INDEX(rMed2,4340)),ISNUMBER(INDEX(rMed,4340))),INDEX(rMed2,4340),NA()))</f>
        <v>#N/A</v>
      </c>
      <c r="BY4342" t="e">
        <f>IF(OR(cMed=0,cMed2=0,4340&gt;nFilas),NA(),IF(AND(ISNUMBER(INDEX(rMed2,4340)),ISNUMBER(INDEX(rMed,4340))),INDEX(rMed,4340),NA()))</f>
        <v>#N/A</v>
      </c>
    </row>
    <row r="4343">
      <c r="BX4343" t="e">
        <f>IF(OR(cMed=0,cMed2=0,4341&gt;nFilas),NA(),IF(AND(ISNUMBER(INDEX(rMed2,4341)),ISNUMBER(INDEX(rMed,4341))),INDEX(rMed2,4341),NA()))</f>
        <v>#N/A</v>
      </c>
      <c r="BY4343" t="e">
        <f>IF(OR(cMed=0,cMed2=0,4341&gt;nFilas),NA(),IF(AND(ISNUMBER(INDEX(rMed2,4341)),ISNUMBER(INDEX(rMed,4341))),INDEX(rMed,4341),NA()))</f>
        <v>#N/A</v>
      </c>
    </row>
    <row r="4344">
      <c r="BX4344" t="e">
        <f>IF(OR(cMed=0,cMed2=0,4342&gt;nFilas),NA(),IF(AND(ISNUMBER(INDEX(rMed2,4342)),ISNUMBER(INDEX(rMed,4342))),INDEX(rMed2,4342),NA()))</f>
        <v>#N/A</v>
      </c>
      <c r="BY4344" t="e">
        <f>IF(OR(cMed=0,cMed2=0,4342&gt;nFilas),NA(),IF(AND(ISNUMBER(INDEX(rMed2,4342)),ISNUMBER(INDEX(rMed,4342))),INDEX(rMed,4342),NA()))</f>
        <v>#N/A</v>
      </c>
    </row>
    <row r="4345">
      <c r="BX4345" t="e">
        <f>IF(OR(cMed=0,cMed2=0,4343&gt;nFilas),NA(),IF(AND(ISNUMBER(INDEX(rMed2,4343)),ISNUMBER(INDEX(rMed,4343))),INDEX(rMed2,4343),NA()))</f>
        <v>#N/A</v>
      </c>
      <c r="BY4345" t="e">
        <f>IF(OR(cMed=0,cMed2=0,4343&gt;nFilas),NA(),IF(AND(ISNUMBER(INDEX(rMed2,4343)),ISNUMBER(INDEX(rMed,4343))),INDEX(rMed,4343),NA()))</f>
        <v>#N/A</v>
      </c>
    </row>
    <row r="4346">
      <c r="BX4346" t="e">
        <f>IF(OR(cMed=0,cMed2=0,4344&gt;nFilas),NA(),IF(AND(ISNUMBER(INDEX(rMed2,4344)),ISNUMBER(INDEX(rMed,4344))),INDEX(rMed2,4344),NA()))</f>
        <v>#N/A</v>
      </c>
      <c r="BY4346" t="e">
        <f>IF(OR(cMed=0,cMed2=0,4344&gt;nFilas),NA(),IF(AND(ISNUMBER(INDEX(rMed2,4344)),ISNUMBER(INDEX(rMed,4344))),INDEX(rMed,4344),NA()))</f>
        <v>#N/A</v>
      </c>
    </row>
    <row r="4347">
      <c r="BX4347" t="e">
        <f>IF(OR(cMed=0,cMed2=0,4345&gt;nFilas),NA(),IF(AND(ISNUMBER(INDEX(rMed2,4345)),ISNUMBER(INDEX(rMed,4345))),INDEX(rMed2,4345),NA()))</f>
        <v>#N/A</v>
      </c>
      <c r="BY4347" t="e">
        <f>IF(OR(cMed=0,cMed2=0,4345&gt;nFilas),NA(),IF(AND(ISNUMBER(INDEX(rMed2,4345)),ISNUMBER(INDEX(rMed,4345))),INDEX(rMed,4345),NA()))</f>
        <v>#N/A</v>
      </c>
    </row>
    <row r="4348">
      <c r="BX4348" t="e">
        <f>IF(OR(cMed=0,cMed2=0,4346&gt;nFilas),NA(),IF(AND(ISNUMBER(INDEX(rMed2,4346)),ISNUMBER(INDEX(rMed,4346))),INDEX(rMed2,4346),NA()))</f>
        <v>#N/A</v>
      </c>
      <c r="BY4348" t="e">
        <f>IF(OR(cMed=0,cMed2=0,4346&gt;nFilas),NA(),IF(AND(ISNUMBER(INDEX(rMed2,4346)),ISNUMBER(INDEX(rMed,4346))),INDEX(rMed,4346),NA()))</f>
        <v>#N/A</v>
      </c>
    </row>
    <row r="4349">
      <c r="BX4349" t="e">
        <f>IF(OR(cMed=0,cMed2=0,4347&gt;nFilas),NA(),IF(AND(ISNUMBER(INDEX(rMed2,4347)),ISNUMBER(INDEX(rMed,4347))),INDEX(rMed2,4347),NA()))</f>
        <v>#N/A</v>
      </c>
      <c r="BY4349" t="e">
        <f>IF(OR(cMed=0,cMed2=0,4347&gt;nFilas),NA(),IF(AND(ISNUMBER(INDEX(rMed2,4347)),ISNUMBER(INDEX(rMed,4347))),INDEX(rMed,4347),NA()))</f>
        <v>#N/A</v>
      </c>
    </row>
    <row r="4350">
      <c r="BX4350" t="e">
        <f>IF(OR(cMed=0,cMed2=0,4348&gt;nFilas),NA(),IF(AND(ISNUMBER(INDEX(rMed2,4348)),ISNUMBER(INDEX(rMed,4348))),INDEX(rMed2,4348),NA()))</f>
        <v>#N/A</v>
      </c>
      <c r="BY4350" t="e">
        <f>IF(OR(cMed=0,cMed2=0,4348&gt;nFilas),NA(),IF(AND(ISNUMBER(INDEX(rMed2,4348)),ISNUMBER(INDEX(rMed,4348))),INDEX(rMed,4348),NA()))</f>
        <v>#N/A</v>
      </c>
    </row>
    <row r="4351">
      <c r="BX4351" t="e">
        <f>IF(OR(cMed=0,cMed2=0,4349&gt;nFilas),NA(),IF(AND(ISNUMBER(INDEX(rMed2,4349)),ISNUMBER(INDEX(rMed,4349))),INDEX(rMed2,4349),NA()))</f>
        <v>#N/A</v>
      </c>
      <c r="BY4351" t="e">
        <f>IF(OR(cMed=0,cMed2=0,4349&gt;nFilas),NA(),IF(AND(ISNUMBER(INDEX(rMed2,4349)),ISNUMBER(INDEX(rMed,4349))),INDEX(rMed,4349),NA()))</f>
        <v>#N/A</v>
      </c>
    </row>
    <row r="4352">
      <c r="BX4352" t="e">
        <f>IF(OR(cMed=0,cMed2=0,4350&gt;nFilas),NA(),IF(AND(ISNUMBER(INDEX(rMed2,4350)),ISNUMBER(INDEX(rMed,4350))),INDEX(rMed2,4350),NA()))</f>
        <v>#N/A</v>
      </c>
      <c r="BY4352" t="e">
        <f>IF(OR(cMed=0,cMed2=0,4350&gt;nFilas),NA(),IF(AND(ISNUMBER(INDEX(rMed2,4350)),ISNUMBER(INDEX(rMed,4350))),INDEX(rMed,4350),NA()))</f>
        <v>#N/A</v>
      </c>
    </row>
    <row r="4353">
      <c r="BX4353" t="e">
        <f>IF(OR(cMed=0,cMed2=0,4351&gt;nFilas),NA(),IF(AND(ISNUMBER(INDEX(rMed2,4351)),ISNUMBER(INDEX(rMed,4351))),INDEX(rMed2,4351),NA()))</f>
        <v>#N/A</v>
      </c>
      <c r="BY4353" t="e">
        <f>IF(OR(cMed=0,cMed2=0,4351&gt;nFilas),NA(),IF(AND(ISNUMBER(INDEX(rMed2,4351)),ISNUMBER(INDEX(rMed,4351))),INDEX(rMed,4351),NA()))</f>
        <v>#N/A</v>
      </c>
    </row>
    <row r="4354">
      <c r="BX4354" t="e">
        <f>IF(OR(cMed=0,cMed2=0,4352&gt;nFilas),NA(),IF(AND(ISNUMBER(INDEX(rMed2,4352)),ISNUMBER(INDEX(rMed,4352))),INDEX(rMed2,4352),NA()))</f>
        <v>#N/A</v>
      </c>
      <c r="BY4354" t="e">
        <f>IF(OR(cMed=0,cMed2=0,4352&gt;nFilas),NA(),IF(AND(ISNUMBER(INDEX(rMed2,4352)),ISNUMBER(INDEX(rMed,4352))),INDEX(rMed,4352),NA()))</f>
        <v>#N/A</v>
      </c>
    </row>
    <row r="4355">
      <c r="BX4355" t="e">
        <f>IF(OR(cMed=0,cMed2=0,4353&gt;nFilas),NA(),IF(AND(ISNUMBER(INDEX(rMed2,4353)),ISNUMBER(INDEX(rMed,4353))),INDEX(rMed2,4353),NA()))</f>
        <v>#N/A</v>
      </c>
      <c r="BY4355" t="e">
        <f>IF(OR(cMed=0,cMed2=0,4353&gt;nFilas),NA(),IF(AND(ISNUMBER(INDEX(rMed2,4353)),ISNUMBER(INDEX(rMed,4353))),INDEX(rMed,4353),NA()))</f>
        <v>#N/A</v>
      </c>
    </row>
    <row r="4356">
      <c r="BX4356" t="e">
        <f>IF(OR(cMed=0,cMed2=0,4354&gt;nFilas),NA(),IF(AND(ISNUMBER(INDEX(rMed2,4354)),ISNUMBER(INDEX(rMed,4354))),INDEX(rMed2,4354),NA()))</f>
        <v>#N/A</v>
      </c>
      <c r="BY4356" t="e">
        <f>IF(OR(cMed=0,cMed2=0,4354&gt;nFilas),NA(),IF(AND(ISNUMBER(INDEX(rMed2,4354)),ISNUMBER(INDEX(rMed,4354))),INDEX(rMed,4354),NA()))</f>
        <v>#N/A</v>
      </c>
    </row>
    <row r="4357">
      <c r="BX4357" t="e">
        <f>IF(OR(cMed=0,cMed2=0,4355&gt;nFilas),NA(),IF(AND(ISNUMBER(INDEX(rMed2,4355)),ISNUMBER(INDEX(rMed,4355))),INDEX(rMed2,4355),NA()))</f>
        <v>#N/A</v>
      </c>
      <c r="BY4357" t="e">
        <f>IF(OR(cMed=0,cMed2=0,4355&gt;nFilas),NA(),IF(AND(ISNUMBER(INDEX(rMed2,4355)),ISNUMBER(INDEX(rMed,4355))),INDEX(rMed,4355),NA()))</f>
        <v>#N/A</v>
      </c>
    </row>
    <row r="4358">
      <c r="BX4358" t="e">
        <f>IF(OR(cMed=0,cMed2=0,4356&gt;nFilas),NA(),IF(AND(ISNUMBER(INDEX(rMed2,4356)),ISNUMBER(INDEX(rMed,4356))),INDEX(rMed2,4356),NA()))</f>
        <v>#N/A</v>
      </c>
      <c r="BY4358" t="e">
        <f>IF(OR(cMed=0,cMed2=0,4356&gt;nFilas),NA(),IF(AND(ISNUMBER(INDEX(rMed2,4356)),ISNUMBER(INDEX(rMed,4356))),INDEX(rMed,4356),NA()))</f>
        <v>#N/A</v>
      </c>
    </row>
    <row r="4359">
      <c r="BX4359" t="e">
        <f>IF(OR(cMed=0,cMed2=0,4357&gt;nFilas),NA(),IF(AND(ISNUMBER(INDEX(rMed2,4357)),ISNUMBER(INDEX(rMed,4357))),INDEX(rMed2,4357),NA()))</f>
        <v>#N/A</v>
      </c>
      <c r="BY4359" t="e">
        <f>IF(OR(cMed=0,cMed2=0,4357&gt;nFilas),NA(),IF(AND(ISNUMBER(INDEX(rMed2,4357)),ISNUMBER(INDEX(rMed,4357))),INDEX(rMed,4357),NA()))</f>
        <v>#N/A</v>
      </c>
    </row>
    <row r="4360">
      <c r="BX4360" t="e">
        <f>IF(OR(cMed=0,cMed2=0,4358&gt;nFilas),NA(),IF(AND(ISNUMBER(INDEX(rMed2,4358)),ISNUMBER(INDEX(rMed,4358))),INDEX(rMed2,4358),NA()))</f>
        <v>#N/A</v>
      </c>
      <c r="BY4360" t="e">
        <f>IF(OR(cMed=0,cMed2=0,4358&gt;nFilas),NA(),IF(AND(ISNUMBER(INDEX(rMed2,4358)),ISNUMBER(INDEX(rMed,4358))),INDEX(rMed,4358),NA()))</f>
        <v>#N/A</v>
      </c>
    </row>
    <row r="4361">
      <c r="BX4361" t="e">
        <f>IF(OR(cMed=0,cMed2=0,4359&gt;nFilas),NA(),IF(AND(ISNUMBER(INDEX(rMed2,4359)),ISNUMBER(INDEX(rMed,4359))),INDEX(rMed2,4359),NA()))</f>
        <v>#N/A</v>
      </c>
      <c r="BY4361" t="e">
        <f>IF(OR(cMed=0,cMed2=0,4359&gt;nFilas),NA(),IF(AND(ISNUMBER(INDEX(rMed2,4359)),ISNUMBER(INDEX(rMed,4359))),INDEX(rMed,4359),NA()))</f>
        <v>#N/A</v>
      </c>
    </row>
    <row r="4362">
      <c r="BX4362" t="e">
        <f>IF(OR(cMed=0,cMed2=0,4360&gt;nFilas),NA(),IF(AND(ISNUMBER(INDEX(rMed2,4360)),ISNUMBER(INDEX(rMed,4360))),INDEX(rMed2,4360),NA()))</f>
        <v>#N/A</v>
      </c>
      <c r="BY4362" t="e">
        <f>IF(OR(cMed=0,cMed2=0,4360&gt;nFilas),NA(),IF(AND(ISNUMBER(INDEX(rMed2,4360)),ISNUMBER(INDEX(rMed,4360))),INDEX(rMed,4360),NA()))</f>
        <v>#N/A</v>
      </c>
    </row>
    <row r="4363">
      <c r="BX4363" t="e">
        <f>IF(OR(cMed=0,cMed2=0,4361&gt;nFilas),NA(),IF(AND(ISNUMBER(INDEX(rMed2,4361)),ISNUMBER(INDEX(rMed,4361))),INDEX(rMed2,4361),NA()))</f>
        <v>#N/A</v>
      </c>
      <c r="BY4363" t="e">
        <f>IF(OR(cMed=0,cMed2=0,4361&gt;nFilas),NA(),IF(AND(ISNUMBER(INDEX(rMed2,4361)),ISNUMBER(INDEX(rMed,4361))),INDEX(rMed,4361),NA()))</f>
        <v>#N/A</v>
      </c>
    </row>
    <row r="4364">
      <c r="BX4364" t="e">
        <f>IF(OR(cMed=0,cMed2=0,4362&gt;nFilas),NA(),IF(AND(ISNUMBER(INDEX(rMed2,4362)),ISNUMBER(INDEX(rMed,4362))),INDEX(rMed2,4362),NA()))</f>
        <v>#N/A</v>
      </c>
      <c r="BY4364" t="e">
        <f>IF(OR(cMed=0,cMed2=0,4362&gt;nFilas),NA(),IF(AND(ISNUMBER(INDEX(rMed2,4362)),ISNUMBER(INDEX(rMed,4362))),INDEX(rMed,4362),NA()))</f>
        <v>#N/A</v>
      </c>
    </row>
    <row r="4365">
      <c r="BX4365" t="e">
        <f>IF(OR(cMed=0,cMed2=0,4363&gt;nFilas),NA(),IF(AND(ISNUMBER(INDEX(rMed2,4363)),ISNUMBER(INDEX(rMed,4363))),INDEX(rMed2,4363),NA()))</f>
        <v>#N/A</v>
      </c>
      <c r="BY4365" t="e">
        <f>IF(OR(cMed=0,cMed2=0,4363&gt;nFilas),NA(),IF(AND(ISNUMBER(INDEX(rMed2,4363)),ISNUMBER(INDEX(rMed,4363))),INDEX(rMed,4363),NA()))</f>
        <v>#N/A</v>
      </c>
    </row>
    <row r="4366">
      <c r="BX4366" t="e">
        <f>IF(OR(cMed=0,cMed2=0,4364&gt;nFilas),NA(),IF(AND(ISNUMBER(INDEX(rMed2,4364)),ISNUMBER(INDEX(rMed,4364))),INDEX(rMed2,4364),NA()))</f>
        <v>#N/A</v>
      </c>
      <c r="BY4366" t="e">
        <f>IF(OR(cMed=0,cMed2=0,4364&gt;nFilas),NA(),IF(AND(ISNUMBER(INDEX(rMed2,4364)),ISNUMBER(INDEX(rMed,4364))),INDEX(rMed,4364),NA()))</f>
        <v>#N/A</v>
      </c>
    </row>
    <row r="4367">
      <c r="BX4367" t="e">
        <f>IF(OR(cMed=0,cMed2=0,4365&gt;nFilas),NA(),IF(AND(ISNUMBER(INDEX(rMed2,4365)),ISNUMBER(INDEX(rMed,4365))),INDEX(rMed2,4365),NA()))</f>
        <v>#N/A</v>
      </c>
      <c r="BY4367" t="e">
        <f>IF(OR(cMed=0,cMed2=0,4365&gt;nFilas),NA(),IF(AND(ISNUMBER(INDEX(rMed2,4365)),ISNUMBER(INDEX(rMed,4365))),INDEX(rMed,4365),NA()))</f>
        <v>#N/A</v>
      </c>
    </row>
    <row r="4368">
      <c r="BX4368" t="e">
        <f>IF(OR(cMed=0,cMed2=0,4366&gt;nFilas),NA(),IF(AND(ISNUMBER(INDEX(rMed2,4366)),ISNUMBER(INDEX(rMed,4366))),INDEX(rMed2,4366),NA()))</f>
        <v>#N/A</v>
      </c>
      <c r="BY4368" t="e">
        <f>IF(OR(cMed=0,cMed2=0,4366&gt;nFilas),NA(),IF(AND(ISNUMBER(INDEX(rMed2,4366)),ISNUMBER(INDEX(rMed,4366))),INDEX(rMed,4366),NA()))</f>
        <v>#N/A</v>
      </c>
    </row>
    <row r="4369">
      <c r="BX4369" t="e">
        <f>IF(OR(cMed=0,cMed2=0,4367&gt;nFilas),NA(),IF(AND(ISNUMBER(INDEX(rMed2,4367)),ISNUMBER(INDEX(rMed,4367))),INDEX(rMed2,4367),NA()))</f>
        <v>#N/A</v>
      </c>
      <c r="BY4369" t="e">
        <f>IF(OR(cMed=0,cMed2=0,4367&gt;nFilas),NA(),IF(AND(ISNUMBER(INDEX(rMed2,4367)),ISNUMBER(INDEX(rMed,4367))),INDEX(rMed,4367),NA()))</f>
        <v>#N/A</v>
      </c>
    </row>
    <row r="4370">
      <c r="BX4370" t="e">
        <f>IF(OR(cMed=0,cMed2=0,4368&gt;nFilas),NA(),IF(AND(ISNUMBER(INDEX(rMed2,4368)),ISNUMBER(INDEX(rMed,4368))),INDEX(rMed2,4368),NA()))</f>
        <v>#N/A</v>
      </c>
      <c r="BY4370" t="e">
        <f>IF(OR(cMed=0,cMed2=0,4368&gt;nFilas),NA(),IF(AND(ISNUMBER(INDEX(rMed2,4368)),ISNUMBER(INDEX(rMed,4368))),INDEX(rMed,4368),NA()))</f>
        <v>#N/A</v>
      </c>
    </row>
    <row r="4371">
      <c r="BX4371" t="e">
        <f>IF(OR(cMed=0,cMed2=0,4369&gt;nFilas),NA(),IF(AND(ISNUMBER(INDEX(rMed2,4369)),ISNUMBER(INDEX(rMed,4369))),INDEX(rMed2,4369),NA()))</f>
        <v>#N/A</v>
      </c>
      <c r="BY4371" t="e">
        <f>IF(OR(cMed=0,cMed2=0,4369&gt;nFilas),NA(),IF(AND(ISNUMBER(INDEX(rMed2,4369)),ISNUMBER(INDEX(rMed,4369))),INDEX(rMed,4369),NA()))</f>
        <v>#N/A</v>
      </c>
    </row>
    <row r="4372">
      <c r="BX4372" t="e">
        <f>IF(OR(cMed=0,cMed2=0,4370&gt;nFilas),NA(),IF(AND(ISNUMBER(INDEX(rMed2,4370)),ISNUMBER(INDEX(rMed,4370))),INDEX(rMed2,4370),NA()))</f>
        <v>#N/A</v>
      </c>
      <c r="BY4372" t="e">
        <f>IF(OR(cMed=0,cMed2=0,4370&gt;nFilas),NA(),IF(AND(ISNUMBER(INDEX(rMed2,4370)),ISNUMBER(INDEX(rMed,4370))),INDEX(rMed,4370),NA()))</f>
        <v>#N/A</v>
      </c>
    </row>
    <row r="4373">
      <c r="BX4373" t="e">
        <f>IF(OR(cMed=0,cMed2=0,4371&gt;nFilas),NA(),IF(AND(ISNUMBER(INDEX(rMed2,4371)),ISNUMBER(INDEX(rMed,4371))),INDEX(rMed2,4371),NA()))</f>
        <v>#N/A</v>
      </c>
      <c r="BY4373" t="e">
        <f>IF(OR(cMed=0,cMed2=0,4371&gt;nFilas),NA(),IF(AND(ISNUMBER(INDEX(rMed2,4371)),ISNUMBER(INDEX(rMed,4371))),INDEX(rMed,4371),NA()))</f>
        <v>#N/A</v>
      </c>
    </row>
    <row r="4374">
      <c r="BX4374" t="e">
        <f>IF(OR(cMed=0,cMed2=0,4372&gt;nFilas),NA(),IF(AND(ISNUMBER(INDEX(rMed2,4372)),ISNUMBER(INDEX(rMed,4372))),INDEX(rMed2,4372),NA()))</f>
        <v>#N/A</v>
      </c>
      <c r="BY4374" t="e">
        <f>IF(OR(cMed=0,cMed2=0,4372&gt;nFilas),NA(),IF(AND(ISNUMBER(INDEX(rMed2,4372)),ISNUMBER(INDEX(rMed,4372))),INDEX(rMed,4372),NA()))</f>
        <v>#N/A</v>
      </c>
    </row>
    <row r="4375">
      <c r="BX4375" t="e">
        <f>IF(OR(cMed=0,cMed2=0,4373&gt;nFilas),NA(),IF(AND(ISNUMBER(INDEX(rMed2,4373)),ISNUMBER(INDEX(rMed,4373))),INDEX(rMed2,4373),NA()))</f>
        <v>#N/A</v>
      </c>
      <c r="BY4375" t="e">
        <f>IF(OR(cMed=0,cMed2=0,4373&gt;nFilas),NA(),IF(AND(ISNUMBER(INDEX(rMed2,4373)),ISNUMBER(INDEX(rMed,4373))),INDEX(rMed,4373),NA()))</f>
        <v>#N/A</v>
      </c>
    </row>
    <row r="4376">
      <c r="BX4376" t="e">
        <f>IF(OR(cMed=0,cMed2=0,4374&gt;nFilas),NA(),IF(AND(ISNUMBER(INDEX(rMed2,4374)),ISNUMBER(INDEX(rMed,4374))),INDEX(rMed2,4374),NA()))</f>
        <v>#N/A</v>
      </c>
      <c r="BY4376" t="e">
        <f>IF(OR(cMed=0,cMed2=0,4374&gt;nFilas),NA(),IF(AND(ISNUMBER(INDEX(rMed2,4374)),ISNUMBER(INDEX(rMed,4374))),INDEX(rMed,4374),NA()))</f>
        <v>#N/A</v>
      </c>
    </row>
    <row r="4377">
      <c r="BX4377" t="e">
        <f>IF(OR(cMed=0,cMed2=0,4375&gt;nFilas),NA(),IF(AND(ISNUMBER(INDEX(rMed2,4375)),ISNUMBER(INDEX(rMed,4375))),INDEX(rMed2,4375),NA()))</f>
        <v>#N/A</v>
      </c>
      <c r="BY4377" t="e">
        <f>IF(OR(cMed=0,cMed2=0,4375&gt;nFilas),NA(),IF(AND(ISNUMBER(INDEX(rMed2,4375)),ISNUMBER(INDEX(rMed,4375))),INDEX(rMed,4375),NA()))</f>
        <v>#N/A</v>
      </c>
    </row>
    <row r="4378">
      <c r="BX4378" t="e">
        <f>IF(OR(cMed=0,cMed2=0,4376&gt;nFilas),NA(),IF(AND(ISNUMBER(INDEX(rMed2,4376)),ISNUMBER(INDEX(rMed,4376))),INDEX(rMed2,4376),NA()))</f>
        <v>#N/A</v>
      </c>
      <c r="BY4378" t="e">
        <f>IF(OR(cMed=0,cMed2=0,4376&gt;nFilas),NA(),IF(AND(ISNUMBER(INDEX(rMed2,4376)),ISNUMBER(INDEX(rMed,4376))),INDEX(rMed,4376),NA()))</f>
        <v>#N/A</v>
      </c>
    </row>
    <row r="4379">
      <c r="BX4379" t="e">
        <f>IF(OR(cMed=0,cMed2=0,4377&gt;nFilas),NA(),IF(AND(ISNUMBER(INDEX(rMed2,4377)),ISNUMBER(INDEX(rMed,4377))),INDEX(rMed2,4377),NA()))</f>
        <v>#N/A</v>
      </c>
      <c r="BY4379" t="e">
        <f>IF(OR(cMed=0,cMed2=0,4377&gt;nFilas),NA(),IF(AND(ISNUMBER(INDEX(rMed2,4377)),ISNUMBER(INDEX(rMed,4377))),INDEX(rMed,4377),NA()))</f>
        <v>#N/A</v>
      </c>
    </row>
    <row r="4380">
      <c r="BX4380" t="e">
        <f>IF(OR(cMed=0,cMed2=0,4378&gt;nFilas),NA(),IF(AND(ISNUMBER(INDEX(rMed2,4378)),ISNUMBER(INDEX(rMed,4378))),INDEX(rMed2,4378),NA()))</f>
        <v>#N/A</v>
      </c>
      <c r="BY4380" t="e">
        <f>IF(OR(cMed=0,cMed2=0,4378&gt;nFilas),NA(),IF(AND(ISNUMBER(INDEX(rMed2,4378)),ISNUMBER(INDEX(rMed,4378))),INDEX(rMed,4378),NA()))</f>
        <v>#N/A</v>
      </c>
    </row>
    <row r="4381">
      <c r="BX4381" t="e">
        <f>IF(OR(cMed=0,cMed2=0,4379&gt;nFilas),NA(),IF(AND(ISNUMBER(INDEX(rMed2,4379)),ISNUMBER(INDEX(rMed,4379))),INDEX(rMed2,4379),NA()))</f>
        <v>#N/A</v>
      </c>
      <c r="BY4381" t="e">
        <f>IF(OR(cMed=0,cMed2=0,4379&gt;nFilas),NA(),IF(AND(ISNUMBER(INDEX(rMed2,4379)),ISNUMBER(INDEX(rMed,4379))),INDEX(rMed,4379),NA()))</f>
        <v>#N/A</v>
      </c>
    </row>
    <row r="4382">
      <c r="BX4382" t="e">
        <f>IF(OR(cMed=0,cMed2=0,4380&gt;nFilas),NA(),IF(AND(ISNUMBER(INDEX(rMed2,4380)),ISNUMBER(INDEX(rMed,4380))),INDEX(rMed2,4380),NA()))</f>
        <v>#N/A</v>
      </c>
      <c r="BY4382" t="e">
        <f>IF(OR(cMed=0,cMed2=0,4380&gt;nFilas),NA(),IF(AND(ISNUMBER(INDEX(rMed2,4380)),ISNUMBER(INDEX(rMed,4380))),INDEX(rMed,4380),NA()))</f>
        <v>#N/A</v>
      </c>
    </row>
    <row r="4383">
      <c r="BX4383" t="e">
        <f>IF(OR(cMed=0,cMed2=0,4381&gt;nFilas),NA(),IF(AND(ISNUMBER(INDEX(rMed2,4381)),ISNUMBER(INDEX(rMed,4381))),INDEX(rMed2,4381),NA()))</f>
        <v>#N/A</v>
      </c>
      <c r="BY4383" t="e">
        <f>IF(OR(cMed=0,cMed2=0,4381&gt;nFilas),NA(),IF(AND(ISNUMBER(INDEX(rMed2,4381)),ISNUMBER(INDEX(rMed,4381))),INDEX(rMed,4381),NA()))</f>
        <v>#N/A</v>
      </c>
    </row>
    <row r="4384">
      <c r="BX4384" t="e">
        <f>IF(OR(cMed=0,cMed2=0,4382&gt;nFilas),NA(),IF(AND(ISNUMBER(INDEX(rMed2,4382)),ISNUMBER(INDEX(rMed,4382))),INDEX(rMed2,4382),NA()))</f>
        <v>#N/A</v>
      </c>
      <c r="BY4384" t="e">
        <f>IF(OR(cMed=0,cMed2=0,4382&gt;nFilas),NA(),IF(AND(ISNUMBER(INDEX(rMed2,4382)),ISNUMBER(INDEX(rMed,4382))),INDEX(rMed,4382),NA()))</f>
        <v>#N/A</v>
      </c>
    </row>
    <row r="4385">
      <c r="BX4385" t="e">
        <f>IF(OR(cMed=0,cMed2=0,4383&gt;nFilas),NA(),IF(AND(ISNUMBER(INDEX(rMed2,4383)),ISNUMBER(INDEX(rMed,4383))),INDEX(rMed2,4383),NA()))</f>
        <v>#N/A</v>
      </c>
      <c r="BY4385" t="e">
        <f>IF(OR(cMed=0,cMed2=0,4383&gt;nFilas),NA(),IF(AND(ISNUMBER(INDEX(rMed2,4383)),ISNUMBER(INDEX(rMed,4383))),INDEX(rMed,4383),NA()))</f>
        <v>#N/A</v>
      </c>
    </row>
    <row r="4386">
      <c r="BX4386" t="e">
        <f>IF(OR(cMed=0,cMed2=0,4384&gt;nFilas),NA(),IF(AND(ISNUMBER(INDEX(rMed2,4384)),ISNUMBER(INDEX(rMed,4384))),INDEX(rMed2,4384),NA()))</f>
        <v>#N/A</v>
      </c>
      <c r="BY4386" t="e">
        <f>IF(OR(cMed=0,cMed2=0,4384&gt;nFilas),NA(),IF(AND(ISNUMBER(INDEX(rMed2,4384)),ISNUMBER(INDEX(rMed,4384))),INDEX(rMed,4384),NA()))</f>
        <v>#N/A</v>
      </c>
    </row>
    <row r="4387">
      <c r="BX4387" t="e">
        <f>IF(OR(cMed=0,cMed2=0,4385&gt;nFilas),NA(),IF(AND(ISNUMBER(INDEX(rMed2,4385)),ISNUMBER(INDEX(rMed,4385))),INDEX(rMed2,4385),NA()))</f>
        <v>#N/A</v>
      </c>
      <c r="BY4387" t="e">
        <f>IF(OR(cMed=0,cMed2=0,4385&gt;nFilas),NA(),IF(AND(ISNUMBER(INDEX(rMed2,4385)),ISNUMBER(INDEX(rMed,4385))),INDEX(rMed,4385),NA()))</f>
        <v>#N/A</v>
      </c>
    </row>
    <row r="4388">
      <c r="BX4388" t="e">
        <f>IF(OR(cMed=0,cMed2=0,4386&gt;nFilas),NA(),IF(AND(ISNUMBER(INDEX(rMed2,4386)),ISNUMBER(INDEX(rMed,4386))),INDEX(rMed2,4386),NA()))</f>
        <v>#N/A</v>
      </c>
      <c r="BY4388" t="e">
        <f>IF(OR(cMed=0,cMed2=0,4386&gt;nFilas),NA(),IF(AND(ISNUMBER(INDEX(rMed2,4386)),ISNUMBER(INDEX(rMed,4386))),INDEX(rMed,4386),NA()))</f>
        <v>#N/A</v>
      </c>
    </row>
    <row r="4389">
      <c r="BX4389" t="e">
        <f>IF(OR(cMed=0,cMed2=0,4387&gt;nFilas),NA(),IF(AND(ISNUMBER(INDEX(rMed2,4387)),ISNUMBER(INDEX(rMed,4387))),INDEX(rMed2,4387),NA()))</f>
        <v>#N/A</v>
      </c>
      <c r="BY4389" t="e">
        <f>IF(OR(cMed=0,cMed2=0,4387&gt;nFilas),NA(),IF(AND(ISNUMBER(INDEX(rMed2,4387)),ISNUMBER(INDEX(rMed,4387))),INDEX(rMed,4387),NA()))</f>
        <v>#N/A</v>
      </c>
    </row>
    <row r="4390">
      <c r="BX4390" t="e">
        <f>IF(OR(cMed=0,cMed2=0,4388&gt;nFilas),NA(),IF(AND(ISNUMBER(INDEX(rMed2,4388)),ISNUMBER(INDEX(rMed,4388))),INDEX(rMed2,4388),NA()))</f>
        <v>#N/A</v>
      </c>
      <c r="BY4390" t="e">
        <f>IF(OR(cMed=0,cMed2=0,4388&gt;nFilas),NA(),IF(AND(ISNUMBER(INDEX(rMed2,4388)),ISNUMBER(INDEX(rMed,4388))),INDEX(rMed,4388),NA()))</f>
        <v>#N/A</v>
      </c>
    </row>
    <row r="4391">
      <c r="BX4391" t="e">
        <f>IF(OR(cMed=0,cMed2=0,4389&gt;nFilas),NA(),IF(AND(ISNUMBER(INDEX(rMed2,4389)),ISNUMBER(INDEX(rMed,4389))),INDEX(rMed2,4389),NA()))</f>
        <v>#N/A</v>
      </c>
      <c r="BY4391" t="e">
        <f>IF(OR(cMed=0,cMed2=0,4389&gt;nFilas),NA(),IF(AND(ISNUMBER(INDEX(rMed2,4389)),ISNUMBER(INDEX(rMed,4389))),INDEX(rMed,4389),NA()))</f>
        <v>#N/A</v>
      </c>
    </row>
    <row r="4392">
      <c r="BX4392" t="e">
        <f>IF(OR(cMed=0,cMed2=0,4390&gt;nFilas),NA(),IF(AND(ISNUMBER(INDEX(rMed2,4390)),ISNUMBER(INDEX(rMed,4390))),INDEX(rMed2,4390),NA()))</f>
        <v>#N/A</v>
      </c>
      <c r="BY4392" t="e">
        <f>IF(OR(cMed=0,cMed2=0,4390&gt;nFilas),NA(),IF(AND(ISNUMBER(INDEX(rMed2,4390)),ISNUMBER(INDEX(rMed,4390))),INDEX(rMed,4390),NA()))</f>
        <v>#N/A</v>
      </c>
    </row>
    <row r="4393">
      <c r="BX4393" t="e">
        <f>IF(OR(cMed=0,cMed2=0,4391&gt;nFilas),NA(),IF(AND(ISNUMBER(INDEX(rMed2,4391)),ISNUMBER(INDEX(rMed,4391))),INDEX(rMed2,4391),NA()))</f>
        <v>#N/A</v>
      </c>
      <c r="BY4393" t="e">
        <f>IF(OR(cMed=0,cMed2=0,4391&gt;nFilas),NA(),IF(AND(ISNUMBER(INDEX(rMed2,4391)),ISNUMBER(INDEX(rMed,4391))),INDEX(rMed,4391),NA()))</f>
        <v>#N/A</v>
      </c>
    </row>
    <row r="4394">
      <c r="BX4394" t="e">
        <f>IF(OR(cMed=0,cMed2=0,4392&gt;nFilas),NA(),IF(AND(ISNUMBER(INDEX(rMed2,4392)),ISNUMBER(INDEX(rMed,4392))),INDEX(rMed2,4392),NA()))</f>
        <v>#N/A</v>
      </c>
      <c r="BY4394" t="e">
        <f>IF(OR(cMed=0,cMed2=0,4392&gt;nFilas),NA(),IF(AND(ISNUMBER(INDEX(rMed2,4392)),ISNUMBER(INDEX(rMed,4392))),INDEX(rMed,4392),NA()))</f>
        <v>#N/A</v>
      </c>
    </row>
    <row r="4395">
      <c r="BX4395" t="e">
        <f>IF(OR(cMed=0,cMed2=0,4393&gt;nFilas),NA(),IF(AND(ISNUMBER(INDEX(rMed2,4393)),ISNUMBER(INDEX(rMed,4393))),INDEX(rMed2,4393),NA()))</f>
        <v>#N/A</v>
      </c>
      <c r="BY4395" t="e">
        <f>IF(OR(cMed=0,cMed2=0,4393&gt;nFilas),NA(),IF(AND(ISNUMBER(INDEX(rMed2,4393)),ISNUMBER(INDEX(rMed,4393))),INDEX(rMed,4393),NA()))</f>
        <v>#N/A</v>
      </c>
    </row>
    <row r="4396">
      <c r="BX4396" t="e">
        <f>IF(OR(cMed=0,cMed2=0,4394&gt;nFilas),NA(),IF(AND(ISNUMBER(INDEX(rMed2,4394)),ISNUMBER(INDEX(rMed,4394))),INDEX(rMed2,4394),NA()))</f>
        <v>#N/A</v>
      </c>
      <c r="BY4396" t="e">
        <f>IF(OR(cMed=0,cMed2=0,4394&gt;nFilas),NA(),IF(AND(ISNUMBER(INDEX(rMed2,4394)),ISNUMBER(INDEX(rMed,4394))),INDEX(rMed,4394),NA()))</f>
        <v>#N/A</v>
      </c>
    </row>
    <row r="4397">
      <c r="BX4397" t="e">
        <f>IF(OR(cMed=0,cMed2=0,4395&gt;nFilas),NA(),IF(AND(ISNUMBER(INDEX(rMed2,4395)),ISNUMBER(INDEX(rMed,4395))),INDEX(rMed2,4395),NA()))</f>
        <v>#N/A</v>
      </c>
      <c r="BY4397" t="e">
        <f>IF(OR(cMed=0,cMed2=0,4395&gt;nFilas),NA(),IF(AND(ISNUMBER(INDEX(rMed2,4395)),ISNUMBER(INDEX(rMed,4395))),INDEX(rMed,4395),NA()))</f>
        <v>#N/A</v>
      </c>
    </row>
    <row r="4398">
      <c r="BX4398" t="e">
        <f>IF(OR(cMed=0,cMed2=0,4396&gt;nFilas),NA(),IF(AND(ISNUMBER(INDEX(rMed2,4396)),ISNUMBER(INDEX(rMed,4396))),INDEX(rMed2,4396),NA()))</f>
        <v>#N/A</v>
      </c>
      <c r="BY4398" t="e">
        <f>IF(OR(cMed=0,cMed2=0,4396&gt;nFilas),NA(),IF(AND(ISNUMBER(INDEX(rMed2,4396)),ISNUMBER(INDEX(rMed,4396))),INDEX(rMed,4396),NA()))</f>
        <v>#N/A</v>
      </c>
    </row>
    <row r="4399">
      <c r="BX4399" t="e">
        <f>IF(OR(cMed=0,cMed2=0,4397&gt;nFilas),NA(),IF(AND(ISNUMBER(INDEX(rMed2,4397)),ISNUMBER(INDEX(rMed,4397))),INDEX(rMed2,4397),NA()))</f>
        <v>#N/A</v>
      </c>
      <c r="BY4399" t="e">
        <f>IF(OR(cMed=0,cMed2=0,4397&gt;nFilas),NA(),IF(AND(ISNUMBER(INDEX(rMed2,4397)),ISNUMBER(INDEX(rMed,4397))),INDEX(rMed,4397),NA()))</f>
        <v>#N/A</v>
      </c>
    </row>
    <row r="4400">
      <c r="BX4400" t="e">
        <f>IF(OR(cMed=0,cMed2=0,4398&gt;nFilas),NA(),IF(AND(ISNUMBER(INDEX(rMed2,4398)),ISNUMBER(INDEX(rMed,4398))),INDEX(rMed2,4398),NA()))</f>
        <v>#N/A</v>
      </c>
      <c r="BY4400" t="e">
        <f>IF(OR(cMed=0,cMed2=0,4398&gt;nFilas),NA(),IF(AND(ISNUMBER(INDEX(rMed2,4398)),ISNUMBER(INDEX(rMed,4398))),INDEX(rMed,4398),NA()))</f>
        <v>#N/A</v>
      </c>
    </row>
    <row r="4401">
      <c r="BX4401" t="e">
        <f>IF(OR(cMed=0,cMed2=0,4399&gt;nFilas),NA(),IF(AND(ISNUMBER(INDEX(rMed2,4399)),ISNUMBER(INDEX(rMed,4399))),INDEX(rMed2,4399),NA()))</f>
        <v>#N/A</v>
      </c>
      <c r="BY4401" t="e">
        <f>IF(OR(cMed=0,cMed2=0,4399&gt;nFilas),NA(),IF(AND(ISNUMBER(INDEX(rMed2,4399)),ISNUMBER(INDEX(rMed,4399))),INDEX(rMed,4399),NA()))</f>
        <v>#N/A</v>
      </c>
    </row>
    <row r="4402">
      <c r="BX4402" t="e">
        <f>IF(OR(cMed=0,cMed2=0,4400&gt;nFilas),NA(),IF(AND(ISNUMBER(INDEX(rMed2,4400)),ISNUMBER(INDEX(rMed,4400))),INDEX(rMed2,4400),NA()))</f>
        <v>#N/A</v>
      </c>
      <c r="BY4402" t="e">
        <f>IF(OR(cMed=0,cMed2=0,4400&gt;nFilas),NA(),IF(AND(ISNUMBER(INDEX(rMed2,4400)),ISNUMBER(INDEX(rMed,4400))),INDEX(rMed,4400),NA()))</f>
        <v>#N/A</v>
      </c>
    </row>
    <row r="4403">
      <c r="BX4403" t="e">
        <f>IF(OR(cMed=0,cMed2=0,4401&gt;nFilas),NA(),IF(AND(ISNUMBER(INDEX(rMed2,4401)),ISNUMBER(INDEX(rMed,4401))),INDEX(rMed2,4401),NA()))</f>
        <v>#N/A</v>
      </c>
      <c r="BY4403" t="e">
        <f>IF(OR(cMed=0,cMed2=0,4401&gt;nFilas),NA(),IF(AND(ISNUMBER(INDEX(rMed2,4401)),ISNUMBER(INDEX(rMed,4401))),INDEX(rMed,4401),NA()))</f>
        <v>#N/A</v>
      </c>
    </row>
    <row r="4404">
      <c r="BX4404" t="e">
        <f>IF(OR(cMed=0,cMed2=0,4402&gt;nFilas),NA(),IF(AND(ISNUMBER(INDEX(rMed2,4402)),ISNUMBER(INDEX(rMed,4402))),INDEX(rMed2,4402),NA()))</f>
        <v>#N/A</v>
      </c>
      <c r="BY4404" t="e">
        <f>IF(OR(cMed=0,cMed2=0,4402&gt;nFilas),NA(),IF(AND(ISNUMBER(INDEX(rMed2,4402)),ISNUMBER(INDEX(rMed,4402))),INDEX(rMed,4402),NA()))</f>
        <v>#N/A</v>
      </c>
    </row>
    <row r="4405">
      <c r="BX4405" t="e">
        <f>IF(OR(cMed=0,cMed2=0,4403&gt;nFilas),NA(),IF(AND(ISNUMBER(INDEX(rMed2,4403)),ISNUMBER(INDEX(rMed,4403))),INDEX(rMed2,4403),NA()))</f>
        <v>#N/A</v>
      </c>
      <c r="BY4405" t="e">
        <f>IF(OR(cMed=0,cMed2=0,4403&gt;nFilas),NA(),IF(AND(ISNUMBER(INDEX(rMed2,4403)),ISNUMBER(INDEX(rMed,4403))),INDEX(rMed,4403),NA()))</f>
        <v>#N/A</v>
      </c>
    </row>
    <row r="4406">
      <c r="BX4406" t="e">
        <f>IF(OR(cMed=0,cMed2=0,4404&gt;nFilas),NA(),IF(AND(ISNUMBER(INDEX(rMed2,4404)),ISNUMBER(INDEX(rMed,4404))),INDEX(rMed2,4404),NA()))</f>
        <v>#N/A</v>
      </c>
      <c r="BY4406" t="e">
        <f>IF(OR(cMed=0,cMed2=0,4404&gt;nFilas),NA(),IF(AND(ISNUMBER(INDEX(rMed2,4404)),ISNUMBER(INDEX(rMed,4404))),INDEX(rMed,4404),NA()))</f>
        <v>#N/A</v>
      </c>
    </row>
    <row r="4407">
      <c r="BX4407" t="e">
        <f>IF(OR(cMed=0,cMed2=0,4405&gt;nFilas),NA(),IF(AND(ISNUMBER(INDEX(rMed2,4405)),ISNUMBER(INDEX(rMed,4405))),INDEX(rMed2,4405),NA()))</f>
        <v>#N/A</v>
      </c>
      <c r="BY4407" t="e">
        <f>IF(OR(cMed=0,cMed2=0,4405&gt;nFilas),NA(),IF(AND(ISNUMBER(INDEX(rMed2,4405)),ISNUMBER(INDEX(rMed,4405))),INDEX(rMed,4405),NA()))</f>
        <v>#N/A</v>
      </c>
    </row>
    <row r="4408">
      <c r="BX4408" t="e">
        <f>IF(OR(cMed=0,cMed2=0,4406&gt;nFilas),NA(),IF(AND(ISNUMBER(INDEX(rMed2,4406)),ISNUMBER(INDEX(rMed,4406))),INDEX(rMed2,4406),NA()))</f>
        <v>#N/A</v>
      </c>
      <c r="BY4408" t="e">
        <f>IF(OR(cMed=0,cMed2=0,4406&gt;nFilas),NA(),IF(AND(ISNUMBER(INDEX(rMed2,4406)),ISNUMBER(INDEX(rMed,4406))),INDEX(rMed,4406),NA()))</f>
        <v>#N/A</v>
      </c>
    </row>
    <row r="4409">
      <c r="BX4409" t="e">
        <f>IF(OR(cMed=0,cMed2=0,4407&gt;nFilas),NA(),IF(AND(ISNUMBER(INDEX(rMed2,4407)),ISNUMBER(INDEX(rMed,4407))),INDEX(rMed2,4407),NA()))</f>
        <v>#N/A</v>
      </c>
      <c r="BY4409" t="e">
        <f>IF(OR(cMed=0,cMed2=0,4407&gt;nFilas),NA(),IF(AND(ISNUMBER(INDEX(rMed2,4407)),ISNUMBER(INDEX(rMed,4407))),INDEX(rMed,4407),NA()))</f>
        <v>#N/A</v>
      </c>
    </row>
    <row r="4410">
      <c r="BX4410" t="e">
        <f>IF(OR(cMed=0,cMed2=0,4408&gt;nFilas),NA(),IF(AND(ISNUMBER(INDEX(rMed2,4408)),ISNUMBER(INDEX(rMed,4408))),INDEX(rMed2,4408),NA()))</f>
        <v>#N/A</v>
      </c>
      <c r="BY4410" t="e">
        <f>IF(OR(cMed=0,cMed2=0,4408&gt;nFilas),NA(),IF(AND(ISNUMBER(INDEX(rMed2,4408)),ISNUMBER(INDEX(rMed,4408))),INDEX(rMed,4408),NA()))</f>
        <v>#N/A</v>
      </c>
    </row>
    <row r="4411">
      <c r="BX4411" t="e">
        <f>IF(OR(cMed=0,cMed2=0,4409&gt;nFilas),NA(),IF(AND(ISNUMBER(INDEX(rMed2,4409)),ISNUMBER(INDEX(rMed,4409))),INDEX(rMed2,4409),NA()))</f>
        <v>#N/A</v>
      </c>
      <c r="BY4411" t="e">
        <f>IF(OR(cMed=0,cMed2=0,4409&gt;nFilas),NA(),IF(AND(ISNUMBER(INDEX(rMed2,4409)),ISNUMBER(INDEX(rMed,4409))),INDEX(rMed,4409),NA()))</f>
        <v>#N/A</v>
      </c>
    </row>
    <row r="4412">
      <c r="BX4412" t="e">
        <f>IF(OR(cMed=0,cMed2=0,4410&gt;nFilas),NA(),IF(AND(ISNUMBER(INDEX(rMed2,4410)),ISNUMBER(INDEX(rMed,4410))),INDEX(rMed2,4410),NA()))</f>
        <v>#N/A</v>
      </c>
      <c r="BY4412" t="e">
        <f>IF(OR(cMed=0,cMed2=0,4410&gt;nFilas),NA(),IF(AND(ISNUMBER(INDEX(rMed2,4410)),ISNUMBER(INDEX(rMed,4410))),INDEX(rMed,4410),NA()))</f>
        <v>#N/A</v>
      </c>
    </row>
    <row r="4413">
      <c r="BX4413" t="e">
        <f>IF(OR(cMed=0,cMed2=0,4411&gt;nFilas),NA(),IF(AND(ISNUMBER(INDEX(rMed2,4411)),ISNUMBER(INDEX(rMed,4411))),INDEX(rMed2,4411),NA()))</f>
        <v>#N/A</v>
      </c>
      <c r="BY4413" t="e">
        <f>IF(OR(cMed=0,cMed2=0,4411&gt;nFilas),NA(),IF(AND(ISNUMBER(INDEX(rMed2,4411)),ISNUMBER(INDEX(rMed,4411))),INDEX(rMed,4411),NA()))</f>
        <v>#N/A</v>
      </c>
    </row>
    <row r="4414">
      <c r="BX4414" t="e">
        <f>IF(OR(cMed=0,cMed2=0,4412&gt;nFilas),NA(),IF(AND(ISNUMBER(INDEX(rMed2,4412)),ISNUMBER(INDEX(rMed,4412))),INDEX(rMed2,4412),NA()))</f>
        <v>#N/A</v>
      </c>
      <c r="BY4414" t="e">
        <f>IF(OR(cMed=0,cMed2=0,4412&gt;nFilas),NA(),IF(AND(ISNUMBER(INDEX(rMed2,4412)),ISNUMBER(INDEX(rMed,4412))),INDEX(rMed,4412),NA()))</f>
        <v>#N/A</v>
      </c>
    </row>
    <row r="4415">
      <c r="BX4415" t="e">
        <f>IF(OR(cMed=0,cMed2=0,4413&gt;nFilas),NA(),IF(AND(ISNUMBER(INDEX(rMed2,4413)),ISNUMBER(INDEX(rMed,4413))),INDEX(rMed2,4413),NA()))</f>
        <v>#N/A</v>
      </c>
      <c r="BY4415" t="e">
        <f>IF(OR(cMed=0,cMed2=0,4413&gt;nFilas),NA(),IF(AND(ISNUMBER(INDEX(rMed2,4413)),ISNUMBER(INDEX(rMed,4413))),INDEX(rMed,4413),NA()))</f>
        <v>#N/A</v>
      </c>
    </row>
    <row r="4416">
      <c r="BX4416" t="e">
        <f>IF(OR(cMed=0,cMed2=0,4414&gt;nFilas),NA(),IF(AND(ISNUMBER(INDEX(rMed2,4414)),ISNUMBER(INDEX(rMed,4414))),INDEX(rMed2,4414),NA()))</f>
        <v>#N/A</v>
      </c>
      <c r="BY4416" t="e">
        <f>IF(OR(cMed=0,cMed2=0,4414&gt;nFilas),NA(),IF(AND(ISNUMBER(INDEX(rMed2,4414)),ISNUMBER(INDEX(rMed,4414))),INDEX(rMed,4414),NA()))</f>
        <v>#N/A</v>
      </c>
    </row>
    <row r="4417">
      <c r="BX4417" t="e">
        <f>IF(OR(cMed=0,cMed2=0,4415&gt;nFilas),NA(),IF(AND(ISNUMBER(INDEX(rMed2,4415)),ISNUMBER(INDEX(rMed,4415))),INDEX(rMed2,4415),NA()))</f>
        <v>#N/A</v>
      </c>
      <c r="BY4417" t="e">
        <f>IF(OR(cMed=0,cMed2=0,4415&gt;nFilas),NA(),IF(AND(ISNUMBER(INDEX(rMed2,4415)),ISNUMBER(INDEX(rMed,4415))),INDEX(rMed,4415),NA()))</f>
        <v>#N/A</v>
      </c>
    </row>
    <row r="4418">
      <c r="BX4418" t="e">
        <f>IF(OR(cMed=0,cMed2=0,4416&gt;nFilas),NA(),IF(AND(ISNUMBER(INDEX(rMed2,4416)),ISNUMBER(INDEX(rMed,4416))),INDEX(rMed2,4416),NA()))</f>
        <v>#N/A</v>
      </c>
      <c r="BY4418" t="e">
        <f>IF(OR(cMed=0,cMed2=0,4416&gt;nFilas),NA(),IF(AND(ISNUMBER(INDEX(rMed2,4416)),ISNUMBER(INDEX(rMed,4416))),INDEX(rMed,4416),NA()))</f>
        <v>#N/A</v>
      </c>
    </row>
    <row r="4419">
      <c r="BX4419" t="e">
        <f>IF(OR(cMed=0,cMed2=0,4417&gt;nFilas),NA(),IF(AND(ISNUMBER(INDEX(rMed2,4417)),ISNUMBER(INDEX(rMed,4417))),INDEX(rMed2,4417),NA()))</f>
        <v>#N/A</v>
      </c>
      <c r="BY4419" t="e">
        <f>IF(OR(cMed=0,cMed2=0,4417&gt;nFilas),NA(),IF(AND(ISNUMBER(INDEX(rMed2,4417)),ISNUMBER(INDEX(rMed,4417))),INDEX(rMed,4417),NA()))</f>
        <v>#N/A</v>
      </c>
    </row>
    <row r="4420">
      <c r="BX4420" t="e">
        <f>IF(OR(cMed=0,cMed2=0,4418&gt;nFilas),NA(),IF(AND(ISNUMBER(INDEX(rMed2,4418)),ISNUMBER(INDEX(rMed,4418))),INDEX(rMed2,4418),NA()))</f>
        <v>#N/A</v>
      </c>
      <c r="BY4420" t="e">
        <f>IF(OR(cMed=0,cMed2=0,4418&gt;nFilas),NA(),IF(AND(ISNUMBER(INDEX(rMed2,4418)),ISNUMBER(INDEX(rMed,4418))),INDEX(rMed,4418),NA()))</f>
        <v>#N/A</v>
      </c>
    </row>
    <row r="4421">
      <c r="BX4421" t="e">
        <f>IF(OR(cMed=0,cMed2=0,4419&gt;nFilas),NA(),IF(AND(ISNUMBER(INDEX(rMed2,4419)),ISNUMBER(INDEX(rMed,4419))),INDEX(rMed2,4419),NA()))</f>
        <v>#N/A</v>
      </c>
      <c r="BY4421" t="e">
        <f>IF(OR(cMed=0,cMed2=0,4419&gt;nFilas),NA(),IF(AND(ISNUMBER(INDEX(rMed2,4419)),ISNUMBER(INDEX(rMed,4419))),INDEX(rMed,4419),NA()))</f>
        <v>#N/A</v>
      </c>
    </row>
    <row r="4422">
      <c r="BX4422" t="e">
        <f>IF(OR(cMed=0,cMed2=0,4420&gt;nFilas),NA(),IF(AND(ISNUMBER(INDEX(rMed2,4420)),ISNUMBER(INDEX(rMed,4420))),INDEX(rMed2,4420),NA()))</f>
        <v>#N/A</v>
      </c>
      <c r="BY4422" t="e">
        <f>IF(OR(cMed=0,cMed2=0,4420&gt;nFilas),NA(),IF(AND(ISNUMBER(INDEX(rMed2,4420)),ISNUMBER(INDEX(rMed,4420))),INDEX(rMed,4420),NA()))</f>
        <v>#N/A</v>
      </c>
    </row>
    <row r="4423">
      <c r="BX4423" t="e">
        <f>IF(OR(cMed=0,cMed2=0,4421&gt;nFilas),NA(),IF(AND(ISNUMBER(INDEX(rMed2,4421)),ISNUMBER(INDEX(rMed,4421))),INDEX(rMed2,4421),NA()))</f>
        <v>#N/A</v>
      </c>
      <c r="BY4423" t="e">
        <f>IF(OR(cMed=0,cMed2=0,4421&gt;nFilas),NA(),IF(AND(ISNUMBER(INDEX(rMed2,4421)),ISNUMBER(INDEX(rMed,4421))),INDEX(rMed,4421),NA()))</f>
        <v>#N/A</v>
      </c>
    </row>
    <row r="4424">
      <c r="BX4424" t="e">
        <f>IF(OR(cMed=0,cMed2=0,4422&gt;nFilas),NA(),IF(AND(ISNUMBER(INDEX(rMed2,4422)),ISNUMBER(INDEX(rMed,4422))),INDEX(rMed2,4422),NA()))</f>
        <v>#N/A</v>
      </c>
      <c r="BY4424" t="e">
        <f>IF(OR(cMed=0,cMed2=0,4422&gt;nFilas),NA(),IF(AND(ISNUMBER(INDEX(rMed2,4422)),ISNUMBER(INDEX(rMed,4422))),INDEX(rMed,4422),NA()))</f>
        <v>#N/A</v>
      </c>
    </row>
    <row r="4425">
      <c r="BX4425" t="e">
        <f>IF(OR(cMed=0,cMed2=0,4423&gt;nFilas),NA(),IF(AND(ISNUMBER(INDEX(rMed2,4423)),ISNUMBER(INDEX(rMed,4423))),INDEX(rMed2,4423),NA()))</f>
        <v>#N/A</v>
      </c>
      <c r="BY4425" t="e">
        <f>IF(OR(cMed=0,cMed2=0,4423&gt;nFilas),NA(),IF(AND(ISNUMBER(INDEX(rMed2,4423)),ISNUMBER(INDEX(rMed,4423))),INDEX(rMed,4423),NA()))</f>
        <v>#N/A</v>
      </c>
    </row>
    <row r="4426">
      <c r="BX4426" t="e">
        <f>IF(OR(cMed=0,cMed2=0,4424&gt;nFilas),NA(),IF(AND(ISNUMBER(INDEX(rMed2,4424)),ISNUMBER(INDEX(rMed,4424))),INDEX(rMed2,4424),NA()))</f>
        <v>#N/A</v>
      </c>
      <c r="BY4426" t="e">
        <f>IF(OR(cMed=0,cMed2=0,4424&gt;nFilas),NA(),IF(AND(ISNUMBER(INDEX(rMed2,4424)),ISNUMBER(INDEX(rMed,4424))),INDEX(rMed,4424),NA()))</f>
        <v>#N/A</v>
      </c>
    </row>
    <row r="4427">
      <c r="BX4427" t="e">
        <f>IF(OR(cMed=0,cMed2=0,4425&gt;nFilas),NA(),IF(AND(ISNUMBER(INDEX(rMed2,4425)),ISNUMBER(INDEX(rMed,4425))),INDEX(rMed2,4425),NA()))</f>
        <v>#N/A</v>
      </c>
      <c r="BY4427" t="e">
        <f>IF(OR(cMed=0,cMed2=0,4425&gt;nFilas),NA(),IF(AND(ISNUMBER(INDEX(rMed2,4425)),ISNUMBER(INDEX(rMed,4425))),INDEX(rMed,4425),NA()))</f>
        <v>#N/A</v>
      </c>
    </row>
    <row r="4428">
      <c r="BX4428" t="e">
        <f>IF(OR(cMed=0,cMed2=0,4426&gt;nFilas),NA(),IF(AND(ISNUMBER(INDEX(rMed2,4426)),ISNUMBER(INDEX(rMed,4426))),INDEX(rMed2,4426),NA()))</f>
        <v>#N/A</v>
      </c>
      <c r="BY4428" t="e">
        <f>IF(OR(cMed=0,cMed2=0,4426&gt;nFilas),NA(),IF(AND(ISNUMBER(INDEX(rMed2,4426)),ISNUMBER(INDEX(rMed,4426))),INDEX(rMed,4426),NA()))</f>
        <v>#N/A</v>
      </c>
    </row>
    <row r="4429">
      <c r="BX4429" t="e">
        <f>IF(OR(cMed=0,cMed2=0,4427&gt;nFilas),NA(),IF(AND(ISNUMBER(INDEX(rMed2,4427)),ISNUMBER(INDEX(rMed,4427))),INDEX(rMed2,4427),NA()))</f>
        <v>#N/A</v>
      </c>
      <c r="BY4429" t="e">
        <f>IF(OR(cMed=0,cMed2=0,4427&gt;nFilas),NA(),IF(AND(ISNUMBER(INDEX(rMed2,4427)),ISNUMBER(INDEX(rMed,4427))),INDEX(rMed,4427),NA()))</f>
        <v>#N/A</v>
      </c>
    </row>
    <row r="4430">
      <c r="BX4430" t="e">
        <f>IF(OR(cMed=0,cMed2=0,4428&gt;nFilas),NA(),IF(AND(ISNUMBER(INDEX(rMed2,4428)),ISNUMBER(INDEX(rMed,4428))),INDEX(rMed2,4428),NA()))</f>
        <v>#N/A</v>
      </c>
      <c r="BY4430" t="e">
        <f>IF(OR(cMed=0,cMed2=0,4428&gt;nFilas),NA(),IF(AND(ISNUMBER(INDEX(rMed2,4428)),ISNUMBER(INDEX(rMed,4428))),INDEX(rMed,4428),NA()))</f>
        <v>#N/A</v>
      </c>
    </row>
    <row r="4431">
      <c r="BX4431" t="e">
        <f>IF(OR(cMed=0,cMed2=0,4429&gt;nFilas),NA(),IF(AND(ISNUMBER(INDEX(rMed2,4429)),ISNUMBER(INDEX(rMed,4429))),INDEX(rMed2,4429),NA()))</f>
        <v>#N/A</v>
      </c>
      <c r="BY4431" t="e">
        <f>IF(OR(cMed=0,cMed2=0,4429&gt;nFilas),NA(),IF(AND(ISNUMBER(INDEX(rMed2,4429)),ISNUMBER(INDEX(rMed,4429))),INDEX(rMed,4429),NA()))</f>
        <v>#N/A</v>
      </c>
    </row>
    <row r="4432">
      <c r="BX4432" t="e">
        <f>IF(OR(cMed=0,cMed2=0,4430&gt;nFilas),NA(),IF(AND(ISNUMBER(INDEX(rMed2,4430)),ISNUMBER(INDEX(rMed,4430))),INDEX(rMed2,4430),NA()))</f>
        <v>#N/A</v>
      </c>
      <c r="BY4432" t="e">
        <f>IF(OR(cMed=0,cMed2=0,4430&gt;nFilas),NA(),IF(AND(ISNUMBER(INDEX(rMed2,4430)),ISNUMBER(INDEX(rMed,4430))),INDEX(rMed,4430),NA()))</f>
        <v>#N/A</v>
      </c>
    </row>
    <row r="4433">
      <c r="BX4433" t="e">
        <f>IF(OR(cMed=0,cMed2=0,4431&gt;nFilas),NA(),IF(AND(ISNUMBER(INDEX(rMed2,4431)),ISNUMBER(INDEX(rMed,4431))),INDEX(rMed2,4431),NA()))</f>
        <v>#N/A</v>
      </c>
      <c r="BY4433" t="e">
        <f>IF(OR(cMed=0,cMed2=0,4431&gt;nFilas),NA(),IF(AND(ISNUMBER(INDEX(rMed2,4431)),ISNUMBER(INDEX(rMed,4431))),INDEX(rMed,4431),NA()))</f>
        <v>#N/A</v>
      </c>
    </row>
    <row r="4434">
      <c r="BX4434" t="e">
        <f>IF(OR(cMed=0,cMed2=0,4432&gt;nFilas),NA(),IF(AND(ISNUMBER(INDEX(rMed2,4432)),ISNUMBER(INDEX(rMed,4432))),INDEX(rMed2,4432),NA()))</f>
        <v>#N/A</v>
      </c>
      <c r="BY4434" t="e">
        <f>IF(OR(cMed=0,cMed2=0,4432&gt;nFilas),NA(),IF(AND(ISNUMBER(INDEX(rMed2,4432)),ISNUMBER(INDEX(rMed,4432))),INDEX(rMed,4432),NA()))</f>
        <v>#N/A</v>
      </c>
    </row>
    <row r="4435">
      <c r="BX4435" t="e">
        <f>IF(OR(cMed=0,cMed2=0,4433&gt;nFilas),NA(),IF(AND(ISNUMBER(INDEX(rMed2,4433)),ISNUMBER(INDEX(rMed,4433))),INDEX(rMed2,4433),NA()))</f>
        <v>#N/A</v>
      </c>
      <c r="BY4435" t="e">
        <f>IF(OR(cMed=0,cMed2=0,4433&gt;nFilas),NA(),IF(AND(ISNUMBER(INDEX(rMed2,4433)),ISNUMBER(INDEX(rMed,4433))),INDEX(rMed,4433),NA()))</f>
        <v>#N/A</v>
      </c>
    </row>
    <row r="4436">
      <c r="BX4436" t="e">
        <f>IF(OR(cMed=0,cMed2=0,4434&gt;nFilas),NA(),IF(AND(ISNUMBER(INDEX(rMed2,4434)),ISNUMBER(INDEX(rMed,4434))),INDEX(rMed2,4434),NA()))</f>
        <v>#N/A</v>
      </c>
      <c r="BY4436" t="e">
        <f>IF(OR(cMed=0,cMed2=0,4434&gt;nFilas),NA(),IF(AND(ISNUMBER(INDEX(rMed2,4434)),ISNUMBER(INDEX(rMed,4434))),INDEX(rMed,4434),NA()))</f>
        <v>#N/A</v>
      </c>
    </row>
    <row r="4437">
      <c r="BX4437" t="e">
        <f>IF(OR(cMed=0,cMed2=0,4435&gt;nFilas),NA(),IF(AND(ISNUMBER(INDEX(rMed2,4435)),ISNUMBER(INDEX(rMed,4435))),INDEX(rMed2,4435),NA()))</f>
        <v>#N/A</v>
      </c>
      <c r="BY4437" t="e">
        <f>IF(OR(cMed=0,cMed2=0,4435&gt;nFilas),NA(),IF(AND(ISNUMBER(INDEX(rMed2,4435)),ISNUMBER(INDEX(rMed,4435))),INDEX(rMed,4435),NA()))</f>
        <v>#N/A</v>
      </c>
    </row>
    <row r="4438">
      <c r="BX4438" t="e">
        <f>IF(OR(cMed=0,cMed2=0,4436&gt;nFilas),NA(),IF(AND(ISNUMBER(INDEX(rMed2,4436)),ISNUMBER(INDEX(rMed,4436))),INDEX(rMed2,4436),NA()))</f>
        <v>#N/A</v>
      </c>
      <c r="BY4438" t="e">
        <f>IF(OR(cMed=0,cMed2=0,4436&gt;nFilas),NA(),IF(AND(ISNUMBER(INDEX(rMed2,4436)),ISNUMBER(INDEX(rMed,4436))),INDEX(rMed,4436),NA()))</f>
        <v>#N/A</v>
      </c>
    </row>
    <row r="4439">
      <c r="BX4439" t="e">
        <f>IF(OR(cMed=0,cMed2=0,4437&gt;nFilas),NA(),IF(AND(ISNUMBER(INDEX(rMed2,4437)),ISNUMBER(INDEX(rMed,4437))),INDEX(rMed2,4437),NA()))</f>
        <v>#N/A</v>
      </c>
      <c r="BY4439" t="e">
        <f>IF(OR(cMed=0,cMed2=0,4437&gt;nFilas),NA(),IF(AND(ISNUMBER(INDEX(rMed2,4437)),ISNUMBER(INDEX(rMed,4437))),INDEX(rMed,4437),NA()))</f>
        <v>#N/A</v>
      </c>
    </row>
    <row r="4440">
      <c r="BX4440" t="e">
        <f>IF(OR(cMed=0,cMed2=0,4438&gt;nFilas),NA(),IF(AND(ISNUMBER(INDEX(rMed2,4438)),ISNUMBER(INDEX(rMed,4438))),INDEX(rMed2,4438),NA()))</f>
        <v>#N/A</v>
      </c>
      <c r="BY4440" t="e">
        <f>IF(OR(cMed=0,cMed2=0,4438&gt;nFilas),NA(),IF(AND(ISNUMBER(INDEX(rMed2,4438)),ISNUMBER(INDEX(rMed,4438))),INDEX(rMed,4438),NA()))</f>
        <v>#N/A</v>
      </c>
    </row>
    <row r="4441">
      <c r="BX4441" t="e">
        <f>IF(OR(cMed=0,cMed2=0,4439&gt;nFilas),NA(),IF(AND(ISNUMBER(INDEX(rMed2,4439)),ISNUMBER(INDEX(rMed,4439))),INDEX(rMed2,4439),NA()))</f>
        <v>#N/A</v>
      </c>
      <c r="BY4441" t="e">
        <f>IF(OR(cMed=0,cMed2=0,4439&gt;nFilas),NA(),IF(AND(ISNUMBER(INDEX(rMed2,4439)),ISNUMBER(INDEX(rMed,4439))),INDEX(rMed,4439),NA()))</f>
        <v>#N/A</v>
      </c>
    </row>
    <row r="4442">
      <c r="BX4442" t="e">
        <f>IF(OR(cMed=0,cMed2=0,4440&gt;nFilas),NA(),IF(AND(ISNUMBER(INDEX(rMed2,4440)),ISNUMBER(INDEX(rMed,4440))),INDEX(rMed2,4440),NA()))</f>
        <v>#N/A</v>
      </c>
      <c r="BY4442" t="e">
        <f>IF(OR(cMed=0,cMed2=0,4440&gt;nFilas),NA(),IF(AND(ISNUMBER(INDEX(rMed2,4440)),ISNUMBER(INDEX(rMed,4440))),INDEX(rMed,4440),NA()))</f>
        <v>#N/A</v>
      </c>
    </row>
    <row r="4443">
      <c r="BX4443" t="e">
        <f>IF(OR(cMed=0,cMed2=0,4441&gt;nFilas),NA(),IF(AND(ISNUMBER(INDEX(rMed2,4441)),ISNUMBER(INDEX(rMed,4441))),INDEX(rMed2,4441),NA()))</f>
        <v>#N/A</v>
      </c>
      <c r="BY4443" t="e">
        <f>IF(OR(cMed=0,cMed2=0,4441&gt;nFilas),NA(),IF(AND(ISNUMBER(INDEX(rMed2,4441)),ISNUMBER(INDEX(rMed,4441))),INDEX(rMed,4441),NA()))</f>
        <v>#N/A</v>
      </c>
    </row>
    <row r="4444">
      <c r="BX4444" t="e">
        <f>IF(OR(cMed=0,cMed2=0,4442&gt;nFilas),NA(),IF(AND(ISNUMBER(INDEX(rMed2,4442)),ISNUMBER(INDEX(rMed,4442))),INDEX(rMed2,4442),NA()))</f>
        <v>#N/A</v>
      </c>
      <c r="BY4444" t="e">
        <f>IF(OR(cMed=0,cMed2=0,4442&gt;nFilas),NA(),IF(AND(ISNUMBER(INDEX(rMed2,4442)),ISNUMBER(INDEX(rMed,4442))),INDEX(rMed,4442),NA()))</f>
        <v>#N/A</v>
      </c>
    </row>
    <row r="4445">
      <c r="BX4445" t="e">
        <f>IF(OR(cMed=0,cMed2=0,4443&gt;nFilas),NA(),IF(AND(ISNUMBER(INDEX(rMed2,4443)),ISNUMBER(INDEX(rMed,4443))),INDEX(rMed2,4443),NA()))</f>
        <v>#N/A</v>
      </c>
      <c r="BY4445" t="e">
        <f>IF(OR(cMed=0,cMed2=0,4443&gt;nFilas),NA(),IF(AND(ISNUMBER(INDEX(rMed2,4443)),ISNUMBER(INDEX(rMed,4443))),INDEX(rMed,4443),NA()))</f>
        <v>#N/A</v>
      </c>
    </row>
    <row r="4446">
      <c r="BX4446" t="e">
        <f>IF(OR(cMed=0,cMed2=0,4444&gt;nFilas),NA(),IF(AND(ISNUMBER(INDEX(rMed2,4444)),ISNUMBER(INDEX(rMed,4444))),INDEX(rMed2,4444),NA()))</f>
        <v>#N/A</v>
      </c>
      <c r="BY4446" t="e">
        <f>IF(OR(cMed=0,cMed2=0,4444&gt;nFilas),NA(),IF(AND(ISNUMBER(INDEX(rMed2,4444)),ISNUMBER(INDEX(rMed,4444))),INDEX(rMed,4444),NA()))</f>
        <v>#N/A</v>
      </c>
    </row>
    <row r="4447">
      <c r="BX4447" t="e">
        <f>IF(OR(cMed=0,cMed2=0,4445&gt;nFilas),NA(),IF(AND(ISNUMBER(INDEX(rMed2,4445)),ISNUMBER(INDEX(rMed,4445))),INDEX(rMed2,4445),NA()))</f>
        <v>#N/A</v>
      </c>
      <c r="BY4447" t="e">
        <f>IF(OR(cMed=0,cMed2=0,4445&gt;nFilas),NA(),IF(AND(ISNUMBER(INDEX(rMed2,4445)),ISNUMBER(INDEX(rMed,4445))),INDEX(rMed,4445),NA()))</f>
        <v>#N/A</v>
      </c>
    </row>
    <row r="4448">
      <c r="BX4448" t="e">
        <f>IF(OR(cMed=0,cMed2=0,4446&gt;nFilas),NA(),IF(AND(ISNUMBER(INDEX(rMed2,4446)),ISNUMBER(INDEX(rMed,4446))),INDEX(rMed2,4446),NA()))</f>
        <v>#N/A</v>
      </c>
      <c r="BY4448" t="e">
        <f>IF(OR(cMed=0,cMed2=0,4446&gt;nFilas),NA(),IF(AND(ISNUMBER(INDEX(rMed2,4446)),ISNUMBER(INDEX(rMed,4446))),INDEX(rMed,4446),NA()))</f>
        <v>#N/A</v>
      </c>
    </row>
    <row r="4449">
      <c r="BX4449" t="e">
        <f>IF(OR(cMed=0,cMed2=0,4447&gt;nFilas),NA(),IF(AND(ISNUMBER(INDEX(rMed2,4447)),ISNUMBER(INDEX(rMed,4447))),INDEX(rMed2,4447),NA()))</f>
        <v>#N/A</v>
      </c>
      <c r="BY4449" t="e">
        <f>IF(OR(cMed=0,cMed2=0,4447&gt;nFilas),NA(),IF(AND(ISNUMBER(INDEX(rMed2,4447)),ISNUMBER(INDEX(rMed,4447))),INDEX(rMed,4447),NA()))</f>
        <v>#N/A</v>
      </c>
    </row>
    <row r="4450">
      <c r="BX4450" t="e">
        <f>IF(OR(cMed=0,cMed2=0,4448&gt;nFilas),NA(),IF(AND(ISNUMBER(INDEX(rMed2,4448)),ISNUMBER(INDEX(rMed,4448))),INDEX(rMed2,4448),NA()))</f>
        <v>#N/A</v>
      </c>
      <c r="BY4450" t="e">
        <f>IF(OR(cMed=0,cMed2=0,4448&gt;nFilas),NA(),IF(AND(ISNUMBER(INDEX(rMed2,4448)),ISNUMBER(INDEX(rMed,4448))),INDEX(rMed,4448),NA()))</f>
        <v>#N/A</v>
      </c>
    </row>
    <row r="4451">
      <c r="BX4451" t="e">
        <f>IF(OR(cMed=0,cMed2=0,4449&gt;nFilas),NA(),IF(AND(ISNUMBER(INDEX(rMed2,4449)),ISNUMBER(INDEX(rMed,4449))),INDEX(rMed2,4449),NA()))</f>
        <v>#N/A</v>
      </c>
      <c r="BY4451" t="e">
        <f>IF(OR(cMed=0,cMed2=0,4449&gt;nFilas),NA(),IF(AND(ISNUMBER(INDEX(rMed2,4449)),ISNUMBER(INDEX(rMed,4449))),INDEX(rMed,4449),NA()))</f>
        <v>#N/A</v>
      </c>
    </row>
    <row r="4452">
      <c r="BX4452" t="e">
        <f>IF(OR(cMed=0,cMed2=0,4450&gt;nFilas),NA(),IF(AND(ISNUMBER(INDEX(rMed2,4450)),ISNUMBER(INDEX(rMed,4450))),INDEX(rMed2,4450),NA()))</f>
        <v>#N/A</v>
      </c>
      <c r="BY4452" t="e">
        <f>IF(OR(cMed=0,cMed2=0,4450&gt;nFilas),NA(),IF(AND(ISNUMBER(INDEX(rMed2,4450)),ISNUMBER(INDEX(rMed,4450))),INDEX(rMed,4450),NA()))</f>
        <v>#N/A</v>
      </c>
    </row>
    <row r="4453">
      <c r="BX4453" t="e">
        <f>IF(OR(cMed=0,cMed2=0,4451&gt;nFilas),NA(),IF(AND(ISNUMBER(INDEX(rMed2,4451)),ISNUMBER(INDEX(rMed,4451))),INDEX(rMed2,4451),NA()))</f>
        <v>#N/A</v>
      </c>
      <c r="BY4453" t="e">
        <f>IF(OR(cMed=0,cMed2=0,4451&gt;nFilas),NA(),IF(AND(ISNUMBER(INDEX(rMed2,4451)),ISNUMBER(INDEX(rMed,4451))),INDEX(rMed,4451),NA()))</f>
        <v>#N/A</v>
      </c>
    </row>
    <row r="4454">
      <c r="BX4454" t="e">
        <f>IF(OR(cMed=0,cMed2=0,4452&gt;nFilas),NA(),IF(AND(ISNUMBER(INDEX(rMed2,4452)),ISNUMBER(INDEX(rMed,4452))),INDEX(rMed2,4452),NA()))</f>
        <v>#N/A</v>
      </c>
      <c r="BY4454" t="e">
        <f>IF(OR(cMed=0,cMed2=0,4452&gt;nFilas),NA(),IF(AND(ISNUMBER(INDEX(rMed2,4452)),ISNUMBER(INDEX(rMed,4452))),INDEX(rMed,4452),NA()))</f>
        <v>#N/A</v>
      </c>
    </row>
    <row r="4455">
      <c r="BX4455" t="e">
        <f>IF(OR(cMed=0,cMed2=0,4453&gt;nFilas),NA(),IF(AND(ISNUMBER(INDEX(rMed2,4453)),ISNUMBER(INDEX(rMed,4453))),INDEX(rMed2,4453),NA()))</f>
        <v>#N/A</v>
      </c>
      <c r="BY4455" t="e">
        <f>IF(OR(cMed=0,cMed2=0,4453&gt;nFilas),NA(),IF(AND(ISNUMBER(INDEX(rMed2,4453)),ISNUMBER(INDEX(rMed,4453))),INDEX(rMed,4453),NA()))</f>
        <v>#N/A</v>
      </c>
    </row>
    <row r="4456">
      <c r="BX4456" t="e">
        <f>IF(OR(cMed=0,cMed2=0,4454&gt;nFilas),NA(),IF(AND(ISNUMBER(INDEX(rMed2,4454)),ISNUMBER(INDEX(rMed,4454))),INDEX(rMed2,4454),NA()))</f>
        <v>#N/A</v>
      </c>
      <c r="BY4456" t="e">
        <f>IF(OR(cMed=0,cMed2=0,4454&gt;nFilas),NA(),IF(AND(ISNUMBER(INDEX(rMed2,4454)),ISNUMBER(INDEX(rMed,4454))),INDEX(rMed,4454),NA()))</f>
        <v>#N/A</v>
      </c>
    </row>
    <row r="4457">
      <c r="BX4457" t="e">
        <f>IF(OR(cMed=0,cMed2=0,4455&gt;nFilas),NA(),IF(AND(ISNUMBER(INDEX(rMed2,4455)),ISNUMBER(INDEX(rMed,4455))),INDEX(rMed2,4455),NA()))</f>
        <v>#N/A</v>
      </c>
      <c r="BY4457" t="e">
        <f>IF(OR(cMed=0,cMed2=0,4455&gt;nFilas),NA(),IF(AND(ISNUMBER(INDEX(rMed2,4455)),ISNUMBER(INDEX(rMed,4455))),INDEX(rMed,4455),NA()))</f>
        <v>#N/A</v>
      </c>
    </row>
    <row r="4458">
      <c r="BX4458" t="e">
        <f>IF(OR(cMed=0,cMed2=0,4456&gt;nFilas),NA(),IF(AND(ISNUMBER(INDEX(rMed2,4456)),ISNUMBER(INDEX(rMed,4456))),INDEX(rMed2,4456),NA()))</f>
        <v>#N/A</v>
      </c>
      <c r="BY4458" t="e">
        <f>IF(OR(cMed=0,cMed2=0,4456&gt;nFilas),NA(),IF(AND(ISNUMBER(INDEX(rMed2,4456)),ISNUMBER(INDEX(rMed,4456))),INDEX(rMed,4456),NA()))</f>
        <v>#N/A</v>
      </c>
    </row>
    <row r="4459">
      <c r="BX4459" t="e">
        <f>IF(OR(cMed=0,cMed2=0,4457&gt;nFilas),NA(),IF(AND(ISNUMBER(INDEX(rMed2,4457)),ISNUMBER(INDEX(rMed,4457))),INDEX(rMed2,4457),NA()))</f>
        <v>#N/A</v>
      </c>
      <c r="BY4459" t="e">
        <f>IF(OR(cMed=0,cMed2=0,4457&gt;nFilas),NA(),IF(AND(ISNUMBER(INDEX(rMed2,4457)),ISNUMBER(INDEX(rMed,4457))),INDEX(rMed,4457),NA()))</f>
        <v>#N/A</v>
      </c>
    </row>
    <row r="4460">
      <c r="BX4460" t="e">
        <f>IF(OR(cMed=0,cMed2=0,4458&gt;nFilas),NA(),IF(AND(ISNUMBER(INDEX(rMed2,4458)),ISNUMBER(INDEX(rMed,4458))),INDEX(rMed2,4458),NA()))</f>
        <v>#N/A</v>
      </c>
      <c r="BY4460" t="e">
        <f>IF(OR(cMed=0,cMed2=0,4458&gt;nFilas),NA(),IF(AND(ISNUMBER(INDEX(rMed2,4458)),ISNUMBER(INDEX(rMed,4458))),INDEX(rMed,4458),NA()))</f>
        <v>#N/A</v>
      </c>
    </row>
    <row r="4461">
      <c r="BX4461" t="e">
        <f>IF(OR(cMed=0,cMed2=0,4459&gt;nFilas),NA(),IF(AND(ISNUMBER(INDEX(rMed2,4459)),ISNUMBER(INDEX(rMed,4459))),INDEX(rMed2,4459),NA()))</f>
        <v>#N/A</v>
      </c>
      <c r="BY4461" t="e">
        <f>IF(OR(cMed=0,cMed2=0,4459&gt;nFilas),NA(),IF(AND(ISNUMBER(INDEX(rMed2,4459)),ISNUMBER(INDEX(rMed,4459))),INDEX(rMed,4459),NA()))</f>
        <v>#N/A</v>
      </c>
    </row>
    <row r="4462">
      <c r="BX4462" t="e">
        <f>IF(OR(cMed=0,cMed2=0,4460&gt;nFilas),NA(),IF(AND(ISNUMBER(INDEX(rMed2,4460)),ISNUMBER(INDEX(rMed,4460))),INDEX(rMed2,4460),NA()))</f>
        <v>#N/A</v>
      </c>
      <c r="BY4462" t="e">
        <f>IF(OR(cMed=0,cMed2=0,4460&gt;nFilas),NA(),IF(AND(ISNUMBER(INDEX(rMed2,4460)),ISNUMBER(INDEX(rMed,4460))),INDEX(rMed,4460),NA()))</f>
        <v>#N/A</v>
      </c>
    </row>
    <row r="4463">
      <c r="BX4463" t="e">
        <f>IF(OR(cMed=0,cMed2=0,4461&gt;nFilas),NA(),IF(AND(ISNUMBER(INDEX(rMed2,4461)),ISNUMBER(INDEX(rMed,4461))),INDEX(rMed2,4461),NA()))</f>
        <v>#N/A</v>
      </c>
      <c r="BY4463" t="e">
        <f>IF(OR(cMed=0,cMed2=0,4461&gt;nFilas),NA(),IF(AND(ISNUMBER(INDEX(rMed2,4461)),ISNUMBER(INDEX(rMed,4461))),INDEX(rMed,4461),NA()))</f>
        <v>#N/A</v>
      </c>
    </row>
    <row r="4464">
      <c r="BX4464" t="e">
        <f>IF(OR(cMed=0,cMed2=0,4462&gt;nFilas),NA(),IF(AND(ISNUMBER(INDEX(rMed2,4462)),ISNUMBER(INDEX(rMed,4462))),INDEX(rMed2,4462),NA()))</f>
        <v>#N/A</v>
      </c>
      <c r="BY4464" t="e">
        <f>IF(OR(cMed=0,cMed2=0,4462&gt;nFilas),NA(),IF(AND(ISNUMBER(INDEX(rMed2,4462)),ISNUMBER(INDEX(rMed,4462))),INDEX(rMed,4462),NA()))</f>
        <v>#N/A</v>
      </c>
    </row>
    <row r="4465">
      <c r="BX4465" t="e">
        <f>IF(OR(cMed=0,cMed2=0,4463&gt;nFilas),NA(),IF(AND(ISNUMBER(INDEX(rMed2,4463)),ISNUMBER(INDEX(rMed,4463))),INDEX(rMed2,4463),NA()))</f>
        <v>#N/A</v>
      </c>
      <c r="BY4465" t="e">
        <f>IF(OR(cMed=0,cMed2=0,4463&gt;nFilas),NA(),IF(AND(ISNUMBER(INDEX(rMed2,4463)),ISNUMBER(INDEX(rMed,4463))),INDEX(rMed,4463),NA()))</f>
        <v>#N/A</v>
      </c>
    </row>
    <row r="4466">
      <c r="BX4466" t="e">
        <f>IF(OR(cMed=0,cMed2=0,4464&gt;nFilas),NA(),IF(AND(ISNUMBER(INDEX(rMed2,4464)),ISNUMBER(INDEX(rMed,4464))),INDEX(rMed2,4464),NA()))</f>
        <v>#N/A</v>
      </c>
      <c r="BY4466" t="e">
        <f>IF(OR(cMed=0,cMed2=0,4464&gt;nFilas),NA(),IF(AND(ISNUMBER(INDEX(rMed2,4464)),ISNUMBER(INDEX(rMed,4464))),INDEX(rMed,4464),NA()))</f>
        <v>#N/A</v>
      </c>
    </row>
    <row r="4467">
      <c r="BX4467" t="e">
        <f>IF(OR(cMed=0,cMed2=0,4465&gt;nFilas),NA(),IF(AND(ISNUMBER(INDEX(rMed2,4465)),ISNUMBER(INDEX(rMed,4465))),INDEX(rMed2,4465),NA()))</f>
        <v>#N/A</v>
      </c>
      <c r="BY4467" t="e">
        <f>IF(OR(cMed=0,cMed2=0,4465&gt;nFilas),NA(),IF(AND(ISNUMBER(INDEX(rMed2,4465)),ISNUMBER(INDEX(rMed,4465))),INDEX(rMed,4465),NA()))</f>
        <v>#N/A</v>
      </c>
    </row>
    <row r="4468">
      <c r="BX4468" t="e">
        <f>IF(OR(cMed=0,cMed2=0,4466&gt;nFilas),NA(),IF(AND(ISNUMBER(INDEX(rMed2,4466)),ISNUMBER(INDEX(rMed,4466))),INDEX(rMed2,4466),NA()))</f>
        <v>#N/A</v>
      </c>
      <c r="BY4468" t="e">
        <f>IF(OR(cMed=0,cMed2=0,4466&gt;nFilas),NA(),IF(AND(ISNUMBER(INDEX(rMed2,4466)),ISNUMBER(INDEX(rMed,4466))),INDEX(rMed,4466),NA()))</f>
        <v>#N/A</v>
      </c>
    </row>
    <row r="4469">
      <c r="BX4469" t="e">
        <f>IF(OR(cMed=0,cMed2=0,4467&gt;nFilas),NA(),IF(AND(ISNUMBER(INDEX(rMed2,4467)),ISNUMBER(INDEX(rMed,4467))),INDEX(rMed2,4467),NA()))</f>
        <v>#N/A</v>
      </c>
      <c r="BY4469" t="e">
        <f>IF(OR(cMed=0,cMed2=0,4467&gt;nFilas),NA(),IF(AND(ISNUMBER(INDEX(rMed2,4467)),ISNUMBER(INDEX(rMed,4467))),INDEX(rMed,4467),NA()))</f>
        <v>#N/A</v>
      </c>
    </row>
    <row r="4470">
      <c r="BX4470" t="e">
        <f>IF(OR(cMed=0,cMed2=0,4468&gt;nFilas),NA(),IF(AND(ISNUMBER(INDEX(rMed2,4468)),ISNUMBER(INDEX(rMed,4468))),INDEX(rMed2,4468),NA()))</f>
        <v>#N/A</v>
      </c>
      <c r="BY4470" t="e">
        <f>IF(OR(cMed=0,cMed2=0,4468&gt;nFilas),NA(),IF(AND(ISNUMBER(INDEX(rMed2,4468)),ISNUMBER(INDEX(rMed,4468))),INDEX(rMed,4468),NA()))</f>
        <v>#N/A</v>
      </c>
    </row>
    <row r="4471">
      <c r="BX4471" t="e">
        <f>IF(OR(cMed=0,cMed2=0,4469&gt;nFilas),NA(),IF(AND(ISNUMBER(INDEX(rMed2,4469)),ISNUMBER(INDEX(rMed,4469))),INDEX(rMed2,4469),NA()))</f>
        <v>#N/A</v>
      </c>
      <c r="BY4471" t="e">
        <f>IF(OR(cMed=0,cMed2=0,4469&gt;nFilas),NA(),IF(AND(ISNUMBER(INDEX(rMed2,4469)),ISNUMBER(INDEX(rMed,4469))),INDEX(rMed,4469),NA()))</f>
        <v>#N/A</v>
      </c>
    </row>
    <row r="4472">
      <c r="BX4472" t="e">
        <f>IF(OR(cMed=0,cMed2=0,4470&gt;nFilas),NA(),IF(AND(ISNUMBER(INDEX(rMed2,4470)),ISNUMBER(INDEX(rMed,4470))),INDEX(rMed2,4470),NA()))</f>
        <v>#N/A</v>
      </c>
      <c r="BY4472" t="e">
        <f>IF(OR(cMed=0,cMed2=0,4470&gt;nFilas),NA(),IF(AND(ISNUMBER(INDEX(rMed2,4470)),ISNUMBER(INDEX(rMed,4470))),INDEX(rMed,4470),NA()))</f>
        <v>#N/A</v>
      </c>
    </row>
    <row r="4473">
      <c r="BX4473" t="e">
        <f>IF(OR(cMed=0,cMed2=0,4471&gt;nFilas),NA(),IF(AND(ISNUMBER(INDEX(rMed2,4471)),ISNUMBER(INDEX(rMed,4471))),INDEX(rMed2,4471),NA()))</f>
        <v>#N/A</v>
      </c>
      <c r="BY4473" t="e">
        <f>IF(OR(cMed=0,cMed2=0,4471&gt;nFilas),NA(),IF(AND(ISNUMBER(INDEX(rMed2,4471)),ISNUMBER(INDEX(rMed,4471))),INDEX(rMed,4471),NA()))</f>
        <v>#N/A</v>
      </c>
    </row>
    <row r="4474">
      <c r="BX4474" t="e">
        <f>IF(OR(cMed=0,cMed2=0,4472&gt;nFilas),NA(),IF(AND(ISNUMBER(INDEX(rMed2,4472)),ISNUMBER(INDEX(rMed,4472))),INDEX(rMed2,4472),NA()))</f>
        <v>#N/A</v>
      </c>
      <c r="BY4474" t="e">
        <f>IF(OR(cMed=0,cMed2=0,4472&gt;nFilas),NA(),IF(AND(ISNUMBER(INDEX(rMed2,4472)),ISNUMBER(INDEX(rMed,4472))),INDEX(rMed,4472),NA()))</f>
        <v>#N/A</v>
      </c>
    </row>
    <row r="4475">
      <c r="BX4475" t="e">
        <f>IF(OR(cMed=0,cMed2=0,4473&gt;nFilas),NA(),IF(AND(ISNUMBER(INDEX(rMed2,4473)),ISNUMBER(INDEX(rMed,4473))),INDEX(rMed2,4473),NA()))</f>
        <v>#N/A</v>
      </c>
      <c r="BY4475" t="e">
        <f>IF(OR(cMed=0,cMed2=0,4473&gt;nFilas),NA(),IF(AND(ISNUMBER(INDEX(rMed2,4473)),ISNUMBER(INDEX(rMed,4473))),INDEX(rMed,4473),NA()))</f>
        <v>#N/A</v>
      </c>
    </row>
    <row r="4476">
      <c r="BX4476" t="e">
        <f>IF(OR(cMed=0,cMed2=0,4474&gt;nFilas),NA(),IF(AND(ISNUMBER(INDEX(rMed2,4474)),ISNUMBER(INDEX(rMed,4474))),INDEX(rMed2,4474),NA()))</f>
        <v>#N/A</v>
      </c>
      <c r="BY4476" t="e">
        <f>IF(OR(cMed=0,cMed2=0,4474&gt;nFilas),NA(),IF(AND(ISNUMBER(INDEX(rMed2,4474)),ISNUMBER(INDEX(rMed,4474))),INDEX(rMed,4474),NA()))</f>
        <v>#N/A</v>
      </c>
    </row>
    <row r="4477">
      <c r="BX4477" t="e">
        <f>IF(OR(cMed=0,cMed2=0,4475&gt;nFilas),NA(),IF(AND(ISNUMBER(INDEX(rMed2,4475)),ISNUMBER(INDEX(rMed,4475))),INDEX(rMed2,4475),NA()))</f>
        <v>#N/A</v>
      </c>
      <c r="BY4477" t="e">
        <f>IF(OR(cMed=0,cMed2=0,4475&gt;nFilas),NA(),IF(AND(ISNUMBER(INDEX(rMed2,4475)),ISNUMBER(INDEX(rMed,4475))),INDEX(rMed,4475),NA()))</f>
        <v>#N/A</v>
      </c>
    </row>
    <row r="4478">
      <c r="BX4478" t="e">
        <f>IF(OR(cMed=0,cMed2=0,4476&gt;nFilas),NA(),IF(AND(ISNUMBER(INDEX(rMed2,4476)),ISNUMBER(INDEX(rMed,4476))),INDEX(rMed2,4476),NA()))</f>
        <v>#N/A</v>
      </c>
      <c r="BY4478" t="e">
        <f>IF(OR(cMed=0,cMed2=0,4476&gt;nFilas),NA(),IF(AND(ISNUMBER(INDEX(rMed2,4476)),ISNUMBER(INDEX(rMed,4476))),INDEX(rMed,4476),NA()))</f>
        <v>#N/A</v>
      </c>
    </row>
    <row r="4479">
      <c r="BX4479" t="e">
        <f>IF(OR(cMed=0,cMed2=0,4477&gt;nFilas),NA(),IF(AND(ISNUMBER(INDEX(rMed2,4477)),ISNUMBER(INDEX(rMed,4477))),INDEX(rMed2,4477),NA()))</f>
        <v>#N/A</v>
      </c>
      <c r="BY4479" t="e">
        <f>IF(OR(cMed=0,cMed2=0,4477&gt;nFilas),NA(),IF(AND(ISNUMBER(INDEX(rMed2,4477)),ISNUMBER(INDEX(rMed,4477))),INDEX(rMed,4477),NA()))</f>
        <v>#N/A</v>
      </c>
    </row>
    <row r="4480">
      <c r="BX4480" t="e">
        <f>IF(OR(cMed=0,cMed2=0,4478&gt;nFilas),NA(),IF(AND(ISNUMBER(INDEX(rMed2,4478)),ISNUMBER(INDEX(rMed,4478))),INDEX(rMed2,4478),NA()))</f>
        <v>#N/A</v>
      </c>
      <c r="BY4480" t="e">
        <f>IF(OR(cMed=0,cMed2=0,4478&gt;nFilas),NA(),IF(AND(ISNUMBER(INDEX(rMed2,4478)),ISNUMBER(INDEX(rMed,4478))),INDEX(rMed,4478),NA()))</f>
        <v>#N/A</v>
      </c>
    </row>
    <row r="4481">
      <c r="BX4481" t="e">
        <f>IF(OR(cMed=0,cMed2=0,4479&gt;nFilas),NA(),IF(AND(ISNUMBER(INDEX(rMed2,4479)),ISNUMBER(INDEX(rMed,4479))),INDEX(rMed2,4479),NA()))</f>
        <v>#N/A</v>
      </c>
      <c r="BY4481" t="e">
        <f>IF(OR(cMed=0,cMed2=0,4479&gt;nFilas),NA(),IF(AND(ISNUMBER(INDEX(rMed2,4479)),ISNUMBER(INDEX(rMed,4479))),INDEX(rMed,4479),NA()))</f>
        <v>#N/A</v>
      </c>
    </row>
    <row r="4482">
      <c r="BX4482" t="e">
        <f>IF(OR(cMed=0,cMed2=0,4480&gt;nFilas),NA(),IF(AND(ISNUMBER(INDEX(rMed2,4480)),ISNUMBER(INDEX(rMed,4480))),INDEX(rMed2,4480),NA()))</f>
        <v>#N/A</v>
      </c>
      <c r="BY4482" t="e">
        <f>IF(OR(cMed=0,cMed2=0,4480&gt;nFilas),NA(),IF(AND(ISNUMBER(INDEX(rMed2,4480)),ISNUMBER(INDEX(rMed,4480))),INDEX(rMed,4480),NA()))</f>
        <v>#N/A</v>
      </c>
    </row>
    <row r="4483">
      <c r="BX4483" t="e">
        <f>IF(OR(cMed=0,cMed2=0,4481&gt;nFilas),NA(),IF(AND(ISNUMBER(INDEX(rMed2,4481)),ISNUMBER(INDEX(rMed,4481))),INDEX(rMed2,4481),NA()))</f>
        <v>#N/A</v>
      </c>
      <c r="BY4483" t="e">
        <f>IF(OR(cMed=0,cMed2=0,4481&gt;nFilas),NA(),IF(AND(ISNUMBER(INDEX(rMed2,4481)),ISNUMBER(INDEX(rMed,4481))),INDEX(rMed,4481),NA()))</f>
        <v>#N/A</v>
      </c>
    </row>
    <row r="4484">
      <c r="BX4484" t="e">
        <f>IF(OR(cMed=0,cMed2=0,4482&gt;nFilas),NA(),IF(AND(ISNUMBER(INDEX(rMed2,4482)),ISNUMBER(INDEX(rMed,4482))),INDEX(rMed2,4482),NA()))</f>
        <v>#N/A</v>
      </c>
      <c r="BY4484" t="e">
        <f>IF(OR(cMed=0,cMed2=0,4482&gt;nFilas),NA(),IF(AND(ISNUMBER(INDEX(rMed2,4482)),ISNUMBER(INDEX(rMed,4482))),INDEX(rMed,4482),NA()))</f>
        <v>#N/A</v>
      </c>
    </row>
    <row r="4485">
      <c r="BX4485" t="e">
        <f>IF(OR(cMed=0,cMed2=0,4483&gt;nFilas),NA(),IF(AND(ISNUMBER(INDEX(rMed2,4483)),ISNUMBER(INDEX(rMed,4483))),INDEX(rMed2,4483),NA()))</f>
        <v>#N/A</v>
      </c>
      <c r="BY4485" t="e">
        <f>IF(OR(cMed=0,cMed2=0,4483&gt;nFilas),NA(),IF(AND(ISNUMBER(INDEX(rMed2,4483)),ISNUMBER(INDEX(rMed,4483))),INDEX(rMed,4483),NA()))</f>
        <v>#N/A</v>
      </c>
    </row>
    <row r="4486">
      <c r="BX4486" t="e">
        <f>IF(OR(cMed=0,cMed2=0,4484&gt;nFilas),NA(),IF(AND(ISNUMBER(INDEX(rMed2,4484)),ISNUMBER(INDEX(rMed,4484))),INDEX(rMed2,4484),NA()))</f>
        <v>#N/A</v>
      </c>
      <c r="BY4486" t="e">
        <f>IF(OR(cMed=0,cMed2=0,4484&gt;nFilas),NA(),IF(AND(ISNUMBER(INDEX(rMed2,4484)),ISNUMBER(INDEX(rMed,4484))),INDEX(rMed,4484),NA()))</f>
        <v>#N/A</v>
      </c>
    </row>
    <row r="4487">
      <c r="BX4487" t="e">
        <f>IF(OR(cMed=0,cMed2=0,4485&gt;nFilas),NA(),IF(AND(ISNUMBER(INDEX(rMed2,4485)),ISNUMBER(INDEX(rMed,4485))),INDEX(rMed2,4485),NA()))</f>
        <v>#N/A</v>
      </c>
      <c r="BY4487" t="e">
        <f>IF(OR(cMed=0,cMed2=0,4485&gt;nFilas),NA(),IF(AND(ISNUMBER(INDEX(rMed2,4485)),ISNUMBER(INDEX(rMed,4485))),INDEX(rMed,4485),NA()))</f>
        <v>#N/A</v>
      </c>
    </row>
    <row r="4488">
      <c r="BX4488" t="e">
        <f>IF(OR(cMed=0,cMed2=0,4486&gt;nFilas),NA(),IF(AND(ISNUMBER(INDEX(rMed2,4486)),ISNUMBER(INDEX(rMed,4486))),INDEX(rMed2,4486),NA()))</f>
        <v>#N/A</v>
      </c>
      <c r="BY4488" t="e">
        <f>IF(OR(cMed=0,cMed2=0,4486&gt;nFilas),NA(),IF(AND(ISNUMBER(INDEX(rMed2,4486)),ISNUMBER(INDEX(rMed,4486))),INDEX(rMed,4486),NA()))</f>
        <v>#N/A</v>
      </c>
    </row>
    <row r="4489">
      <c r="BX4489" t="e">
        <f>IF(OR(cMed=0,cMed2=0,4487&gt;nFilas),NA(),IF(AND(ISNUMBER(INDEX(rMed2,4487)),ISNUMBER(INDEX(rMed,4487))),INDEX(rMed2,4487),NA()))</f>
        <v>#N/A</v>
      </c>
      <c r="BY4489" t="e">
        <f>IF(OR(cMed=0,cMed2=0,4487&gt;nFilas),NA(),IF(AND(ISNUMBER(INDEX(rMed2,4487)),ISNUMBER(INDEX(rMed,4487))),INDEX(rMed,4487),NA()))</f>
        <v>#N/A</v>
      </c>
    </row>
    <row r="4490">
      <c r="BX4490" t="e">
        <f>IF(OR(cMed=0,cMed2=0,4488&gt;nFilas),NA(),IF(AND(ISNUMBER(INDEX(rMed2,4488)),ISNUMBER(INDEX(rMed,4488))),INDEX(rMed2,4488),NA()))</f>
        <v>#N/A</v>
      </c>
      <c r="BY4490" t="e">
        <f>IF(OR(cMed=0,cMed2=0,4488&gt;nFilas),NA(),IF(AND(ISNUMBER(INDEX(rMed2,4488)),ISNUMBER(INDEX(rMed,4488))),INDEX(rMed,4488),NA()))</f>
        <v>#N/A</v>
      </c>
    </row>
    <row r="4491">
      <c r="BX4491" t="e">
        <f>IF(OR(cMed=0,cMed2=0,4489&gt;nFilas),NA(),IF(AND(ISNUMBER(INDEX(rMed2,4489)),ISNUMBER(INDEX(rMed,4489))),INDEX(rMed2,4489),NA()))</f>
        <v>#N/A</v>
      </c>
      <c r="BY4491" t="e">
        <f>IF(OR(cMed=0,cMed2=0,4489&gt;nFilas),NA(),IF(AND(ISNUMBER(INDEX(rMed2,4489)),ISNUMBER(INDEX(rMed,4489))),INDEX(rMed,4489),NA()))</f>
        <v>#N/A</v>
      </c>
    </row>
    <row r="4492">
      <c r="BX4492" t="e">
        <f>IF(OR(cMed=0,cMed2=0,4490&gt;nFilas),NA(),IF(AND(ISNUMBER(INDEX(rMed2,4490)),ISNUMBER(INDEX(rMed,4490))),INDEX(rMed2,4490),NA()))</f>
        <v>#N/A</v>
      </c>
      <c r="BY4492" t="e">
        <f>IF(OR(cMed=0,cMed2=0,4490&gt;nFilas),NA(),IF(AND(ISNUMBER(INDEX(rMed2,4490)),ISNUMBER(INDEX(rMed,4490))),INDEX(rMed,4490),NA()))</f>
        <v>#N/A</v>
      </c>
    </row>
    <row r="4493">
      <c r="BX4493" t="e">
        <f>IF(OR(cMed=0,cMed2=0,4491&gt;nFilas),NA(),IF(AND(ISNUMBER(INDEX(rMed2,4491)),ISNUMBER(INDEX(rMed,4491))),INDEX(rMed2,4491),NA()))</f>
        <v>#N/A</v>
      </c>
      <c r="BY4493" t="e">
        <f>IF(OR(cMed=0,cMed2=0,4491&gt;nFilas),NA(),IF(AND(ISNUMBER(INDEX(rMed2,4491)),ISNUMBER(INDEX(rMed,4491))),INDEX(rMed,4491),NA()))</f>
        <v>#N/A</v>
      </c>
    </row>
    <row r="4494">
      <c r="BX4494" t="e">
        <f>IF(OR(cMed=0,cMed2=0,4492&gt;nFilas),NA(),IF(AND(ISNUMBER(INDEX(rMed2,4492)),ISNUMBER(INDEX(rMed,4492))),INDEX(rMed2,4492),NA()))</f>
        <v>#N/A</v>
      </c>
      <c r="BY4494" t="e">
        <f>IF(OR(cMed=0,cMed2=0,4492&gt;nFilas),NA(),IF(AND(ISNUMBER(INDEX(rMed2,4492)),ISNUMBER(INDEX(rMed,4492))),INDEX(rMed,4492),NA()))</f>
        <v>#N/A</v>
      </c>
    </row>
    <row r="4495">
      <c r="BX4495" t="e">
        <f>IF(OR(cMed=0,cMed2=0,4493&gt;nFilas),NA(),IF(AND(ISNUMBER(INDEX(rMed2,4493)),ISNUMBER(INDEX(rMed,4493))),INDEX(rMed2,4493),NA()))</f>
        <v>#N/A</v>
      </c>
      <c r="BY4495" t="e">
        <f>IF(OR(cMed=0,cMed2=0,4493&gt;nFilas),NA(),IF(AND(ISNUMBER(INDEX(rMed2,4493)),ISNUMBER(INDEX(rMed,4493))),INDEX(rMed,4493),NA()))</f>
        <v>#N/A</v>
      </c>
    </row>
    <row r="4496">
      <c r="BX4496" t="e">
        <f>IF(OR(cMed=0,cMed2=0,4494&gt;nFilas),NA(),IF(AND(ISNUMBER(INDEX(rMed2,4494)),ISNUMBER(INDEX(rMed,4494))),INDEX(rMed2,4494),NA()))</f>
        <v>#N/A</v>
      </c>
      <c r="BY4496" t="e">
        <f>IF(OR(cMed=0,cMed2=0,4494&gt;nFilas),NA(),IF(AND(ISNUMBER(INDEX(rMed2,4494)),ISNUMBER(INDEX(rMed,4494))),INDEX(rMed,4494),NA()))</f>
        <v>#N/A</v>
      </c>
    </row>
    <row r="4497">
      <c r="BX4497" t="e">
        <f>IF(OR(cMed=0,cMed2=0,4495&gt;nFilas),NA(),IF(AND(ISNUMBER(INDEX(rMed2,4495)),ISNUMBER(INDEX(rMed,4495))),INDEX(rMed2,4495),NA()))</f>
        <v>#N/A</v>
      </c>
      <c r="BY4497" t="e">
        <f>IF(OR(cMed=0,cMed2=0,4495&gt;nFilas),NA(),IF(AND(ISNUMBER(INDEX(rMed2,4495)),ISNUMBER(INDEX(rMed,4495))),INDEX(rMed,4495),NA()))</f>
        <v>#N/A</v>
      </c>
    </row>
    <row r="4498">
      <c r="BX4498" t="e">
        <f>IF(OR(cMed=0,cMed2=0,4496&gt;nFilas),NA(),IF(AND(ISNUMBER(INDEX(rMed2,4496)),ISNUMBER(INDEX(rMed,4496))),INDEX(rMed2,4496),NA()))</f>
        <v>#N/A</v>
      </c>
      <c r="BY4498" t="e">
        <f>IF(OR(cMed=0,cMed2=0,4496&gt;nFilas),NA(),IF(AND(ISNUMBER(INDEX(rMed2,4496)),ISNUMBER(INDEX(rMed,4496))),INDEX(rMed,4496),NA()))</f>
        <v>#N/A</v>
      </c>
    </row>
    <row r="4499">
      <c r="BX4499" t="e">
        <f>IF(OR(cMed=0,cMed2=0,4497&gt;nFilas),NA(),IF(AND(ISNUMBER(INDEX(rMed2,4497)),ISNUMBER(INDEX(rMed,4497))),INDEX(rMed2,4497),NA()))</f>
        <v>#N/A</v>
      </c>
      <c r="BY4499" t="e">
        <f>IF(OR(cMed=0,cMed2=0,4497&gt;nFilas),NA(),IF(AND(ISNUMBER(INDEX(rMed2,4497)),ISNUMBER(INDEX(rMed,4497))),INDEX(rMed,4497),NA()))</f>
        <v>#N/A</v>
      </c>
    </row>
    <row r="4500">
      <c r="BX4500" t="e">
        <f>IF(OR(cMed=0,cMed2=0,4498&gt;nFilas),NA(),IF(AND(ISNUMBER(INDEX(rMed2,4498)),ISNUMBER(INDEX(rMed,4498))),INDEX(rMed2,4498),NA()))</f>
        <v>#N/A</v>
      </c>
      <c r="BY4500" t="e">
        <f>IF(OR(cMed=0,cMed2=0,4498&gt;nFilas),NA(),IF(AND(ISNUMBER(INDEX(rMed2,4498)),ISNUMBER(INDEX(rMed,4498))),INDEX(rMed,4498),NA()))</f>
        <v>#N/A</v>
      </c>
    </row>
    <row r="4501">
      <c r="BX4501" t="e">
        <f>IF(OR(cMed=0,cMed2=0,4499&gt;nFilas),NA(),IF(AND(ISNUMBER(INDEX(rMed2,4499)),ISNUMBER(INDEX(rMed,4499))),INDEX(rMed2,4499),NA()))</f>
        <v>#N/A</v>
      </c>
      <c r="BY4501" t="e">
        <f>IF(OR(cMed=0,cMed2=0,4499&gt;nFilas),NA(),IF(AND(ISNUMBER(INDEX(rMed2,4499)),ISNUMBER(INDEX(rMed,4499))),INDEX(rMed,4499),NA()))</f>
        <v>#N/A</v>
      </c>
    </row>
    <row r="4502">
      <c r="BX4502" t="e">
        <f>IF(OR(cMed=0,cMed2=0,4500&gt;nFilas),NA(),IF(AND(ISNUMBER(INDEX(rMed2,4500)),ISNUMBER(INDEX(rMed,4500))),INDEX(rMed2,4500),NA()))</f>
        <v>#N/A</v>
      </c>
      <c r="BY4502" t="e">
        <f>IF(OR(cMed=0,cMed2=0,4500&gt;nFilas),NA(),IF(AND(ISNUMBER(INDEX(rMed2,4500)),ISNUMBER(INDEX(rMed,4500))),INDEX(rMed,4500),NA()))</f>
        <v>#N/A</v>
      </c>
    </row>
    <row r="4503">
      <c r="BX4503" t="e">
        <f>IF(OR(cMed=0,cMed2=0,4501&gt;nFilas),NA(),IF(AND(ISNUMBER(INDEX(rMed2,4501)),ISNUMBER(INDEX(rMed,4501))),INDEX(rMed2,4501),NA()))</f>
        <v>#N/A</v>
      </c>
      <c r="BY4503" t="e">
        <f>IF(OR(cMed=0,cMed2=0,4501&gt;nFilas),NA(),IF(AND(ISNUMBER(INDEX(rMed2,4501)),ISNUMBER(INDEX(rMed,4501))),INDEX(rMed,4501),NA()))</f>
        <v>#N/A</v>
      </c>
    </row>
    <row r="4504">
      <c r="BX4504" t="e">
        <f>IF(OR(cMed=0,cMed2=0,4502&gt;nFilas),NA(),IF(AND(ISNUMBER(INDEX(rMed2,4502)),ISNUMBER(INDEX(rMed,4502))),INDEX(rMed2,4502),NA()))</f>
        <v>#N/A</v>
      </c>
      <c r="BY4504" t="e">
        <f>IF(OR(cMed=0,cMed2=0,4502&gt;nFilas),NA(),IF(AND(ISNUMBER(INDEX(rMed2,4502)),ISNUMBER(INDEX(rMed,4502))),INDEX(rMed,4502),NA()))</f>
        <v>#N/A</v>
      </c>
    </row>
    <row r="4505">
      <c r="BX4505" t="e">
        <f>IF(OR(cMed=0,cMed2=0,4503&gt;nFilas),NA(),IF(AND(ISNUMBER(INDEX(rMed2,4503)),ISNUMBER(INDEX(rMed,4503))),INDEX(rMed2,4503),NA()))</f>
        <v>#N/A</v>
      </c>
      <c r="BY4505" t="e">
        <f>IF(OR(cMed=0,cMed2=0,4503&gt;nFilas),NA(),IF(AND(ISNUMBER(INDEX(rMed2,4503)),ISNUMBER(INDEX(rMed,4503))),INDEX(rMed,4503),NA()))</f>
        <v>#N/A</v>
      </c>
    </row>
    <row r="4506">
      <c r="BX4506" t="e">
        <f>IF(OR(cMed=0,cMed2=0,4504&gt;nFilas),NA(),IF(AND(ISNUMBER(INDEX(rMed2,4504)),ISNUMBER(INDEX(rMed,4504))),INDEX(rMed2,4504),NA()))</f>
        <v>#N/A</v>
      </c>
      <c r="BY4506" t="e">
        <f>IF(OR(cMed=0,cMed2=0,4504&gt;nFilas),NA(),IF(AND(ISNUMBER(INDEX(rMed2,4504)),ISNUMBER(INDEX(rMed,4504))),INDEX(rMed,4504),NA()))</f>
        <v>#N/A</v>
      </c>
    </row>
    <row r="4507">
      <c r="BX4507" t="e">
        <f>IF(OR(cMed=0,cMed2=0,4505&gt;nFilas),NA(),IF(AND(ISNUMBER(INDEX(rMed2,4505)),ISNUMBER(INDEX(rMed,4505))),INDEX(rMed2,4505),NA()))</f>
        <v>#N/A</v>
      </c>
      <c r="BY4507" t="e">
        <f>IF(OR(cMed=0,cMed2=0,4505&gt;nFilas),NA(),IF(AND(ISNUMBER(INDEX(rMed2,4505)),ISNUMBER(INDEX(rMed,4505))),INDEX(rMed,4505),NA()))</f>
        <v>#N/A</v>
      </c>
    </row>
    <row r="4508">
      <c r="BX4508" t="e">
        <f>IF(OR(cMed=0,cMed2=0,4506&gt;nFilas),NA(),IF(AND(ISNUMBER(INDEX(rMed2,4506)),ISNUMBER(INDEX(rMed,4506))),INDEX(rMed2,4506),NA()))</f>
        <v>#N/A</v>
      </c>
      <c r="BY4508" t="e">
        <f>IF(OR(cMed=0,cMed2=0,4506&gt;nFilas),NA(),IF(AND(ISNUMBER(INDEX(rMed2,4506)),ISNUMBER(INDEX(rMed,4506))),INDEX(rMed,4506),NA()))</f>
        <v>#N/A</v>
      </c>
    </row>
    <row r="4509">
      <c r="BX4509" t="e">
        <f>IF(OR(cMed=0,cMed2=0,4507&gt;nFilas),NA(),IF(AND(ISNUMBER(INDEX(rMed2,4507)),ISNUMBER(INDEX(rMed,4507))),INDEX(rMed2,4507),NA()))</f>
        <v>#N/A</v>
      </c>
      <c r="BY4509" t="e">
        <f>IF(OR(cMed=0,cMed2=0,4507&gt;nFilas),NA(),IF(AND(ISNUMBER(INDEX(rMed2,4507)),ISNUMBER(INDEX(rMed,4507))),INDEX(rMed,4507),NA()))</f>
        <v>#N/A</v>
      </c>
    </row>
    <row r="4510">
      <c r="BX4510" t="e">
        <f>IF(OR(cMed=0,cMed2=0,4508&gt;nFilas),NA(),IF(AND(ISNUMBER(INDEX(rMed2,4508)),ISNUMBER(INDEX(rMed,4508))),INDEX(rMed2,4508),NA()))</f>
        <v>#N/A</v>
      </c>
      <c r="BY4510" t="e">
        <f>IF(OR(cMed=0,cMed2=0,4508&gt;nFilas),NA(),IF(AND(ISNUMBER(INDEX(rMed2,4508)),ISNUMBER(INDEX(rMed,4508))),INDEX(rMed,4508),NA()))</f>
        <v>#N/A</v>
      </c>
    </row>
    <row r="4511">
      <c r="BX4511" t="e">
        <f>IF(OR(cMed=0,cMed2=0,4509&gt;nFilas),NA(),IF(AND(ISNUMBER(INDEX(rMed2,4509)),ISNUMBER(INDEX(rMed,4509))),INDEX(rMed2,4509),NA()))</f>
        <v>#N/A</v>
      </c>
      <c r="BY4511" t="e">
        <f>IF(OR(cMed=0,cMed2=0,4509&gt;nFilas),NA(),IF(AND(ISNUMBER(INDEX(rMed2,4509)),ISNUMBER(INDEX(rMed,4509))),INDEX(rMed,4509),NA()))</f>
        <v>#N/A</v>
      </c>
    </row>
    <row r="4512">
      <c r="BX4512" t="e">
        <f>IF(OR(cMed=0,cMed2=0,4510&gt;nFilas),NA(),IF(AND(ISNUMBER(INDEX(rMed2,4510)),ISNUMBER(INDEX(rMed,4510))),INDEX(rMed2,4510),NA()))</f>
        <v>#N/A</v>
      </c>
      <c r="BY4512" t="e">
        <f>IF(OR(cMed=0,cMed2=0,4510&gt;nFilas),NA(),IF(AND(ISNUMBER(INDEX(rMed2,4510)),ISNUMBER(INDEX(rMed,4510))),INDEX(rMed,4510),NA()))</f>
        <v>#N/A</v>
      </c>
    </row>
    <row r="4513">
      <c r="BX4513" t="e">
        <f>IF(OR(cMed=0,cMed2=0,4511&gt;nFilas),NA(),IF(AND(ISNUMBER(INDEX(rMed2,4511)),ISNUMBER(INDEX(rMed,4511))),INDEX(rMed2,4511),NA()))</f>
        <v>#N/A</v>
      </c>
      <c r="BY4513" t="e">
        <f>IF(OR(cMed=0,cMed2=0,4511&gt;nFilas),NA(),IF(AND(ISNUMBER(INDEX(rMed2,4511)),ISNUMBER(INDEX(rMed,4511))),INDEX(rMed,4511),NA()))</f>
        <v>#N/A</v>
      </c>
    </row>
    <row r="4514">
      <c r="BX4514" t="e">
        <f>IF(OR(cMed=0,cMed2=0,4512&gt;nFilas),NA(),IF(AND(ISNUMBER(INDEX(rMed2,4512)),ISNUMBER(INDEX(rMed,4512))),INDEX(rMed2,4512),NA()))</f>
        <v>#N/A</v>
      </c>
      <c r="BY4514" t="e">
        <f>IF(OR(cMed=0,cMed2=0,4512&gt;nFilas),NA(),IF(AND(ISNUMBER(INDEX(rMed2,4512)),ISNUMBER(INDEX(rMed,4512))),INDEX(rMed,4512),NA()))</f>
        <v>#N/A</v>
      </c>
    </row>
    <row r="4515">
      <c r="BX4515" t="e">
        <f>IF(OR(cMed=0,cMed2=0,4513&gt;nFilas),NA(),IF(AND(ISNUMBER(INDEX(rMed2,4513)),ISNUMBER(INDEX(rMed,4513))),INDEX(rMed2,4513),NA()))</f>
        <v>#N/A</v>
      </c>
      <c r="BY4515" t="e">
        <f>IF(OR(cMed=0,cMed2=0,4513&gt;nFilas),NA(),IF(AND(ISNUMBER(INDEX(rMed2,4513)),ISNUMBER(INDEX(rMed,4513))),INDEX(rMed,4513),NA()))</f>
        <v>#N/A</v>
      </c>
    </row>
    <row r="4516">
      <c r="BX4516" t="e">
        <f>IF(OR(cMed=0,cMed2=0,4514&gt;nFilas),NA(),IF(AND(ISNUMBER(INDEX(rMed2,4514)),ISNUMBER(INDEX(rMed,4514))),INDEX(rMed2,4514),NA()))</f>
        <v>#N/A</v>
      </c>
      <c r="BY4516" t="e">
        <f>IF(OR(cMed=0,cMed2=0,4514&gt;nFilas),NA(),IF(AND(ISNUMBER(INDEX(rMed2,4514)),ISNUMBER(INDEX(rMed,4514))),INDEX(rMed,4514),NA()))</f>
        <v>#N/A</v>
      </c>
    </row>
    <row r="4517">
      <c r="BX4517" t="e">
        <f>IF(OR(cMed=0,cMed2=0,4515&gt;nFilas),NA(),IF(AND(ISNUMBER(INDEX(rMed2,4515)),ISNUMBER(INDEX(rMed,4515))),INDEX(rMed2,4515),NA()))</f>
        <v>#N/A</v>
      </c>
      <c r="BY4517" t="e">
        <f>IF(OR(cMed=0,cMed2=0,4515&gt;nFilas),NA(),IF(AND(ISNUMBER(INDEX(rMed2,4515)),ISNUMBER(INDEX(rMed,4515))),INDEX(rMed,4515),NA()))</f>
        <v>#N/A</v>
      </c>
    </row>
    <row r="4518">
      <c r="BX4518" t="e">
        <f>IF(OR(cMed=0,cMed2=0,4516&gt;nFilas),NA(),IF(AND(ISNUMBER(INDEX(rMed2,4516)),ISNUMBER(INDEX(rMed,4516))),INDEX(rMed2,4516),NA()))</f>
        <v>#N/A</v>
      </c>
      <c r="BY4518" t="e">
        <f>IF(OR(cMed=0,cMed2=0,4516&gt;nFilas),NA(),IF(AND(ISNUMBER(INDEX(rMed2,4516)),ISNUMBER(INDEX(rMed,4516))),INDEX(rMed,4516),NA()))</f>
        <v>#N/A</v>
      </c>
    </row>
    <row r="4519">
      <c r="BX4519" t="e">
        <f>IF(OR(cMed=0,cMed2=0,4517&gt;nFilas),NA(),IF(AND(ISNUMBER(INDEX(rMed2,4517)),ISNUMBER(INDEX(rMed,4517))),INDEX(rMed2,4517),NA()))</f>
        <v>#N/A</v>
      </c>
      <c r="BY4519" t="e">
        <f>IF(OR(cMed=0,cMed2=0,4517&gt;nFilas),NA(),IF(AND(ISNUMBER(INDEX(rMed2,4517)),ISNUMBER(INDEX(rMed,4517))),INDEX(rMed,4517),NA()))</f>
        <v>#N/A</v>
      </c>
    </row>
    <row r="4520">
      <c r="BX4520" t="e">
        <f>IF(OR(cMed=0,cMed2=0,4518&gt;nFilas),NA(),IF(AND(ISNUMBER(INDEX(rMed2,4518)),ISNUMBER(INDEX(rMed,4518))),INDEX(rMed2,4518),NA()))</f>
        <v>#N/A</v>
      </c>
      <c r="BY4520" t="e">
        <f>IF(OR(cMed=0,cMed2=0,4518&gt;nFilas),NA(),IF(AND(ISNUMBER(INDEX(rMed2,4518)),ISNUMBER(INDEX(rMed,4518))),INDEX(rMed,4518),NA()))</f>
        <v>#N/A</v>
      </c>
    </row>
    <row r="4521">
      <c r="BX4521" t="e">
        <f>IF(OR(cMed=0,cMed2=0,4519&gt;nFilas),NA(),IF(AND(ISNUMBER(INDEX(rMed2,4519)),ISNUMBER(INDEX(rMed,4519))),INDEX(rMed2,4519),NA()))</f>
        <v>#N/A</v>
      </c>
      <c r="BY4521" t="e">
        <f>IF(OR(cMed=0,cMed2=0,4519&gt;nFilas),NA(),IF(AND(ISNUMBER(INDEX(rMed2,4519)),ISNUMBER(INDEX(rMed,4519))),INDEX(rMed,4519),NA()))</f>
        <v>#N/A</v>
      </c>
    </row>
    <row r="4522">
      <c r="BX4522" t="e">
        <f>IF(OR(cMed=0,cMed2=0,4520&gt;nFilas),NA(),IF(AND(ISNUMBER(INDEX(rMed2,4520)),ISNUMBER(INDEX(rMed,4520))),INDEX(rMed2,4520),NA()))</f>
        <v>#N/A</v>
      </c>
      <c r="BY4522" t="e">
        <f>IF(OR(cMed=0,cMed2=0,4520&gt;nFilas),NA(),IF(AND(ISNUMBER(INDEX(rMed2,4520)),ISNUMBER(INDEX(rMed,4520))),INDEX(rMed,4520),NA()))</f>
        <v>#N/A</v>
      </c>
    </row>
    <row r="4523">
      <c r="BX4523" t="e">
        <f>IF(OR(cMed=0,cMed2=0,4521&gt;nFilas),NA(),IF(AND(ISNUMBER(INDEX(rMed2,4521)),ISNUMBER(INDEX(rMed,4521))),INDEX(rMed2,4521),NA()))</f>
        <v>#N/A</v>
      </c>
      <c r="BY4523" t="e">
        <f>IF(OR(cMed=0,cMed2=0,4521&gt;nFilas),NA(),IF(AND(ISNUMBER(INDEX(rMed2,4521)),ISNUMBER(INDEX(rMed,4521))),INDEX(rMed,4521),NA()))</f>
        <v>#N/A</v>
      </c>
    </row>
    <row r="4524">
      <c r="BX4524" t="e">
        <f>IF(OR(cMed=0,cMed2=0,4522&gt;nFilas),NA(),IF(AND(ISNUMBER(INDEX(rMed2,4522)),ISNUMBER(INDEX(rMed,4522))),INDEX(rMed2,4522),NA()))</f>
        <v>#N/A</v>
      </c>
      <c r="BY4524" t="e">
        <f>IF(OR(cMed=0,cMed2=0,4522&gt;nFilas),NA(),IF(AND(ISNUMBER(INDEX(rMed2,4522)),ISNUMBER(INDEX(rMed,4522))),INDEX(rMed,4522),NA()))</f>
        <v>#N/A</v>
      </c>
    </row>
    <row r="4525">
      <c r="BX4525" t="e">
        <f>IF(OR(cMed=0,cMed2=0,4523&gt;nFilas),NA(),IF(AND(ISNUMBER(INDEX(rMed2,4523)),ISNUMBER(INDEX(rMed,4523))),INDEX(rMed2,4523),NA()))</f>
        <v>#N/A</v>
      </c>
      <c r="BY4525" t="e">
        <f>IF(OR(cMed=0,cMed2=0,4523&gt;nFilas),NA(),IF(AND(ISNUMBER(INDEX(rMed2,4523)),ISNUMBER(INDEX(rMed,4523))),INDEX(rMed,4523),NA()))</f>
        <v>#N/A</v>
      </c>
    </row>
    <row r="4526">
      <c r="BX4526" t="e">
        <f>IF(OR(cMed=0,cMed2=0,4524&gt;nFilas),NA(),IF(AND(ISNUMBER(INDEX(rMed2,4524)),ISNUMBER(INDEX(rMed,4524))),INDEX(rMed2,4524),NA()))</f>
        <v>#N/A</v>
      </c>
      <c r="BY4526" t="e">
        <f>IF(OR(cMed=0,cMed2=0,4524&gt;nFilas),NA(),IF(AND(ISNUMBER(INDEX(rMed2,4524)),ISNUMBER(INDEX(rMed,4524))),INDEX(rMed,4524),NA()))</f>
        <v>#N/A</v>
      </c>
    </row>
    <row r="4527">
      <c r="BX4527" t="e">
        <f>IF(OR(cMed=0,cMed2=0,4525&gt;nFilas),NA(),IF(AND(ISNUMBER(INDEX(rMed2,4525)),ISNUMBER(INDEX(rMed,4525))),INDEX(rMed2,4525),NA()))</f>
        <v>#N/A</v>
      </c>
      <c r="BY4527" t="e">
        <f>IF(OR(cMed=0,cMed2=0,4525&gt;nFilas),NA(),IF(AND(ISNUMBER(INDEX(rMed2,4525)),ISNUMBER(INDEX(rMed,4525))),INDEX(rMed,4525),NA()))</f>
        <v>#N/A</v>
      </c>
    </row>
    <row r="4528">
      <c r="BX4528" t="e">
        <f>IF(OR(cMed=0,cMed2=0,4526&gt;nFilas),NA(),IF(AND(ISNUMBER(INDEX(rMed2,4526)),ISNUMBER(INDEX(rMed,4526))),INDEX(rMed2,4526),NA()))</f>
        <v>#N/A</v>
      </c>
      <c r="BY4528" t="e">
        <f>IF(OR(cMed=0,cMed2=0,4526&gt;nFilas),NA(),IF(AND(ISNUMBER(INDEX(rMed2,4526)),ISNUMBER(INDEX(rMed,4526))),INDEX(rMed,4526),NA()))</f>
        <v>#N/A</v>
      </c>
    </row>
    <row r="4529">
      <c r="BX4529" t="e">
        <f>IF(OR(cMed=0,cMed2=0,4527&gt;nFilas),NA(),IF(AND(ISNUMBER(INDEX(rMed2,4527)),ISNUMBER(INDEX(rMed,4527))),INDEX(rMed2,4527),NA()))</f>
        <v>#N/A</v>
      </c>
      <c r="BY4529" t="e">
        <f>IF(OR(cMed=0,cMed2=0,4527&gt;nFilas),NA(),IF(AND(ISNUMBER(INDEX(rMed2,4527)),ISNUMBER(INDEX(rMed,4527))),INDEX(rMed,4527),NA()))</f>
        <v>#N/A</v>
      </c>
    </row>
    <row r="4530">
      <c r="BX4530" t="e">
        <f>IF(OR(cMed=0,cMed2=0,4528&gt;nFilas),NA(),IF(AND(ISNUMBER(INDEX(rMed2,4528)),ISNUMBER(INDEX(rMed,4528))),INDEX(rMed2,4528),NA()))</f>
        <v>#N/A</v>
      </c>
      <c r="BY4530" t="e">
        <f>IF(OR(cMed=0,cMed2=0,4528&gt;nFilas),NA(),IF(AND(ISNUMBER(INDEX(rMed2,4528)),ISNUMBER(INDEX(rMed,4528))),INDEX(rMed,4528),NA()))</f>
        <v>#N/A</v>
      </c>
    </row>
    <row r="4531">
      <c r="BX4531" t="e">
        <f>IF(OR(cMed=0,cMed2=0,4529&gt;nFilas),NA(),IF(AND(ISNUMBER(INDEX(rMed2,4529)),ISNUMBER(INDEX(rMed,4529))),INDEX(rMed2,4529),NA()))</f>
        <v>#N/A</v>
      </c>
      <c r="BY4531" t="e">
        <f>IF(OR(cMed=0,cMed2=0,4529&gt;nFilas),NA(),IF(AND(ISNUMBER(INDEX(rMed2,4529)),ISNUMBER(INDEX(rMed,4529))),INDEX(rMed,4529),NA()))</f>
        <v>#N/A</v>
      </c>
    </row>
    <row r="4532">
      <c r="BX4532" t="e">
        <f>IF(OR(cMed=0,cMed2=0,4530&gt;nFilas),NA(),IF(AND(ISNUMBER(INDEX(rMed2,4530)),ISNUMBER(INDEX(rMed,4530))),INDEX(rMed2,4530),NA()))</f>
        <v>#N/A</v>
      </c>
      <c r="BY4532" t="e">
        <f>IF(OR(cMed=0,cMed2=0,4530&gt;nFilas),NA(),IF(AND(ISNUMBER(INDEX(rMed2,4530)),ISNUMBER(INDEX(rMed,4530))),INDEX(rMed,4530),NA()))</f>
        <v>#N/A</v>
      </c>
    </row>
    <row r="4533">
      <c r="BX4533" t="e">
        <f>IF(OR(cMed=0,cMed2=0,4531&gt;nFilas),NA(),IF(AND(ISNUMBER(INDEX(rMed2,4531)),ISNUMBER(INDEX(rMed,4531))),INDEX(rMed2,4531),NA()))</f>
        <v>#N/A</v>
      </c>
      <c r="BY4533" t="e">
        <f>IF(OR(cMed=0,cMed2=0,4531&gt;nFilas),NA(),IF(AND(ISNUMBER(INDEX(rMed2,4531)),ISNUMBER(INDEX(rMed,4531))),INDEX(rMed,4531),NA()))</f>
        <v>#N/A</v>
      </c>
    </row>
    <row r="4534">
      <c r="BX4534" t="e">
        <f>IF(OR(cMed=0,cMed2=0,4532&gt;nFilas),NA(),IF(AND(ISNUMBER(INDEX(rMed2,4532)),ISNUMBER(INDEX(rMed,4532))),INDEX(rMed2,4532),NA()))</f>
        <v>#N/A</v>
      </c>
      <c r="BY4534" t="e">
        <f>IF(OR(cMed=0,cMed2=0,4532&gt;nFilas),NA(),IF(AND(ISNUMBER(INDEX(rMed2,4532)),ISNUMBER(INDEX(rMed,4532))),INDEX(rMed,4532),NA()))</f>
        <v>#N/A</v>
      </c>
    </row>
    <row r="4535">
      <c r="BX4535" t="e">
        <f>IF(OR(cMed=0,cMed2=0,4533&gt;nFilas),NA(),IF(AND(ISNUMBER(INDEX(rMed2,4533)),ISNUMBER(INDEX(rMed,4533))),INDEX(rMed2,4533),NA()))</f>
        <v>#N/A</v>
      </c>
      <c r="BY4535" t="e">
        <f>IF(OR(cMed=0,cMed2=0,4533&gt;nFilas),NA(),IF(AND(ISNUMBER(INDEX(rMed2,4533)),ISNUMBER(INDEX(rMed,4533))),INDEX(rMed,4533),NA()))</f>
        <v>#N/A</v>
      </c>
    </row>
    <row r="4536">
      <c r="BX4536" t="e">
        <f>IF(OR(cMed=0,cMed2=0,4534&gt;nFilas),NA(),IF(AND(ISNUMBER(INDEX(rMed2,4534)),ISNUMBER(INDEX(rMed,4534))),INDEX(rMed2,4534),NA()))</f>
        <v>#N/A</v>
      </c>
      <c r="BY4536" t="e">
        <f>IF(OR(cMed=0,cMed2=0,4534&gt;nFilas),NA(),IF(AND(ISNUMBER(INDEX(rMed2,4534)),ISNUMBER(INDEX(rMed,4534))),INDEX(rMed,4534),NA()))</f>
        <v>#N/A</v>
      </c>
    </row>
    <row r="4537">
      <c r="BX4537" t="e">
        <f>IF(OR(cMed=0,cMed2=0,4535&gt;nFilas),NA(),IF(AND(ISNUMBER(INDEX(rMed2,4535)),ISNUMBER(INDEX(rMed,4535))),INDEX(rMed2,4535),NA()))</f>
        <v>#N/A</v>
      </c>
      <c r="BY4537" t="e">
        <f>IF(OR(cMed=0,cMed2=0,4535&gt;nFilas),NA(),IF(AND(ISNUMBER(INDEX(rMed2,4535)),ISNUMBER(INDEX(rMed,4535))),INDEX(rMed,4535),NA()))</f>
        <v>#N/A</v>
      </c>
    </row>
    <row r="4538">
      <c r="BX4538" t="e">
        <f>IF(OR(cMed=0,cMed2=0,4536&gt;nFilas),NA(),IF(AND(ISNUMBER(INDEX(rMed2,4536)),ISNUMBER(INDEX(rMed,4536))),INDEX(rMed2,4536),NA()))</f>
        <v>#N/A</v>
      </c>
      <c r="BY4538" t="e">
        <f>IF(OR(cMed=0,cMed2=0,4536&gt;nFilas),NA(),IF(AND(ISNUMBER(INDEX(rMed2,4536)),ISNUMBER(INDEX(rMed,4536))),INDEX(rMed,4536),NA()))</f>
        <v>#N/A</v>
      </c>
    </row>
    <row r="4539">
      <c r="BX4539" t="e">
        <f>IF(OR(cMed=0,cMed2=0,4537&gt;nFilas),NA(),IF(AND(ISNUMBER(INDEX(rMed2,4537)),ISNUMBER(INDEX(rMed,4537))),INDEX(rMed2,4537),NA()))</f>
        <v>#N/A</v>
      </c>
      <c r="BY4539" t="e">
        <f>IF(OR(cMed=0,cMed2=0,4537&gt;nFilas),NA(),IF(AND(ISNUMBER(INDEX(rMed2,4537)),ISNUMBER(INDEX(rMed,4537))),INDEX(rMed,4537),NA()))</f>
        <v>#N/A</v>
      </c>
    </row>
    <row r="4540">
      <c r="BX4540" t="e">
        <f>IF(OR(cMed=0,cMed2=0,4538&gt;nFilas),NA(),IF(AND(ISNUMBER(INDEX(rMed2,4538)),ISNUMBER(INDEX(rMed,4538))),INDEX(rMed2,4538),NA()))</f>
        <v>#N/A</v>
      </c>
      <c r="BY4540" t="e">
        <f>IF(OR(cMed=0,cMed2=0,4538&gt;nFilas),NA(),IF(AND(ISNUMBER(INDEX(rMed2,4538)),ISNUMBER(INDEX(rMed,4538))),INDEX(rMed,4538),NA()))</f>
        <v>#N/A</v>
      </c>
    </row>
    <row r="4541">
      <c r="BX4541" t="e">
        <f>IF(OR(cMed=0,cMed2=0,4539&gt;nFilas),NA(),IF(AND(ISNUMBER(INDEX(rMed2,4539)),ISNUMBER(INDEX(rMed,4539))),INDEX(rMed2,4539),NA()))</f>
        <v>#N/A</v>
      </c>
      <c r="BY4541" t="e">
        <f>IF(OR(cMed=0,cMed2=0,4539&gt;nFilas),NA(),IF(AND(ISNUMBER(INDEX(rMed2,4539)),ISNUMBER(INDEX(rMed,4539))),INDEX(rMed,4539),NA()))</f>
        <v>#N/A</v>
      </c>
    </row>
    <row r="4542">
      <c r="BX4542" t="e">
        <f>IF(OR(cMed=0,cMed2=0,4540&gt;nFilas),NA(),IF(AND(ISNUMBER(INDEX(rMed2,4540)),ISNUMBER(INDEX(rMed,4540))),INDEX(rMed2,4540),NA()))</f>
        <v>#N/A</v>
      </c>
      <c r="BY4542" t="e">
        <f>IF(OR(cMed=0,cMed2=0,4540&gt;nFilas),NA(),IF(AND(ISNUMBER(INDEX(rMed2,4540)),ISNUMBER(INDEX(rMed,4540))),INDEX(rMed,4540),NA()))</f>
        <v>#N/A</v>
      </c>
    </row>
    <row r="4543">
      <c r="BX4543" t="e">
        <f>IF(OR(cMed=0,cMed2=0,4541&gt;nFilas),NA(),IF(AND(ISNUMBER(INDEX(rMed2,4541)),ISNUMBER(INDEX(rMed,4541))),INDEX(rMed2,4541),NA()))</f>
        <v>#N/A</v>
      </c>
      <c r="BY4543" t="e">
        <f>IF(OR(cMed=0,cMed2=0,4541&gt;nFilas),NA(),IF(AND(ISNUMBER(INDEX(rMed2,4541)),ISNUMBER(INDEX(rMed,4541))),INDEX(rMed,4541),NA()))</f>
        <v>#N/A</v>
      </c>
    </row>
    <row r="4544">
      <c r="BX4544" t="e">
        <f>IF(OR(cMed=0,cMed2=0,4542&gt;nFilas),NA(),IF(AND(ISNUMBER(INDEX(rMed2,4542)),ISNUMBER(INDEX(rMed,4542))),INDEX(rMed2,4542),NA()))</f>
        <v>#N/A</v>
      </c>
      <c r="BY4544" t="e">
        <f>IF(OR(cMed=0,cMed2=0,4542&gt;nFilas),NA(),IF(AND(ISNUMBER(INDEX(rMed2,4542)),ISNUMBER(INDEX(rMed,4542))),INDEX(rMed,4542),NA()))</f>
        <v>#N/A</v>
      </c>
    </row>
    <row r="4545">
      <c r="BX4545" t="e">
        <f>IF(OR(cMed=0,cMed2=0,4543&gt;nFilas),NA(),IF(AND(ISNUMBER(INDEX(rMed2,4543)),ISNUMBER(INDEX(rMed,4543))),INDEX(rMed2,4543),NA()))</f>
        <v>#N/A</v>
      </c>
      <c r="BY4545" t="e">
        <f>IF(OR(cMed=0,cMed2=0,4543&gt;nFilas),NA(),IF(AND(ISNUMBER(INDEX(rMed2,4543)),ISNUMBER(INDEX(rMed,4543))),INDEX(rMed,4543),NA()))</f>
        <v>#N/A</v>
      </c>
    </row>
    <row r="4546">
      <c r="BX4546" t="e">
        <f>IF(OR(cMed=0,cMed2=0,4544&gt;nFilas),NA(),IF(AND(ISNUMBER(INDEX(rMed2,4544)),ISNUMBER(INDEX(rMed,4544))),INDEX(rMed2,4544),NA()))</f>
        <v>#N/A</v>
      </c>
      <c r="BY4546" t="e">
        <f>IF(OR(cMed=0,cMed2=0,4544&gt;nFilas),NA(),IF(AND(ISNUMBER(INDEX(rMed2,4544)),ISNUMBER(INDEX(rMed,4544))),INDEX(rMed,4544),NA()))</f>
        <v>#N/A</v>
      </c>
    </row>
    <row r="4547">
      <c r="BX4547" t="e">
        <f>IF(OR(cMed=0,cMed2=0,4545&gt;nFilas),NA(),IF(AND(ISNUMBER(INDEX(rMed2,4545)),ISNUMBER(INDEX(rMed,4545))),INDEX(rMed2,4545),NA()))</f>
        <v>#N/A</v>
      </c>
      <c r="BY4547" t="e">
        <f>IF(OR(cMed=0,cMed2=0,4545&gt;nFilas),NA(),IF(AND(ISNUMBER(INDEX(rMed2,4545)),ISNUMBER(INDEX(rMed,4545))),INDEX(rMed,4545),NA()))</f>
        <v>#N/A</v>
      </c>
    </row>
    <row r="4548">
      <c r="BX4548" t="e">
        <f>IF(OR(cMed=0,cMed2=0,4546&gt;nFilas),NA(),IF(AND(ISNUMBER(INDEX(rMed2,4546)),ISNUMBER(INDEX(rMed,4546))),INDEX(rMed2,4546),NA()))</f>
        <v>#N/A</v>
      </c>
      <c r="BY4548" t="e">
        <f>IF(OR(cMed=0,cMed2=0,4546&gt;nFilas),NA(),IF(AND(ISNUMBER(INDEX(rMed2,4546)),ISNUMBER(INDEX(rMed,4546))),INDEX(rMed,4546),NA()))</f>
        <v>#N/A</v>
      </c>
    </row>
    <row r="4549">
      <c r="BX4549" t="e">
        <f>IF(OR(cMed=0,cMed2=0,4547&gt;nFilas),NA(),IF(AND(ISNUMBER(INDEX(rMed2,4547)),ISNUMBER(INDEX(rMed,4547))),INDEX(rMed2,4547),NA()))</f>
        <v>#N/A</v>
      </c>
      <c r="BY4549" t="e">
        <f>IF(OR(cMed=0,cMed2=0,4547&gt;nFilas),NA(),IF(AND(ISNUMBER(INDEX(rMed2,4547)),ISNUMBER(INDEX(rMed,4547))),INDEX(rMed,4547),NA()))</f>
        <v>#N/A</v>
      </c>
    </row>
    <row r="4550">
      <c r="BX4550" t="e">
        <f>IF(OR(cMed=0,cMed2=0,4548&gt;nFilas),NA(),IF(AND(ISNUMBER(INDEX(rMed2,4548)),ISNUMBER(INDEX(rMed,4548))),INDEX(rMed2,4548),NA()))</f>
        <v>#N/A</v>
      </c>
      <c r="BY4550" t="e">
        <f>IF(OR(cMed=0,cMed2=0,4548&gt;nFilas),NA(),IF(AND(ISNUMBER(INDEX(rMed2,4548)),ISNUMBER(INDEX(rMed,4548))),INDEX(rMed,4548),NA()))</f>
        <v>#N/A</v>
      </c>
    </row>
    <row r="4551">
      <c r="BX4551" t="e">
        <f>IF(OR(cMed=0,cMed2=0,4549&gt;nFilas),NA(),IF(AND(ISNUMBER(INDEX(rMed2,4549)),ISNUMBER(INDEX(rMed,4549))),INDEX(rMed2,4549),NA()))</f>
        <v>#N/A</v>
      </c>
      <c r="BY4551" t="e">
        <f>IF(OR(cMed=0,cMed2=0,4549&gt;nFilas),NA(),IF(AND(ISNUMBER(INDEX(rMed2,4549)),ISNUMBER(INDEX(rMed,4549))),INDEX(rMed,4549),NA()))</f>
        <v>#N/A</v>
      </c>
    </row>
    <row r="4552">
      <c r="BX4552" t="e">
        <f>IF(OR(cMed=0,cMed2=0,4550&gt;nFilas),NA(),IF(AND(ISNUMBER(INDEX(rMed2,4550)),ISNUMBER(INDEX(rMed,4550))),INDEX(rMed2,4550),NA()))</f>
        <v>#N/A</v>
      </c>
      <c r="BY4552" t="e">
        <f>IF(OR(cMed=0,cMed2=0,4550&gt;nFilas),NA(),IF(AND(ISNUMBER(INDEX(rMed2,4550)),ISNUMBER(INDEX(rMed,4550))),INDEX(rMed,4550),NA()))</f>
        <v>#N/A</v>
      </c>
    </row>
    <row r="4553">
      <c r="BX4553" t="e">
        <f>IF(OR(cMed=0,cMed2=0,4551&gt;nFilas),NA(),IF(AND(ISNUMBER(INDEX(rMed2,4551)),ISNUMBER(INDEX(rMed,4551))),INDEX(rMed2,4551),NA()))</f>
        <v>#N/A</v>
      </c>
      <c r="BY4553" t="e">
        <f>IF(OR(cMed=0,cMed2=0,4551&gt;nFilas),NA(),IF(AND(ISNUMBER(INDEX(rMed2,4551)),ISNUMBER(INDEX(rMed,4551))),INDEX(rMed,4551),NA()))</f>
        <v>#N/A</v>
      </c>
    </row>
    <row r="4554">
      <c r="BX4554" t="e">
        <f>IF(OR(cMed=0,cMed2=0,4552&gt;nFilas),NA(),IF(AND(ISNUMBER(INDEX(rMed2,4552)),ISNUMBER(INDEX(rMed,4552))),INDEX(rMed2,4552),NA()))</f>
        <v>#N/A</v>
      </c>
      <c r="BY4554" t="e">
        <f>IF(OR(cMed=0,cMed2=0,4552&gt;nFilas),NA(),IF(AND(ISNUMBER(INDEX(rMed2,4552)),ISNUMBER(INDEX(rMed,4552))),INDEX(rMed,4552),NA()))</f>
        <v>#N/A</v>
      </c>
    </row>
    <row r="4555">
      <c r="BX4555" t="e">
        <f>IF(OR(cMed=0,cMed2=0,4553&gt;nFilas),NA(),IF(AND(ISNUMBER(INDEX(rMed2,4553)),ISNUMBER(INDEX(rMed,4553))),INDEX(rMed2,4553),NA()))</f>
        <v>#N/A</v>
      </c>
      <c r="BY4555" t="e">
        <f>IF(OR(cMed=0,cMed2=0,4553&gt;nFilas),NA(),IF(AND(ISNUMBER(INDEX(rMed2,4553)),ISNUMBER(INDEX(rMed,4553))),INDEX(rMed,4553),NA()))</f>
        <v>#N/A</v>
      </c>
    </row>
    <row r="4556">
      <c r="BX4556" t="e">
        <f>IF(OR(cMed=0,cMed2=0,4554&gt;nFilas),NA(),IF(AND(ISNUMBER(INDEX(rMed2,4554)),ISNUMBER(INDEX(rMed,4554))),INDEX(rMed2,4554),NA()))</f>
        <v>#N/A</v>
      </c>
      <c r="BY4556" t="e">
        <f>IF(OR(cMed=0,cMed2=0,4554&gt;nFilas),NA(),IF(AND(ISNUMBER(INDEX(rMed2,4554)),ISNUMBER(INDEX(rMed,4554))),INDEX(rMed,4554),NA()))</f>
        <v>#N/A</v>
      </c>
    </row>
    <row r="4557">
      <c r="BX4557" t="e">
        <f>IF(OR(cMed=0,cMed2=0,4555&gt;nFilas),NA(),IF(AND(ISNUMBER(INDEX(rMed2,4555)),ISNUMBER(INDEX(rMed,4555))),INDEX(rMed2,4555),NA()))</f>
        <v>#N/A</v>
      </c>
      <c r="BY4557" t="e">
        <f>IF(OR(cMed=0,cMed2=0,4555&gt;nFilas),NA(),IF(AND(ISNUMBER(INDEX(rMed2,4555)),ISNUMBER(INDEX(rMed,4555))),INDEX(rMed,4555),NA()))</f>
        <v>#N/A</v>
      </c>
    </row>
    <row r="4558">
      <c r="BX4558" t="e">
        <f>IF(OR(cMed=0,cMed2=0,4556&gt;nFilas),NA(),IF(AND(ISNUMBER(INDEX(rMed2,4556)),ISNUMBER(INDEX(rMed,4556))),INDEX(rMed2,4556),NA()))</f>
        <v>#N/A</v>
      </c>
      <c r="BY4558" t="e">
        <f>IF(OR(cMed=0,cMed2=0,4556&gt;nFilas),NA(),IF(AND(ISNUMBER(INDEX(rMed2,4556)),ISNUMBER(INDEX(rMed,4556))),INDEX(rMed,4556),NA()))</f>
        <v>#N/A</v>
      </c>
    </row>
    <row r="4559">
      <c r="BX4559" t="e">
        <f>IF(OR(cMed=0,cMed2=0,4557&gt;nFilas),NA(),IF(AND(ISNUMBER(INDEX(rMed2,4557)),ISNUMBER(INDEX(rMed,4557))),INDEX(rMed2,4557),NA()))</f>
        <v>#N/A</v>
      </c>
      <c r="BY4559" t="e">
        <f>IF(OR(cMed=0,cMed2=0,4557&gt;nFilas),NA(),IF(AND(ISNUMBER(INDEX(rMed2,4557)),ISNUMBER(INDEX(rMed,4557))),INDEX(rMed,4557),NA()))</f>
        <v>#N/A</v>
      </c>
    </row>
    <row r="4560">
      <c r="BX4560" t="e">
        <f>IF(OR(cMed=0,cMed2=0,4558&gt;nFilas),NA(),IF(AND(ISNUMBER(INDEX(rMed2,4558)),ISNUMBER(INDEX(rMed,4558))),INDEX(rMed2,4558),NA()))</f>
        <v>#N/A</v>
      </c>
      <c r="BY4560" t="e">
        <f>IF(OR(cMed=0,cMed2=0,4558&gt;nFilas),NA(),IF(AND(ISNUMBER(INDEX(rMed2,4558)),ISNUMBER(INDEX(rMed,4558))),INDEX(rMed,4558),NA()))</f>
        <v>#N/A</v>
      </c>
    </row>
    <row r="4561">
      <c r="BX4561" t="e">
        <f>IF(OR(cMed=0,cMed2=0,4559&gt;nFilas),NA(),IF(AND(ISNUMBER(INDEX(rMed2,4559)),ISNUMBER(INDEX(rMed,4559))),INDEX(rMed2,4559),NA()))</f>
        <v>#N/A</v>
      </c>
      <c r="BY4561" t="e">
        <f>IF(OR(cMed=0,cMed2=0,4559&gt;nFilas),NA(),IF(AND(ISNUMBER(INDEX(rMed2,4559)),ISNUMBER(INDEX(rMed,4559))),INDEX(rMed,4559),NA()))</f>
        <v>#N/A</v>
      </c>
    </row>
    <row r="4562">
      <c r="BX4562" t="e">
        <f>IF(OR(cMed=0,cMed2=0,4560&gt;nFilas),NA(),IF(AND(ISNUMBER(INDEX(rMed2,4560)),ISNUMBER(INDEX(rMed,4560))),INDEX(rMed2,4560),NA()))</f>
        <v>#N/A</v>
      </c>
      <c r="BY4562" t="e">
        <f>IF(OR(cMed=0,cMed2=0,4560&gt;nFilas),NA(),IF(AND(ISNUMBER(INDEX(rMed2,4560)),ISNUMBER(INDEX(rMed,4560))),INDEX(rMed,4560),NA()))</f>
        <v>#N/A</v>
      </c>
    </row>
    <row r="4563">
      <c r="BX4563" t="e">
        <f>IF(OR(cMed=0,cMed2=0,4561&gt;nFilas),NA(),IF(AND(ISNUMBER(INDEX(rMed2,4561)),ISNUMBER(INDEX(rMed,4561))),INDEX(rMed2,4561),NA()))</f>
        <v>#N/A</v>
      </c>
      <c r="BY4563" t="e">
        <f>IF(OR(cMed=0,cMed2=0,4561&gt;nFilas),NA(),IF(AND(ISNUMBER(INDEX(rMed2,4561)),ISNUMBER(INDEX(rMed,4561))),INDEX(rMed,4561),NA()))</f>
        <v>#N/A</v>
      </c>
    </row>
    <row r="4564">
      <c r="BX4564" t="e">
        <f>IF(OR(cMed=0,cMed2=0,4562&gt;nFilas),NA(),IF(AND(ISNUMBER(INDEX(rMed2,4562)),ISNUMBER(INDEX(rMed,4562))),INDEX(rMed2,4562),NA()))</f>
        <v>#N/A</v>
      </c>
      <c r="BY4564" t="e">
        <f>IF(OR(cMed=0,cMed2=0,4562&gt;nFilas),NA(),IF(AND(ISNUMBER(INDEX(rMed2,4562)),ISNUMBER(INDEX(rMed,4562))),INDEX(rMed,4562),NA()))</f>
        <v>#N/A</v>
      </c>
    </row>
    <row r="4565">
      <c r="BX4565" t="e">
        <f>IF(OR(cMed=0,cMed2=0,4563&gt;nFilas),NA(),IF(AND(ISNUMBER(INDEX(rMed2,4563)),ISNUMBER(INDEX(rMed,4563))),INDEX(rMed2,4563),NA()))</f>
        <v>#N/A</v>
      </c>
      <c r="BY4565" t="e">
        <f>IF(OR(cMed=0,cMed2=0,4563&gt;nFilas),NA(),IF(AND(ISNUMBER(INDEX(rMed2,4563)),ISNUMBER(INDEX(rMed,4563))),INDEX(rMed,4563),NA()))</f>
        <v>#N/A</v>
      </c>
    </row>
    <row r="4566">
      <c r="BX4566" t="e">
        <f>IF(OR(cMed=0,cMed2=0,4564&gt;nFilas),NA(),IF(AND(ISNUMBER(INDEX(rMed2,4564)),ISNUMBER(INDEX(rMed,4564))),INDEX(rMed2,4564),NA()))</f>
        <v>#N/A</v>
      </c>
      <c r="BY4566" t="e">
        <f>IF(OR(cMed=0,cMed2=0,4564&gt;nFilas),NA(),IF(AND(ISNUMBER(INDEX(rMed2,4564)),ISNUMBER(INDEX(rMed,4564))),INDEX(rMed,4564),NA()))</f>
        <v>#N/A</v>
      </c>
    </row>
    <row r="4567">
      <c r="BX4567" t="e">
        <f>IF(OR(cMed=0,cMed2=0,4565&gt;nFilas),NA(),IF(AND(ISNUMBER(INDEX(rMed2,4565)),ISNUMBER(INDEX(rMed,4565))),INDEX(rMed2,4565),NA()))</f>
        <v>#N/A</v>
      </c>
      <c r="BY4567" t="e">
        <f>IF(OR(cMed=0,cMed2=0,4565&gt;nFilas),NA(),IF(AND(ISNUMBER(INDEX(rMed2,4565)),ISNUMBER(INDEX(rMed,4565))),INDEX(rMed,4565),NA()))</f>
        <v>#N/A</v>
      </c>
    </row>
    <row r="4568">
      <c r="BX4568" t="e">
        <f>IF(OR(cMed=0,cMed2=0,4566&gt;nFilas),NA(),IF(AND(ISNUMBER(INDEX(rMed2,4566)),ISNUMBER(INDEX(rMed,4566))),INDEX(rMed2,4566),NA()))</f>
        <v>#N/A</v>
      </c>
      <c r="BY4568" t="e">
        <f>IF(OR(cMed=0,cMed2=0,4566&gt;nFilas),NA(),IF(AND(ISNUMBER(INDEX(rMed2,4566)),ISNUMBER(INDEX(rMed,4566))),INDEX(rMed,4566),NA()))</f>
        <v>#N/A</v>
      </c>
    </row>
    <row r="4569">
      <c r="BX4569" t="e">
        <f>IF(OR(cMed=0,cMed2=0,4567&gt;nFilas),NA(),IF(AND(ISNUMBER(INDEX(rMed2,4567)),ISNUMBER(INDEX(rMed,4567))),INDEX(rMed2,4567),NA()))</f>
        <v>#N/A</v>
      </c>
      <c r="BY4569" t="e">
        <f>IF(OR(cMed=0,cMed2=0,4567&gt;nFilas),NA(),IF(AND(ISNUMBER(INDEX(rMed2,4567)),ISNUMBER(INDEX(rMed,4567))),INDEX(rMed,4567),NA()))</f>
        <v>#N/A</v>
      </c>
    </row>
    <row r="4570">
      <c r="BX4570" t="e">
        <f>IF(OR(cMed=0,cMed2=0,4568&gt;nFilas),NA(),IF(AND(ISNUMBER(INDEX(rMed2,4568)),ISNUMBER(INDEX(rMed,4568))),INDEX(rMed2,4568),NA()))</f>
        <v>#N/A</v>
      </c>
      <c r="BY4570" t="e">
        <f>IF(OR(cMed=0,cMed2=0,4568&gt;nFilas),NA(),IF(AND(ISNUMBER(INDEX(rMed2,4568)),ISNUMBER(INDEX(rMed,4568))),INDEX(rMed,4568),NA()))</f>
        <v>#N/A</v>
      </c>
    </row>
    <row r="4571">
      <c r="BX4571" t="e">
        <f>IF(OR(cMed=0,cMed2=0,4569&gt;nFilas),NA(),IF(AND(ISNUMBER(INDEX(rMed2,4569)),ISNUMBER(INDEX(rMed,4569))),INDEX(rMed2,4569),NA()))</f>
        <v>#N/A</v>
      </c>
      <c r="BY4571" t="e">
        <f>IF(OR(cMed=0,cMed2=0,4569&gt;nFilas),NA(),IF(AND(ISNUMBER(INDEX(rMed2,4569)),ISNUMBER(INDEX(rMed,4569))),INDEX(rMed,4569),NA()))</f>
        <v>#N/A</v>
      </c>
    </row>
    <row r="4572">
      <c r="BX4572" t="e">
        <f>IF(OR(cMed=0,cMed2=0,4570&gt;nFilas),NA(),IF(AND(ISNUMBER(INDEX(rMed2,4570)),ISNUMBER(INDEX(rMed,4570))),INDEX(rMed2,4570),NA()))</f>
        <v>#N/A</v>
      </c>
      <c r="BY4572" t="e">
        <f>IF(OR(cMed=0,cMed2=0,4570&gt;nFilas),NA(),IF(AND(ISNUMBER(INDEX(rMed2,4570)),ISNUMBER(INDEX(rMed,4570))),INDEX(rMed,4570),NA()))</f>
        <v>#N/A</v>
      </c>
    </row>
    <row r="4573">
      <c r="BX4573" t="e">
        <f>IF(OR(cMed=0,cMed2=0,4571&gt;nFilas),NA(),IF(AND(ISNUMBER(INDEX(rMed2,4571)),ISNUMBER(INDEX(rMed,4571))),INDEX(rMed2,4571),NA()))</f>
        <v>#N/A</v>
      </c>
      <c r="BY4573" t="e">
        <f>IF(OR(cMed=0,cMed2=0,4571&gt;nFilas),NA(),IF(AND(ISNUMBER(INDEX(rMed2,4571)),ISNUMBER(INDEX(rMed,4571))),INDEX(rMed,4571),NA()))</f>
        <v>#N/A</v>
      </c>
    </row>
    <row r="4574">
      <c r="BX4574" t="e">
        <f>IF(OR(cMed=0,cMed2=0,4572&gt;nFilas),NA(),IF(AND(ISNUMBER(INDEX(rMed2,4572)),ISNUMBER(INDEX(rMed,4572))),INDEX(rMed2,4572),NA()))</f>
        <v>#N/A</v>
      </c>
      <c r="BY4574" t="e">
        <f>IF(OR(cMed=0,cMed2=0,4572&gt;nFilas),NA(),IF(AND(ISNUMBER(INDEX(rMed2,4572)),ISNUMBER(INDEX(rMed,4572))),INDEX(rMed,4572),NA()))</f>
        <v>#N/A</v>
      </c>
    </row>
    <row r="4575">
      <c r="BX4575" t="e">
        <f>IF(OR(cMed=0,cMed2=0,4573&gt;nFilas),NA(),IF(AND(ISNUMBER(INDEX(rMed2,4573)),ISNUMBER(INDEX(rMed,4573))),INDEX(rMed2,4573),NA()))</f>
        <v>#N/A</v>
      </c>
      <c r="BY4575" t="e">
        <f>IF(OR(cMed=0,cMed2=0,4573&gt;nFilas),NA(),IF(AND(ISNUMBER(INDEX(rMed2,4573)),ISNUMBER(INDEX(rMed,4573))),INDEX(rMed,4573),NA()))</f>
        <v>#N/A</v>
      </c>
    </row>
    <row r="4576">
      <c r="BX4576" t="e">
        <f>IF(OR(cMed=0,cMed2=0,4574&gt;nFilas),NA(),IF(AND(ISNUMBER(INDEX(rMed2,4574)),ISNUMBER(INDEX(rMed,4574))),INDEX(rMed2,4574),NA()))</f>
        <v>#N/A</v>
      </c>
      <c r="BY4576" t="e">
        <f>IF(OR(cMed=0,cMed2=0,4574&gt;nFilas),NA(),IF(AND(ISNUMBER(INDEX(rMed2,4574)),ISNUMBER(INDEX(rMed,4574))),INDEX(rMed,4574),NA()))</f>
        <v>#N/A</v>
      </c>
    </row>
    <row r="4577">
      <c r="BX4577" t="e">
        <f>IF(OR(cMed=0,cMed2=0,4575&gt;nFilas),NA(),IF(AND(ISNUMBER(INDEX(rMed2,4575)),ISNUMBER(INDEX(rMed,4575))),INDEX(rMed2,4575),NA()))</f>
        <v>#N/A</v>
      </c>
      <c r="BY4577" t="e">
        <f>IF(OR(cMed=0,cMed2=0,4575&gt;nFilas),NA(),IF(AND(ISNUMBER(INDEX(rMed2,4575)),ISNUMBER(INDEX(rMed,4575))),INDEX(rMed,4575),NA()))</f>
        <v>#N/A</v>
      </c>
    </row>
    <row r="4578">
      <c r="BX4578" t="e">
        <f>IF(OR(cMed=0,cMed2=0,4576&gt;nFilas),NA(),IF(AND(ISNUMBER(INDEX(rMed2,4576)),ISNUMBER(INDEX(rMed,4576))),INDEX(rMed2,4576),NA()))</f>
        <v>#N/A</v>
      </c>
      <c r="BY4578" t="e">
        <f>IF(OR(cMed=0,cMed2=0,4576&gt;nFilas),NA(),IF(AND(ISNUMBER(INDEX(rMed2,4576)),ISNUMBER(INDEX(rMed,4576))),INDEX(rMed,4576),NA()))</f>
        <v>#N/A</v>
      </c>
    </row>
    <row r="4579">
      <c r="BX4579" t="e">
        <f>IF(OR(cMed=0,cMed2=0,4577&gt;nFilas),NA(),IF(AND(ISNUMBER(INDEX(rMed2,4577)),ISNUMBER(INDEX(rMed,4577))),INDEX(rMed2,4577),NA()))</f>
        <v>#N/A</v>
      </c>
      <c r="BY4579" t="e">
        <f>IF(OR(cMed=0,cMed2=0,4577&gt;nFilas),NA(),IF(AND(ISNUMBER(INDEX(rMed2,4577)),ISNUMBER(INDEX(rMed,4577))),INDEX(rMed,4577),NA()))</f>
        <v>#N/A</v>
      </c>
    </row>
    <row r="4580">
      <c r="BX4580" t="e">
        <f>IF(OR(cMed=0,cMed2=0,4578&gt;nFilas),NA(),IF(AND(ISNUMBER(INDEX(rMed2,4578)),ISNUMBER(INDEX(rMed,4578))),INDEX(rMed2,4578),NA()))</f>
        <v>#N/A</v>
      </c>
      <c r="BY4580" t="e">
        <f>IF(OR(cMed=0,cMed2=0,4578&gt;nFilas),NA(),IF(AND(ISNUMBER(INDEX(rMed2,4578)),ISNUMBER(INDEX(rMed,4578))),INDEX(rMed,4578),NA()))</f>
        <v>#N/A</v>
      </c>
    </row>
    <row r="4581">
      <c r="BX4581" t="e">
        <f>IF(OR(cMed=0,cMed2=0,4579&gt;nFilas),NA(),IF(AND(ISNUMBER(INDEX(rMed2,4579)),ISNUMBER(INDEX(rMed,4579))),INDEX(rMed2,4579),NA()))</f>
        <v>#N/A</v>
      </c>
      <c r="BY4581" t="e">
        <f>IF(OR(cMed=0,cMed2=0,4579&gt;nFilas),NA(),IF(AND(ISNUMBER(INDEX(rMed2,4579)),ISNUMBER(INDEX(rMed,4579))),INDEX(rMed,4579),NA()))</f>
        <v>#N/A</v>
      </c>
    </row>
    <row r="4582">
      <c r="BX4582" t="e">
        <f>IF(OR(cMed=0,cMed2=0,4580&gt;nFilas),NA(),IF(AND(ISNUMBER(INDEX(rMed2,4580)),ISNUMBER(INDEX(rMed,4580))),INDEX(rMed2,4580),NA()))</f>
        <v>#N/A</v>
      </c>
      <c r="BY4582" t="e">
        <f>IF(OR(cMed=0,cMed2=0,4580&gt;nFilas),NA(),IF(AND(ISNUMBER(INDEX(rMed2,4580)),ISNUMBER(INDEX(rMed,4580))),INDEX(rMed,4580),NA()))</f>
        <v>#N/A</v>
      </c>
    </row>
    <row r="4583">
      <c r="BX4583" t="e">
        <f>IF(OR(cMed=0,cMed2=0,4581&gt;nFilas),NA(),IF(AND(ISNUMBER(INDEX(rMed2,4581)),ISNUMBER(INDEX(rMed,4581))),INDEX(rMed2,4581),NA()))</f>
        <v>#N/A</v>
      </c>
      <c r="BY4583" t="e">
        <f>IF(OR(cMed=0,cMed2=0,4581&gt;nFilas),NA(),IF(AND(ISNUMBER(INDEX(rMed2,4581)),ISNUMBER(INDEX(rMed,4581))),INDEX(rMed,4581),NA()))</f>
        <v>#N/A</v>
      </c>
    </row>
    <row r="4584">
      <c r="BX4584" t="e">
        <f>IF(OR(cMed=0,cMed2=0,4582&gt;nFilas),NA(),IF(AND(ISNUMBER(INDEX(rMed2,4582)),ISNUMBER(INDEX(rMed,4582))),INDEX(rMed2,4582),NA()))</f>
        <v>#N/A</v>
      </c>
      <c r="BY4584" t="e">
        <f>IF(OR(cMed=0,cMed2=0,4582&gt;nFilas),NA(),IF(AND(ISNUMBER(INDEX(rMed2,4582)),ISNUMBER(INDEX(rMed,4582))),INDEX(rMed,4582),NA()))</f>
        <v>#N/A</v>
      </c>
    </row>
    <row r="4585">
      <c r="BX4585" t="e">
        <f>IF(OR(cMed=0,cMed2=0,4583&gt;nFilas),NA(),IF(AND(ISNUMBER(INDEX(rMed2,4583)),ISNUMBER(INDEX(rMed,4583))),INDEX(rMed2,4583),NA()))</f>
        <v>#N/A</v>
      </c>
      <c r="BY4585" t="e">
        <f>IF(OR(cMed=0,cMed2=0,4583&gt;nFilas),NA(),IF(AND(ISNUMBER(INDEX(rMed2,4583)),ISNUMBER(INDEX(rMed,4583))),INDEX(rMed,4583),NA()))</f>
        <v>#N/A</v>
      </c>
    </row>
    <row r="4586">
      <c r="BX4586" t="e">
        <f>IF(OR(cMed=0,cMed2=0,4584&gt;nFilas),NA(),IF(AND(ISNUMBER(INDEX(rMed2,4584)),ISNUMBER(INDEX(rMed,4584))),INDEX(rMed2,4584),NA()))</f>
        <v>#N/A</v>
      </c>
      <c r="BY4586" t="e">
        <f>IF(OR(cMed=0,cMed2=0,4584&gt;nFilas),NA(),IF(AND(ISNUMBER(INDEX(rMed2,4584)),ISNUMBER(INDEX(rMed,4584))),INDEX(rMed,4584),NA()))</f>
        <v>#N/A</v>
      </c>
    </row>
    <row r="4587">
      <c r="BX4587" t="e">
        <f>IF(OR(cMed=0,cMed2=0,4585&gt;nFilas),NA(),IF(AND(ISNUMBER(INDEX(rMed2,4585)),ISNUMBER(INDEX(rMed,4585))),INDEX(rMed2,4585),NA()))</f>
        <v>#N/A</v>
      </c>
      <c r="BY4587" t="e">
        <f>IF(OR(cMed=0,cMed2=0,4585&gt;nFilas),NA(),IF(AND(ISNUMBER(INDEX(rMed2,4585)),ISNUMBER(INDEX(rMed,4585))),INDEX(rMed,4585),NA()))</f>
        <v>#N/A</v>
      </c>
    </row>
    <row r="4588">
      <c r="BX4588" t="e">
        <f>IF(OR(cMed=0,cMed2=0,4586&gt;nFilas),NA(),IF(AND(ISNUMBER(INDEX(rMed2,4586)),ISNUMBER(INDEX(rMed,4586))),INDEX(rMed2,4586),NA()))</f>
        <v>#N/A</v>
      </c>
      <c r="BY4588" t="e">
        <f>IF(OR(cMed=0,cMed2=0,4586&gt;nFilas),NA(),IF(AND(ISNUMBER(INDEX(rMed2,4586)),ISNUMBER(INDEX(rMed,4586))),INDEX(rMed,4586),NA()))</f>
        <v>#N/A</v>
      </c>
    </row>
    <row r="4589">
      <c r="BX4589" t="e">
        <f>IF(OR(cMed=0,cMed2=0,4587&gt;nFilas),NA(),IF(AND(ISNUMBER(INDEX(rMed2,4587)),ISNUMBER(INDEX(rMed,4587))),INDEX(rMed2,4587),NA()))</f>
        <v>#N/A</v>
      </c>
      <c r="BY4589" t="e">
        <f>IF(OR(cMed=0,cMed2=0,4587&gt;nFilas),NA(),IF(AND(ISNUMBER(INDEX(rMed2,4587)),ISNUMBER(INDEX(rMed,4587))),INDEX(rMed,4587),NA()))</f>
        <v>#N/A</v>
      </c>
    </row>
    <row r="4590">
      <c r="BX4590" t="e">
        <f>IF(OR(cMed=0,cMed2=0,4588&gt;nFilas),NA(),IF(AND(ISNUMBER(INDEX(rMed2,4588)),ISNUMBER(INDEX(rMed,4588))),INDEX(rMed2,4588),NA()))</f>
        <v>#N/A</v>
      </c>
      <c r="BY4590" t="e">
        <f>IF(OR(cMed=0,cMed2=0,4588&gt;nFilas),NA(),IF(AND(ISNUMBER(INDEX(rMed2,4588)),ISNUMBER(INDEX(rMed,4588))),INDEX(rMed,4588),NA()))</f>
        <v>#N/A</v>
      </c>
    </row>
    <row r="4591">
      <c r="BX4591" t="e">
        <f>IF(OR(cMed=0,cMed2=0,4589&gt;nFilas),NA(),IF(AND(ISNUMBER(INDEX(rMed2,4589)),ISNUMBER(INDEX(rMed,4589))),INDEX(rMed2,4589),NA()))</f>
        <v>#N/A</v>
      </c>
      <c r="BY4591" t="e">
        <f>IF(OR(cMed=0,cMed2=0,4589&gt;nFilas),NA(),IF(AND(ISNUMBER(INDEX(rMed2,4589)),ISNUMBER(INDEX(rMed,4589))),INDEX(rMed,4589),NA()))</f>
        <v>#N/A</v>
      </c>
    </row>
    <row r="4592">
      <c r="BX4592" t="e">
        <f>IF(OR(cMed=0,cMed2=0,4590&gt;nFilas),NA(),IF(AND(ISNUMBER(INDEX(rMed2,4590)),ISNUMBER(INDEX(rMed,4590))),INDEX(rMed2,4590),NA()))</f>
        <v>#N/A</v>
      </c>
      <c r="BY4592" t="e">
        <f>IF(OR(cMed=0,cMed2=0,4590&gt;nFilas),NA(),IF(AND(ISNUMBER(INDEX(rMed2,4590)),ISNUMBER(INDEX(rMed,4590))),INDEX(rMed,4590),NA()))</f>
        <v>#N/A</v>
      </c>
    </row>
    <row r="4593">
      <c r="BX4593" t="e">
        <f>IF(OR(cMed=0,cMed2=0,4591&gt;nFilas),NA(),IF(AND(ISNUMBER(INDEX(rMed2,4591)),ISNUMBER(INDEX(rMed,4591))),INDEX(rMed2,4591),NA()))</f>
        <v>#N/A</v>
      </c>
      <c r="BY4593" t="e">
        <f>IF(OR(cMed=0,cMed2=0,4591&gt;nFilas),NA(),IF(AND(ISNUMBER(INDEX(rMed2,4591)),ISNUMBER(INDEX(rMed,4591))),INDEX(rMed,4591),NA()))</f>
        <v>#N/A</v>
      </c>
    </row>
    <row r="4594">
      <c r="BX4594" t="e">
        <f>IF(OR(cMed=0,cMed2=0,4592&gt;nFilas),NA(),IF(AND(ISNUMBER(INDEX(rMed2,4592)),ISNUMBER(INDEX(rMed,4592))),INDEX(rMed2,4592),NA()))</f>
        <v>#N/A</v>
      </c>
      <c r="BY4594" t="e">
        <f>IF(OR(cMed=0,cMed2=0,4592&gt;nFilas),NA(),IF(AND(ISNUMBER(INDEX(rMed2,4592)),ISNUMBER(INDEX(rMed,4592))),INDEX(rMed,4592),NA()))</f>
        <v>#N/A</v>
      </c>
    </row>
    <row r="4595">
      <c r="BX4595" t="e">
        <f>IF(OR(cMed=0,cMed2=0,4593&gt;nFilas),NA(),IF(AND(ISNUMBER(INDEX(rMed2,4593)),ISNUMBER(INDEX(rMed,4593))),INDEX(rMed2,4593),NA()))</f>
        <v>#N/A</v>
      </c>
      <c r="BY4595" t="e">
        <f>IF(OR(cMed=0,cMed2=0,4593&gt;nFilas),NA(),IF(AND(ISNUMBER(INDEX(rMed2,4593)),ISNUMBER(INDEX(rMed,4593))),INDEX(rMed,4593),NA()))</f>
        <v>#N/A</v>
      </c>
    </row>
    <row r="4596">
      <c r="BX4596" t="e">
        <f>IF(OR(cMed=0,cMed2=0,4594&gt;nFilas),NA(),IF(AND(ISNUMBER(INDEX(rMed2,4594)),ISNUMBER(INDEX(rMed,4594))),INDEX(rMed2,4594),NA()))</f>
        <v>#N/A</v>
      </c>
      <c r="BY4596" t="e">
        <f>IF(OR(cMed=0,cMed2=0,4594&gt;nFilas),NA(),IF(AND(ISNUMBER(INDEX(rMed2,4594)),ISNUMBER(INDEX(rMed,4594))),INDEX(rMed,4594),NA()))</f>
        <v>#N/A</v>
      </c>
    </row>
    <row r="4597">
      <c r="BX4597" t="e">
        <f>IF(OR(cMed=0,cMed2=0,4595&gt;nFilas),NA(),IF(AND(ISNUMBER(INDEX(rMed2,4595)),ISNUMBER(INDEX(rMed,4595))),INDEX(rMed2,4595),NA()))</f>
        <v>#N/A</v>
      </c>
      <c r="BY4597" t="e">
        <f>IF(OR(cMed=0,cMed2=0,4595&gt;nFilas),NA(),IF(AND(ISNUMBER(INDEX(rMed2,4595)),ISNUMBER(INDEX(rMed,4595))),INDEX(rMed,4595),NA()))</f>
        <v>#N/A</v>
      </c>
    </row>
    <row r="4598">
      <c r="BX4598" t="e">
        <f>IF(OR(cMed=0,cMed2=0,4596&gt;nFilas),NA(),IF(AND(ISNUMBER(INDEX(rMed2,4596)),ISNUMBER(INDEX(rMed,4596))),INDEX(rMed2,4596),NA()))</f>
        <v>#N/A</v>
      </c>
      <c r="BY4598" t="e">
        <f>IF(OR(cMed=0,cMed2=0,4596&gt;nFilas),NA(),IF(AND(ISNUMBER(INDEX(rMed2,4596)),ISNUMBER(INDEX(rMed,4596))),INDEX(rMed,4596),NA()))</f>
        <v>#N/A</v>
      </c>
    </row>
    <row r="4599">
      <c r="BX4599" t="e">
        <f>IF(OR(cMed=0,cMed2=0,4597&gt;nFilas),NA(),IF(AND(ISNUMBER(INDEX(rMed2,4597)),ISNUMBER(INDEX(rMed,4597))),INDEX(rMed2,4597),NA()))</f>
        <v>#N/A</v>
      </c>
      <c r="BY4599" t="e">
        <f>IF(OR(cMed=0,cMed2=0,4597&gt;nFilas),NA(),IF(AND(ISNUMBER(INDEX(rMed2,4597)),ISNUMBER(INDEX(rMed,4597))),INDEX(rMed,4597),NA()))</f>
        <v>#N/A</v>
      </c>
    </row>
    <row r="4600">
      <c r="BX4600" t="e">
        <f>IF(OR(cMed=0,cMed2=0,4598&gt;nFilas),NA(),IF(AND(ISNUMBER(INDEX(rMed2,4598)),ISNUMBER(INDEX(rMed,4598))),INDEX(rMed2,4598),NA()))</f>
        <v>#N/A</v>
      </c>
      <c r="BY4600" t="e">
        <f>IF(OR(cMed=0,cMed2=0,4598&gt;nFilas),NA(),IF(AND(ISNUMBER(INDEX(rMed2,4598)),ISNUMBER(INDEX(rMed,4598))),INDEX(rMed,4598),NA()))</f>
        <v>#N/A</v>
      </c>
    </row>
    <row r="4601">
      <c r="BX4601" t="e">
        <f>IF(OR(cMed=0,cMed2=0,4599&gt;nFilas),NA(),IF(AND(ISNUMBER(INDEX(rMed2,4599)),ISNUMBER(INDEX(rMed,4599))),INDEX(rMed2,4599),NA()))</f>
        <v>#N/A</v>
      </c>
      <c r="BY4601" t="e">
        <f>IF(OR(cMed=0,cMed2=0,4599&gt;nFilas),NA(),IF(AND(ISNUMBER(INDEX(rMed2,4599)),ISNUMBER(INDEX(rMed,4599))),INDEX(rMed,4599),NA()))</f>
        <v>#N/A</v>
      </c>
    </row>
    <row r="4602">
      <c r="BX4602" t="e">
        <f>IF(OR(cMed=0,cMed2=0,4600&gt;nFilas),NA(),IF(AND(ISNUMBER(INDEX(rMed2,4600)),ISNUMBER(INDEX(rMed,4600))),INDEX(rMed2,4600),NA()))</f>
        <v>#N/A</v>
      </c>
      <c r="BY4602" t="e">
        <f>IF(OR(cMed=0,cMed2=0,4600&gt;nFilas),NA(),IF(AND(ISNUMBER(INDEX(rMed2,4600)),ISNUMBER(INDEX(rMed,4600))),INDEX(rMed,4600),NA()))</f>
        <v>#N/A</v>
      </c>
    </row>
    <row r="4603">
      <c r="BX4603" t="e">
        <f>IF(OR(cMed=0,cMed2=0,4601&gt;nFilas),NA(),IF(AND(ISNUMBER(INDEX(rMed2,4601)),ISNUMBER(INDEX(rMed,4601))),INDEX(rMed2,4601),NA()))</f>
        <v>#N/A</v>
      </c>
      <c r="BY4603" t="e">
        <f>IF(OR(cMed=0,cMed2=0,4601&gt;nFilas),NA(),IF(AND(ISNUMBER(INDEX(rMed2,4601)),ISNUMBER(INDEX(rMed,4601))),INDEX(rMed,4601),NA()))</f>
        <v>#N/A</v>
      </c>
    </row>
    <row r="4604">
      <c r="BX4604" t="e">
        <f>IF(OR(cMed=0,cMed2=0,4602&gt;nFilas),NA(),IF(AND(ISNUMBER(INDEX(rMed2,4602)),ISNUMBER(INDEX(rMed,4602))),INDEX(rMed2,4602),NA()))</f>
        <v>#N/A</v>
      </c>
      <c r="BY4604" t="e">
        <f>IF(OR(cMed=0,cMed2=0,4602&gt;nFilas),NA(),IF(AND(ISNUMBER(INDEX(rMed2,4602)),ISNUMBER(INDEX(rMed,4602))),INDEX(rMed,4602),NA()))</f>
        <v>#N/A</v>
      </c>
    </row>
    <row r="4605">
      <c r="BX4605" t="e">
        <f>IF(OR(cMed=0,cMed2=0,4603&gt;nFilas),NA(),IF(AND(ISNUMBER(INDEX(rMed2,4603)),ISNUMBER(INDEX(rMed,4603))),INDEX(rMed2,4603),NA()))</f>
        <v>#N/A</v>
      </c>
      <c r="BY4605" t="e">
        <f>IF(OR(cMed=0,cMed2=0,4603&gt;nFilas),NA(),IF(AND(ISNUMBER(INDEX(rMed2,4603)),ISNUMBER(INDEX(rMed,4603))),INDEX(rMed,4603),NA()))</f>
        <v>#N/A</v>
      </c>
    </row>
    <row r="4606">
      <c r="BX4606" t="e">
        <f>IF(OR(cMed=0,cMed2=0,4604&gt;nFilas),NA(),IF(AND(ISNUMBER(INDEX(rMed2,4604)),ISNUMBER(INDEX(rMed,4604))),INDEX(rMed2,4604),NA()))</f>
        <v>#N/A</v>
      </c>
      <c r="BY4606" t="e">
        <f>IF(OR(cMed=0,cMed2=0,4604&gt;nFilas),NA(),IF(AND(ISNUMBER(INDEX(rMed2,4604)),ISNUMBER(INDEX(rMed,4604))),INDEX(rMed,4604),NA()))</f>
        <v>#N/A</v>
      </c>
    </row>
    <row r="4607">
      <c r="BX4607" t="e">
        <f>IF(OR(cMed=0,cMed2=0,4605&gt;nFilas),NA(),IF(AND(ISNUMBER(INDEX(rMed2,4605)),ISNUMBER(INDEX(rMed,4605))),INDEX(rMed2,4605),NA()))</f>
        <v>#N/A</v>
      </c>
      <c r="BY4607" t="e">
        <f>IF(OR(cMed=0,cMed2=0,4605&gt;nFilas),NA(),IF(AND(ISNUMBER(INDEX(rMed2,4605)),ISNUMBER(INDEX(rMed,4605))),INDEX(rMed,4605),NA()))</f>
        <v>#N/A</v>
      </c>
    </row>
    <row r="4608">
      <c r="BX4608" t="e">
        <f>IF(OR(cMed=0,cMed2=0,4606&gt;nFilas),NA(),IF(AND(ISNUMBER(INDEX(rMed2,4606)),ISNUMBER(INDEX(rMed,4606))),INDEX(rMed2,4606),NA()))</f>
        <v>#N/A</v>
      </c>
      <c r="BY4608" t="e">
        <f>IF(OR(cMed=0,cMed2=0,4606&gt;nFilas),NA(),IF(AND(ISNUMBER(INDEX(rMed2,4606)),ISNUMBER(INDEX(rMed,4606))),INDEX(rMed,4606),NA()))</f>
        <v>#N/A</v>
      </c>
    </row>
    <row r="4609">
      <c r="BX4609" t="e">
        <f>IF(OR(cMed=0,cMed2=0,4607&gt;nFilas),NA(),IF(AND(ISNUMBER(INDEX(rMed2,4607)),ISNUMBER(INDEX(rMed,4607))),INDEX(rMed2,4607),NA()))</f>
        <v>#N/A</v>
      </c>
      <c r="BY4609" t="e">
        <f>IF(OR(cMed=0,cMed2=0,4607&gt;nFilas),NA(),IF(AND(ISNUMBER(INDEX(rMed2,4607)),ISNUMBER(INDEX(rMed,4607))),INDEX(rMed,4607),NA()))</f>
        <v>#N/A</v>
      </c>
    </row>
    <row r="4610">
      <c r="BX4610" t="e">
        <f>IF(OR(cMed=0,cMed2=0,4608&gt;nFilas),NA(),IF(AND(ISNUMBER(INDEX(rMed2,4608)),ISNUMBER(INDEX(rMed,4608))),INDEX(rMed2,4608),NA()))</f>
        <v>#N/A</v>
      </c>
      <c r="BY4610" t="e">
        <f>IF(OR(cMed=0,cMed2=0,4608&gt;nFilas),NA(),IF(AND(ISNUMBER(INDEX(rMed2,4608)),ISNUMBER(INDEX(rMed,4608))),INDEX(rMed,4608),NA()))</f>
        <v>#N/A</v>
      </c>
    </row>
    <row r="4611">
      <c r="BX4611" t="e">
        <f>IF(OR(cMed=0,cMed2=0,4609&gt;nFilas),NA(),IF(AND(ISNUMBER(INDEX(rMed2,4609)),ISNUMBER(INDEX(rMed,4609))),INDEX(rMed2,4609),NA()))</f>
        <v>#N/A</v>
      </c>
      <c r="BY4611" t="e">
        <f>IF(OR(cMed=0,cMed2=0,4609&gt;nFilas),NA(),IF(AND(ISNUMBER(INDEX(rMed2,4609)),ISNUMBER(INDEX(rMed,4609))),INDEX(rMed,4609),NA()))</f>
        <v>#N/A</v>
      </c>
    </row>
    <row r="4612">
      <c r="BX4612" t="e">
        <f>IF(OR(cMed=0,cMed2=0,4610&gt;nFilas),NA(),IF(AND(ISNUMBER(INDEX(rMed2,4610)),ISNUMBER(INDEX(rMed,4610))),INDEX(rMed2,4610),NA()))</f>
        <v>#N/A</v>
      </c>
      <c r="BY4612" t="e">
        <f>IF(OR(cMed=0,cMed2=0,4610&gt;nFilas),NA(),IF(AND(ISNUMBER(INDEX(rMed2,4610)),ISNUMBER(INDEX(rMed,4610))),INDEX(rMed,4610),NA()))</f>
        <v>#N/A</v>
      </c>
    </row>
    <row r="4613">
      <c r="BX4613" t="e">
        <f>IF(OR(cMed=0,cMed2=0,4611&gt;nFilas),NA(),IF(AND(ISNUMBER(INDEX(rMed2,4611)),ISNUMBER(INDEX(rMed,4611))),INDEX(rMed2,4611),NA()))</f>
        <v>#N/A</v>
      </c>
      <c r="BY4613" t="e">
        <f>IF(OR(cMed=0,cMed2=0,4611&gt;nFilas),NA(),IF(AND(ISNUMBER(INDEX(rMed2,4611)),ISNUMBER(INDEX(rMed,4611))),INDEX(rMed,4611),NA()))</f>
        <v>#N/A</v>
      </c>
    </row>
    <row r="4614">
      <c r="BX4614" t="e">
        <f>IF(OR(cMed=0,cMed2=0,4612&gt;nFilas),NA(),IF(AND(ISNUMBER(INDEX(rMed2,4612)),ISNUMBER(INDEX(rMed,4612))),INDEX(rMed2,4612),NA()))</f>
        <v>#N/A</v>
      </c>
      <c r="BY4614" t="e">
        <f>IF(OR(cMed=0,cMed2=0,4612&gt;nFilas),NA(),IF(AND(ISNUMBER(INDEX(rMed2,4612)),ISNUMBER(INDEX(rMed,4612))),INDEX(rMed,4612),NA()))</f>
        <v>#N/A</v>
      </c>
    </row>
    <row r="4615">
      <c r="BX4615" t="e">
        <f>IF(OR(cMed=0,cMed2=0,4613&gt;nFilas),NA(),IF(AND(ISNUMBER(INDEX(rMed2,4613)),ISNUMBER(INDEX(rMed,4613))),INDEX(rMed2,4613),NA()))</f>
        <v>#N/A</v>
      </c>
      <c r="BY4615" t="e">
        <f>IF(OR(cMed=0,cMed2=0,4613&gt;nFilas),NA(),IF(AND(ISNUMBER(INDEX(rMed2,4613)),ISNUMBER(INDEX(rMed,4613))),INDEX(rMed,4613),NA()))</f>
        <v>#N/A</v>
      </c>
    </row>
    <row r="4616">
      <c r="BX4616" t="e">
        <f>IF(OR(cMed=0,cMed2=0,4614&gt;nFilas),NA(),IF(AND(ISNUMBER(INDEX(rMed2,4614)),ISNUMBER(INDEX(rMed,4614))),INDEX(rMed2,4614),NA()))</f>
        <v>#N/A</v>
      </c>
      <c r="BY4616" t="e">
        <f>IF(OR(cMed=0,cMed2=0,4614&gt;nFilas),NA(),IF(AND(ISNUMBER(INDEX(rMed2,4614)),ISNUMBER(INDEX(rMed,4614))),INDEX(rMed,4614),NA()))</f>
        <v>#N/A</v>
      </c>
    </row>
    <row r="4617">
      <c r="BX4617" t="e">
        <f>IF(OR(cMed=0,cMed2=0,4615&gt;nFilas),NA(),IF(AND(ISNUMBER(INDEX(rMed2,4615)),ISNUMBER(INDEX(rMed,4615))),INDEX(rMed2,4615),NA()))</f>
        <v>#N/A</v>
      </c>
      <c r="BY4617" t="e">
        <f>IF(OR(cMed=0,cMed2=0,4615&gt;nFilas),NA(),IF(AND(ISNUMBER(INDEX(rMed2,4615)),ISNUMBER(INDEX(rMed,4615))),INDEX(rMed,4615),NA()))</f>
        <v>#N/A</v>
      </c>
    </row>
    <row r="4618">
      <c r="BX4618" t="e">
        <f>IF(OR(cMed=0,cMed2=0,4616&gt;nFilas),NA(),IF(AND(ISNUMBER(INDEX(rMed2,4616)),ISNUMBER(INDEX(rMed,4616))),INDEX(rMed2,4616),NA()))</f>
        <v>#N/A</v>
      </c>
      <c r="BY4618" t="e">
        <f>IF(OR(cMed=0,cMed2=0,4616&gt;nFilas),NA(),IF(AND(ISNUMBER(INDEX(rMed2,4616)),ISNUMBER(INDEX(rMed,4616))),INDEX(rMed,4616),NA()))</f>
        <v>#N/A</v>
      </c>
    </row>
    <row r="4619">
      <c r="BX4619" t="e">
        <f>IF(OR(cMed=0,cMed2=0,4617&gt;nFilas),NA(),IF(AND(ISNUMBER(INDEX(rMed2,4617)),ISNUMBER(INDEX(rMed,4617))),INDEX(rMed2,4617),NA()))</f>
        <v>#N/A</v>
      </c>
      <c r="BY4619" t="e">
        <f>IF(OR(cMed=0,cMed2=0,4617&gt;nFilas),NA(),IF(AND(ISNUMBER(INDEX(rMed2,4617)),ISNUMBER(INDEX(rMed,4617))),INDEX(rMed,4617),NA()))</f>
        <v>#N/A</v>
      </c>
    </row>
    <row r="4620">
      <c r="BX4620" t="e">
        <f>IF(OR(cMed=0,cMed2=0,4618&gt;nFilas),NA(),IF(AND(ISNUMBER(INDEX(rMed2,4618)),ISNUMBER(INDEX(rMed,4618))),INDEX(rMed2,4618),NA()))</f>
        <v>#N/A</v>
      </c>
      <c r="BY4620" t="e">
        <f>IF(OR(cMed=0,cMed2=0,4618&gt;nFilas),NA(),IF(AND(ISNUMBER(INDEX(rMed2,4618)),ISNUMBER(INDEX(rMed,4618))),INDEX(rMed,4618),NA()))</f>
        <v>#N/A</v>
      </c>
    </row>
    <row r="4621">
      <c r="BX4621" t="e">
        <f>IF(OR(cMed=0,cMed2=0,4619&gt;nFilas),NA(),IF(AND(ISNUMBER(INDEX(rMed2,4619)),ISNUMBER(INDEX(rMed,4619))),INDEX(rMed2,4619),NA()))</f>
        <v>#N/A</v>
      </c>
      <c r="BY4621" t="e">
        <f>IF(OR(cMed=0,cMed2=0,4619&gt;nFilas),NA(),IF(AND(ISNUMBER(INDEX(rMed2,4619)),ISNUMBER(INDEX(rMed,4619))),INDEX(rMed,4619),NA()))</f>
        <v>#N/A</v>
      </c>
    </row>
    <row r="4622">
      <c r="BX4622" t="e">
        <f>IF(OR(cMed=0,cMed2=0,4620&gt;nFilas),NA(),IF(AND(ISNUMBER(INDEX(rMed2,4620)),ISNUMBER(INDEX(rMed,4620))),INDEX(rMed2,4620),NA()))</f>
        <v>#N/A</v>
      </c>
      <c r="BY4622" t="e">
        <f>IF(OR(cMed=0,cMed2=0,4620&gt;nFilas),NA(),IF(AND(ISNUMBER(INDEX(rMed2,4620)),ISNUMBER(INDEX(rMed,4620))),INDEX(rMed,4620),NA()))</f>
        <v>#N/A</v>
      </c>
    </row>
    <row r="4623">
      <c r="BX4623" t="e">
        <f>IF(OR(cMed=0,cMed2=0,4621&gt;nFilas),NA(),IF(AND(ISNUMBER(INDEX(rMed2,4621)),ISNUMBER(INDEX(rMed,4621))),INDEX(rMed2,4621),NA()))</f>
        <v>#N/A</v>
      </c>
      <c r="BY4623" t="e">
        <f>IF(OR(cMed=0,cMed2=0,4621&gt;nFilas),NA(),IF(AND(ISNUMBER(INDEX(rMed2,4621)),ISNUMBER(INDEX(rMed,4621))),INDEX(rMed,4621),NA()))</f>
        <v>#N/A</v>
      </c>
    </row>
    <row r="4624">
      <c r="BX4624" t="e">
        <f>IF(OR(cMed=0,cMed2=0,4622&gt;nFilas),NA(),IF(AND(ISNUMBER(INDEX(rMed2,4622)),ISNUMBER(INDEX(rMed,4622))),INDEX(rMed2,4622),NA()))</f>
        <v>#N/A</v>
      </c>
      <c r="BY4624" t="e">
        <f>IF(OR(cMed=0,cMed2=0,4622&gt;nFilas),NA(),IF(AND(ISNUMBER(INDEX(rMed2,4622)),ISNUMBER(INDEX(rMed,4622))),INDEX(rMed,4622),NA()))</f>
        <v>#N/A</v>
      </c>
    </row>
    <row r="4625">
      <c r="BX4625" t="e">
        <f>IF(OR(cMed=0,cMed2=0,4623&gt;nFilas),NA(),IF(AND(ISNUMBER(INDEX(rMed2,4623)),ISNUMBER(INDEX(rMed,4623))),INDEX(rMed2,4623),NA()))</f>
        <v>#N/A</v>
      </c>
      <c r="BY4625" t="e">
        <f>IF(OR(cMed=0,cMed2=0,4623&gt;nFilas),NA(),IF(AND(ISNUMBER(INDEX(rMed2,4623)),ISNUMBER(INDEX(rMed,4623))),INDEX(rMed,4623),NA()))</f>
        <v>#N/A</v>
      </c>
    </row>
    <row r="4626">
      <c r="BX4626" t="e">
        <f>IF(OR(cMed=0,cMed2=0,4624&gt;nFilas),NA(),IF(AND(ISNUMBER(INDEX(rMed2,4624)),ISNUMBER(INDEX(rMed,4624))),INDEX(rMed2,4624),NA()))</f>
        <v>#N/A</v>
      </c>
      <c r="BY4626" t="e">
        <f>IF(OR(cMed=0,cMed2=0,4624&gt;nFilas),NA(),IF(AND(ISNUMBER(INDEX(rMed2,4624)),ISNUMBER(INDEX(rMed,4624))),INDEX(rMed,4624),NA()))</f>
        <v>#N/A</v>
      </c>
    </row>
    <row r="4627">
      <c r="BX4627" t="e">
        <f>IF(OR(cMed=0,cMed2=0,4625&gt;nFilas),NA(),IF(AND(ISNUMBER(INDEX(rMed2,4625)),ISNUMBER(INDEX(rMed,4625))),INDEX(rMed2,4625),NA()))</f>
        <v>#N/A</v>
      </c>
      <c r="BY4627" t="e">
        <f>IF(OR(cMed=0,cMed2=0,4625&gt;nFilas),NA(),IF(AND(ISNUMBER(INDEX(rMed2,4625)),ISNUMBER(INDEX(rMed,4625))),INDEX(rMed,4625),NA()))</f>
        <v>#N/A</v>
      </c>
    </row>
    <row r="4628">
      <c r="BX4628" t="e">
        <f>IF(OR(cMed=0,cMed2=0,4626&gt;nFilas),NA(),IF(AND(ISNUMBER(INDEX(rMed2,4626)),ISNUMBER(INDEX(rMed,4626))),INDEX(rMed2,4626),NA()))</f>
        <v>#N/A</v>
      </c>
      <c r="BY4628" t="e">
        <f>IF(OR(cMed=0,cMed2=0,4626&gt;nFilas),NA(),IF(AND(ISNUMBER(INDEX(rMed2,4626)),ISNUMBER(INDEX(rMed,4626))),INDEX(rMed,4626),NA()))</f>
        <v>#N/A</v>
      </c>
    </row>
    <row r="4629">
      <c r="BX4629" t="e">
        <f>IF(OR(cMed=0,cMed2=0,4627&gt;nFilas),NA(),IF(AND(ISNUMBER(INDEX(rMed2,4627)),ISNUMBER(INDEX(rMed,4627))),INDEX(rMed2,4627),NA()))</f>
        <v>#N/A</v>
      </c>
      <c r="BY4629" t="e">
        <f>IF(OR(cMed=0,cMed2=0,4627&gt;nFilas),NA(),IF(AND(ISNUMBER(INDEX(rMed2,4627)),ISNUMBER(INDEX(rMed,4627))),INDEX(rMed,4627),NA()))</f>
        <v>#N/A</v>
      </c>
    </row>
    <row r="4630">
      <c r="BX4630" t="e">
        <f>IF(OR(cMed=0,cMed2=0,4628&gt;nFilas),NA(),IF(AND(ISNUMBER(INDEX(rMed2,4628)),ISNUMBER(INDEX(rMed,4628))),INDEX(rMed2,4628),NA()))</f>
        <v>#N/A</v>
      </c>
      <c r="BY4630" t="e">
        <f>IF(OR(cMed=0,cMed2=0,4628&gt;nFilas),NA(),IF(AND(ISNUMBER(INDEX(rMed2,4628)),ISNUMBER(INDEX(rMed,4628))),INDEX(rMed,4628),NA()))</f>
        <v>#N/A</v>
      </c>
    </row>
    <row r="4631">
      <c r="BX4631" t="e">
        <f>IF(OR(cMed=0,cMed2=0,4629&gt;nFilas),NA(),IF(AND(ISNUMBER(INDEX(rMed2,4629)),ISNUMBER(INDEX(rMed,4629))),INDEX(rMed2,4629),NA()))</f>
        <v>#N/A</v>
      </c>
      <c r="BY4631" t="e">
        <f>IF(OR(cMed=0,cMed2=0,4629&gt;nFilas),NA(),IF(AND(ISNUMBER(INDEX(rMed2,4629)),ISNUMBER(INDEX(rMed,4629))),INDEX(rMed,4629),NA()))</f>
        <v>#N/A</v>
      </c>
    </row>
    <row r="4632">
      <c r="BX4632" t="e">
        <f>IF(OR(cMed=0,cMed2=0,4630&gt;nFilas),NA(),IF(AND(ISNUMBER(INDEX(rMed2,4630)),ISNUMBER(INDEX(rMed,4630))),INDEX(rMed2,4630),NA()))</f>
        <v>#N/A</v>
      </c>
      <c r="BY4632" t="e">
        <f>IF(OR(cMed=0,cMed2=0,4630&gt;nFilas),NA(),IF(AND(ISNUMBER(INDEX(rMed2,4630)),ISNUMBER(INDEX(rMed,4630))),INDEX(rMed,4630),NA()))</f>
        <v>#N/A</v>
      </c>
    </row>
    <row r="4633">
      <c r="BX4633" t="e">
        <f>IF(OR(cMed=0,cMed2=0,4631&gt;nFilas),NA(),IF(AND(ISNUMBER(INDEX(rMed2,4631)),ISNUMBER(INDEX(rMed,4631))),INDEX(rMed2,4631),NA()))</f>
        <v>#N/A</v>
      </c>
      <c r="BY4633" t="e">
        <f>IF(OR(cMed=0,cMed2=0,4631&gt;nFilas),NA(),IF(AND(ISNUMBER(INDEX(rMed2,4631)),ISNUMBER(INDEX(rMed,4631))),INDEX(rMed,4631),NA()))</f>
        <v>#N/A</v>
      </c>
    </row>
    <row r="4634">
      <c r="BX4634" t="e">
        <f>IF(OR(cMed=0,cMed2=0,4632&gt;nFilas),NA(),IF(AND(ISNUMBER(INDEX(rMed2,4632)),ISNUMBER(INDEX(rMed,4632))),INDEX(rMed2,4632),NA()))</f>
        <v>#N/A</v>
      </c>
      <c r="BY4634" t="e">
        <f>IF(OR(cMed=0,cMed2=0,4632&gt;nFilas),NA(),IF(AND(ISNUMBER(INDEX(rMed2,4632)),ISNUMBER(INDEX(rMed,4632))),INDEX(rMed,4632),NA()))</f>
        <v>#N/A</v>
      </c>
    </row>
    <row r="4635">
      <c r="BX4635" t="e">
        <f>IF(OR(cMed=0,cMed2=0,4633&gt;nFilas),NA(),IF(AND(ISNUMBER(INDEX(rMed2,4633)),ISNUMBER(INDEX(rMed,4633))),INDEX(rMed2,4633),NA()))</f>
        <v>#N/A</v>
      </c>
      <c r="BY4635" t="e">
        <f>IF(OR(cMed=0,cMed2=0,4633&gt;nFilas),NA(),IF(AND(ISNUMBER(INDEX(rMed2,4633)),ISNUMBER(INDEX(rMed,4633))),INDEX(rMed,4633),NA()))</f>
        <v>#N/A</v>
      </c>
    </row>
    <row r="4636">
      <c r="BX4636" t="e">
        <f>IF(OR(cMed=0,cMed2=0,4634&gt;nFilas),NA(),IF(AND(ISNUMBER(INDEX(rMed2,4634)),ISNUMBER(INDEX(rMed,4634))),INDEX(rMed2,4634),NA()))</f>
        <v>#N/A</v>
      </c>
      <c r="BY4636" t="e">
        <f>IF(OR(cMed=0,cMed2=0,4634&gt;nFilas),NA(),IF(AND(ISNUMBER(INDEX(rMed2,4634)),ISNUMBER(INDEX(rMed,4634))),INDEX(rMed,4634),NA()))</f>
        <v>#N/A</v>
      </c>
    </row>
    <row r="4637">
      <c r="BX4637" t="e">
        <f>IF(OR(cMed=0,cMed2=0,4635&gt;nFilas),NA(),IF(AND(ISNUMBER(INDEX(rMed2,4635)),ISNUMBER(INDEX(rMed,4635))),INDEX(rMed2,4635),NA()))</f>
        <v>#N/A</v>
      </c>
      <c r="BY4637" t="e">
        <f>IF(OR(cMed=0,cMed2=0,4635&gt;nFilas),NA(),IF(AND(ISNUMBER(INDEX(rMed2,4635)),ISNUMBER(INDEX(rMed,4635))),INDEX(rMed,4635),NA()))</f>
        <v>#N/A</v>
      </c>
    </row>
    <row r="4638">
      <c r="BX4638" t="e">
        <f>IF(OR(cMed=0,cMed2=0,4636&gt;nFilas),NA(),IF(AND(ISNUMBER(INDEX(rMed2,4636)),ISNUMBER(INDEX(rMed,4636))),INDEX(rMed2,4636),NA()))</f>
        <v>#N/A</v>
      </c>
      <c r="BY4638" t="e">
        <f>IF(OR(cMed=0,cMed2=0,4636&gt;nFilas),NA(),IF(AND(ISNUMBER(INDEX(rMed2,4636)),ISNUMBER(INDEX(rMed,4636))),INDEX(rMed,4636),NA()))</f>
        <v>#N/A</v>
      </c>
    </row>
    <row r="4639">
      <c r="BX4639" t="e">
        <f>IF(OR(cMed=0,cMed2=0,4637&gt;nFilas),NA(),IF(AND(ISNUMBER(INDEX(rMed2,4637)),ISNUMBER(INDEX(rMed,4637))),INDEX(rMed2,4637),NA()))</f>
        <v>#N/A</v>
      </c>
      <c r="BY4639" t="e">
        <f>IF(OR(cMed=0,cMed2=0,4637&gt;nFilas),NA(),IF(AND(ISNUMBER(INDEX(rMed2,4637)),ISNUMBER(INDEX(rMed,4637))),INDEX(rMed,4637),NA()))</f>
        <v>#N/A</v>
      </c>
    </row>
    <row r="4640">
      <c r="BX4640" t="e">
        <f>IF(OR(cMed=0,cMed2=0,4638&gt;nFilas),NA(),IF(AND(ISNUMBER(INDEX(rMed2,4638)),ISNUMBER(INDEX(rMed,4638))),INDEX(rMed2,4638),NA()))</f>
        <v>#N/A</v>
      </c>
      <c r="BY4640" t="e">
        <f>IF(OR(cMed=0,cMed2=0,4638&gt;nFilas),NA(),IF(AND(ISNUMBER(INDEX(rMed2,4638)),ISNUMBER(INDEX(rMed,4638))),INDEX(rMed,4638),NA()))</f>
        <v>#N/A</v>
      </c>
    </row>
    <row r="4641">
      <c r="BX4641" t="e">
        <f>IF(OR(cMed=0,cMed2=0,4639&gt;nFilas),NA(),IF(AND(ISNUMBER(INDEX(rMed2,4639)),ISNUMBER(INDEX(rMed,4639))),INDEX(rMed2,4639),NA()))</f>
        <v>#N/A</v>
      </c>
      <c r="BY4641" t="e">
        <f>IF(OR(cMed=0,cMed2=0,4639&gt;nFilas),NA(),IF(AND(ISNUMBER(INDEX(rMed2,4639)),ISNUMBER(INDEX(rMed,4639))),INDEX(rMed,4639),NA()))</f>
        <v>#N/A</v>
      </c>
    </row>
    <row r="4642">
      <c r="BX4642" t="e">
        <f>IF(OR(cMed=0,cMed2=0,4640&gt;nFilas),NA(),IF(AND(ISNUMBER(INDEX(rMed2,4640)),ISNUMBER(INDEX(rMed,4640))),INDEX(rMed2,4640),NA()))</f>
        <v>#N/A</v>
      </c>
      <c r="BY4642" t="e">
        <f>IF(OR(cMed=0,cMed2=0,4640&gt;nFilas),NA(),IF(AND(ISNUMBER(INDEX(rMed2,4640)),ISNUMBER(INDEX(rMed,4640))),INDEX(rMed,4640),NA()))</f>
        <v>#N/A</v>
      </c>
    </row>
    <row r="4643">
      <c r="BX4643" t="e">
        <f>IF(OR(cMed=0,cMed2=0,4641&gt;nFilas),NA(),IF(AND(ISNUMBER(INDEX(rMed2,4641)),ISNUMBER(INDEX(rMed,4641))),INDEX(rMed2,4641),NA()))</f>
        <v>#N/A</v>
      </c>
      <c r="BY4643" t="e">
        <f>IF(OR(cMed=0,cMed2=0,4641&gt;nFilas),NA(),IF(AND(ISNUMBER(INDEX(rMed2,4641)),ISNUMBER(INDEX(rMed,4641))),INDEX(rMed,4641),NA()))</f>
        <v>#N/A</v>
      </c>
    </row>
    <row r="4644">
      <c r="BX4644" t="e">
        <f>IF(OR(cMed=0,cMed2=0,4642&gt;nFilas),NA(),IF(AND(ISNUMBER(INDEX(rMed2,4642)),ISNUMBER(INDEX(rMed,4642))),INDEX(rMed2,4642),NA()))</f>
        <v>#N/A</v>
      </c>
      <c r="BY4644" t="e">
        <f>IF(OR(cMed=0,cMed2=0,4642&gt;nFilas),NA(),IF(AND(ISNUMBER(INDEX(rMed2,4642)),ISNUMBER(INDEX(rMed,4642))),INDEX(rMed,4642),NA()))</f>
        <v>#N/A</v>
      </c>
    </row>
    <row r="4645">
      <c r="BX4645" t="e">
        <f>IF(OR(cMed=0,cMed2=0,4643&gt;nFilas),NA(),IF(AND(ISNUMBER(INDEX(rMed2,4643)),ISNUMBER(INDEX(rMed,4643))),INDEX(rMed2,4643),NA()))</f>
        <v>#N/A</v>
      </c>
      <c r="BY4645" t="e">
        <f>IF(OR(cMed=0,cMed2=0,4643&gt;nFilas),NA(),IF(AND(ISNUMBER(INDEX(rMed2,4643)),ISNUMBER(INDEX(rMed,4643))),INDEX(rMed,4643),NA()))</f>
        <v>#N/A</v>
      </c>
    </row>
    <row r="4646">
      <c r="BX4646" t="e">
        <f>IF(OR(cMed=0,cMed2=0,4644&gt;nFilas),NA(),IF(AND(ISNUMBER(INDEX(rMed2,4644)),ISNUMBER(INDEX(rMed,4644))),INDEX(rMed2,4644),NA()))</f>
        <v>#N/A</v>
      </c>
      <c r="BY4646" t="e">
        <f>IF(OR(cMed=0,cMed2=0,4644&gt;nFilas),NA(),IF(AND(ISNUMBER(INDEX(rMed2,4644)),ISNUMBER(INDEX(rMed,4644))),INDEX(rMed,4644),NA()))</f>
        <v>#N/A</v>
      </c>
    </row>
    <row r="4647">
      <c r="BX4647" t="e">
        <f>IF(OR(cMed=0,cMed2=0,4645&gt;nFilas),NA(),IF(AND(ISNUMBER(INDEX(rMed2,4645)),ISNUMBER(INDEX(rMed,4645))),INDEX(rMed2,4645),NA()))</f>
        <v>#N/A</v>
      </c>
      <c r="BY4647" t="e">
        <f>IF(OR(cMed=0,cMed2=0,4645&gt;nFilas),NA(),IF(AND(ISNUMBER(INDEX(rMed2,4645)),ISNUMBER(INDEX(rMed,4645))),INDEX(rMed,4645),NA()))</f>
        <v>#N/A</v>
      </c>
    </row>
    <row r="4648">
      <c r="BX4648" t="e">
        <f>IF(OR(cMed=0,cMed2=0,4646&gt;nFilas),NA(),IF(AND(ISNUMBER(INDEX(rMed2,4646)),ISNUMBER(INDEX(rMed,4646))),INDEX(rMed2,4646),NA()))</f>
        <v>#N/A</v>
      </c>
      <c r="BY4648" t="e">
        <f>IF(OR(cMed=0,cMed2=0,4646&gt;nFilas),NA(),IF(AND(ISNUMBER(INDEX(rMed2,4646)),ISNUMBER(INDEX(rMed,4646))),INDEX(rMed,4646),NA()))</f>
        <v>#N/A</v>
      </c>
    </row>
    <row r="4649">
      <c r="BX4649" t="e">
        <f>IF(OR(cMed=0,cMed2=0,4647&gt;nFilas),NA(),IF(AND(ISNUMBER(INDEX(rMed2,4647)),ISNUMBER(INDEX(rMed,4647))),INDEX(rMed2,4647),NA()))</f>
        <v>#N/A</v>
      </c>
      <c r="BY4649" t="e">
        <f>IF(OR(cMed=0,cMed2=0,4647&gt;nFilas),NA(),IF(AND(ISNUMBER(INDEX(rMed2,4647)),ISNUMBER(INDEX(rMed,4647))),INDEX(rMed,4647),NA()))</f>
        <v>#N/A</v>
      </c>
    </row>
    <row r="4650">
      <c r="BX4650" t="e">
        <f>IF(OR(cMed=0,cMed2=0,4648&gt;nFilas),NA(),IF(AND(ISNUMBER(INDEX(rMed2,4648)),ISNUMBER(INDEX(rMed,4648))),INDEX(rMed2,4648),NA()))</f>
        <v>#N/A</v>
      </c>
      <c r="BY4650" t="e">
        <f>IF(OR(cMed=0,cMed2=0,4648&gt;nFilas),NA(),IF(AND(ISNUMBER(INDEX(rMed2,4648)),ISNUMBER(INDEX(rMed,4648))),INDEX(rMed,4648),NA()))</f>
        <v>#N/A</v>
      </c>
    </row>
    <row r="4651">
      <c r="BX4651" t="e">
        <f>IF(OR(cMed=0,cMed2=0,4649&gt;nFilas),NA(),IF(AND(ISNUMBER(INDEX(rMed2,4649)),ISNUMBER(INDEX(rMed,4649))),INDEX(rMed2,4649),NA()))</f>
        <v>#N/A</v>
      </c>
      <c r="BY4651" t="e">
        <f>IF(OR(cMed=0,cMed2=0,4649&gt;nFilas),NA(),IF(AND(ISNUMBER(INDEX(rMed2,4649)),ISNUMBER(INDEX(rMed,4649))),INDEX(rMed,4649),NA()))</f>
        <v>#N/A</v>
      </c>
    </row>
    <row r="4652">
      <c r="BX4652" t="e">
        <f>IF(OR(cMed=0,cMed2=0,4650&gt;nFilas),NA(),IF(AND(ISNUMBER(INDEX(rMed2,4650)),ISNUMBER(INDEX(rMed,4650))),INDEX(rMed2,4650),NA()))</f>
        <v>#N/A</v>
      </c>
      <c r="BY4652" t="e">
        <f>IF(OR(cMed=0,cMed2=0,4650&gt;nFilas),NA(),IF(AND(ISNUMBER(INDEX(rMed2,4650)),ISNUMBER(INDEX(rMed,4650))),INDEX(rMed,4650),NA()))</f>
        <v>#N/A</v>
      </c>
    </row>
    <row r="4653">
      <c r="BX4653" t="e">
        <f>IF(OR(cMed=0,cMed2=0,4651&gt;nFilas),NA(),IF(AND(ISNUMBER(INDEX(rMed2,4651)),ISNUMBER(INDEX(rMed,4651))),INDEX(rMed2,4651),NA()))</f>
        <v>#N/A</v>
      </c>
      <c r="BY4653" t="e">
        <f>IF(OR(cMed=0,cMed2=0,4651&gt;nFilas),NA(),IF(AND(ISNUMBER(INDEX(rMed2,4651)),ISNUMBER(INDEX(rMed,4651))),INDEX(rMed,4651),NA()))</f>
        <v>#N/A</v>
      </c>
    </row>
    <row r="4654">
      <c r="BX4654" t="e">
        <f>IF(OR(cMed=0,cMed2=0,4652&gt;nFilas),NA(),IF(AND(ISNUMBER(INDEX(rMed2,4652)),ISNUMBER(INDEX(rMed,4652))),INDEX(rMed2,4652),NA()))</f>
        <v>#N/A</v>
      </c>
      <c r="BY4654" t="e">
        <f>IF(OR(cMed=0,cMed2=0,4652&gt;nFilas),NA(),IF(AND(ISNUMBER(INDEX(rMed2,4652)),ISNUMBER(INDEX(rMed,4652))),INDEX(rMed,4652),NA()))</f>
        <v>#N/A</v>
      </c>
    </row>
    <row r="4655">
      <c r="BX4655" t="e">
        <f>IF(OR(cMed=0,cMed2=0,4653&gt;nFilas),NA(),IF(AND(ISNUMBER(INDEX(rMed2,4653)),ISNUMBER(INDEX(rMed,4653))),INDEX(rMed2,4653),NA()))</f>
        <v>#N/A</v>
      </c>
      <c r="BY4655" t="e">
        <f>IF(OR(cMed=0,cMed2=0,4653&gt;nFilas),NA(),IF(AND(ISNUMBER(INDEX(rMed2,4653)),ISNUMBER(INDEX(rMed,4653))),INDEX(rMed,4653),NA()))</f>
        <v>#N/A</v>
      </c>
    </row>
    <row r="4656">
      <c r="BX4656" t="e">
        <f>IF(OR(cMed=0,cMed2=0,4654&gt;nFilas),NA(),IF(AND(ISNUMBER(INDEX(rMed2,4654)),ISNUMBER(INDEX(rMed,4654))),INDEX(rMed2,4654),NA()))</f>
        <v>#N/A</v>
      </c>
      <c r="BY4656" t="e">
        <f>IF(OR(cMed=0,cMed2=0,4654&gt;nFilas),NA(),IF(AND(ISNUMBER(INDEX(rMed2,4654)),ISNUMBER(INDEX(rMed,4654))),INDEX(rMed,4654),NA()))</f>
        <v>#N/A</v>
      </c>
    </row>
    <row r="4657">
      <c r="BX4657" t="e">
        <f>IF(OR(cMed=0,cMed2=0,4655&gt;nFilas),NA(),IF(AND(ISNUMBER(INDEX(rMed2,4655)),ISNUMBER(INDEX(rMed,4655))),INDEX(rMed2,4655),NA()))</f>
        <v>#N/A</v>
      </c>
      <c r="BY4657" t="e">
        <f>IF(OR(cMed=0,cMed2=0,4655&gt;nFilas),NA(),IF(AND(ISNUMBER(INDEX(rMed2,4655)),ISNUMBER(INDEX(rMed,4655))),INDEX(rMed,4655),NA()))</f>
        <v>#N/A</v>
      </c>
    </row>
    <row r="4658">
      <c r="BX4658" t="e">
        <f>IF(OR(cMed=0,cMed2=0,4656&gt;nFilas),NA(),IF(AND(ISNUMBER(INDEX(rMed2,4656)),ISNUMBER(INDEX(rMed,4656))),INDEX(rMed2,4656),NA()))</f>
        <v>#N/A</v>
      </c>
      <c r="BY4658" t="e">
        <f>IF(OR(cMed=0,cMed2=0,4656&gt;nFilas),NA(),IF(AND(ISNUMBER(INDEX(rMed2,4656)),ISNUMBER(INDEX(rMed,4656))),INDEX(rMed,4656),NA()))</f>
        <v>#N/A</v>
      </c>
    </row>
    <row r="4659">
      <c r="BX4659" t="e">
        <f>IF(OR(cMed=0,cMed2=0,4657&gt;nFilas),NA(),IF(AND(ISNUMBER(INDEX(rMed2,4657)),ISNUMBER(INDEX(rMed,4657))),INDEX(rMed2,4657),NA()))</f>
        <v>#N/A</v>
      </c>
      <c r="BY4659" t="e">
        <f>IF(OR(cMed=0,cMed2=0,4657&gt;nFilas),NA(),IF(AND(ISNUMBER(INDEX(rMed2,4657)),ISNUMBER(INDEX(rMed,4657))),INDEX(rMed,4657),NA()))</f>
        <v>#N/A</v>
      </c>
    </row>
    <row r="4660">
      <c r="BX4660" t="e">
        <f>IF(OR(cMed=0,cMed2=0,4658&gt;nFilas),NA(),IF(AND(ISNUMBER(INDEX(rMed2,4658)),ISNUMBER(INDEX(rMed,4658))),INDEX(rMed2,4658),NA()))</f>
        <v>#N/A</v>
      </c>
      <c r="BY4660" t="e">
        <f>IF(OR(cMed=0,cMed2=0,4658&gt;nFilas),NA(),IF(AND(ISNUMBER(INDEX(rMed2,4658)),ISNUMBER(INDEX(rMed,4658))),INDEX(rMed,4658),NA()))</f>
        <v>#N/A</v>
      </c>
    </row>
    <row r="4661">
      <c r="BX4661" t="e">
        <f>IF(OR(cMed=0,cMed2=0,4659&gt;nFilas),NA(),IF(AND(ISNUMBER(INDEX(rMed2,4659)),ISNUMBER(INDEX(rMed,4659))),INDEX(rMed2,4659),NA()))</f>
        <v>#N/A</v>
      </c>
      <c r="BY4661" t="e">
        <f>IF(OR(cMed=0,cMed2=0,4659&gt;nFilas),NA(),IF(AND(ISNUMBER(INDEX(rMed2,4659)),ISNUMBER(INDEX(rMed,4659))),INDEX(rMed,4659),NA()))</f>
        <v>#N/A</v>
      </c>
    </row>
    <row r="4662">
      <c r="BX4662" t="e">
        <f>IF(OR(cMed=0,cMed2=0,4660&gt;nFilas),NA(),IF(AND(ISNUMBER(INDEX(rMed2,4660)),ISNUMBER(INDEX(rMed,4660))),INDEX(rMed2,4660),NA()))</f>
        <v>#N/A</v>
      </c>
      <c r="BY4662" t="e">
        <f>IF(OR(cMed=0,cMed2=0,4660&gt;nFilas),NA(),IF(AND(ISNUMBER(INDEX(rMed2,4660)),ISNUMBER(INDEX(rMed,4660))),INDEX(rMed,4660),NA()))</f>
        <v>#N/A</v>
      </c>
    </row>
    <row r="4663">
      <c r="BX4663" t="e">
        <f>IF(OR(cMed=0,cMed2=0,4661&gt;nFilas),NA(),IF(AND(ISNUMBER(INDEX(rMed2,4661)),ISNUMBER(INDEX(rMed,4661))),INDEX(rMed2,4661),NA()))</f>
        <v>#N/A</v>
      </c>
      <c r="BY4663" t="e">
        <f>IF(OR(cMed=0,cMed2=0,4661&gt;nFilas),NA(),IF(AND(ISNUMBER(INDEX(rMed2,4661)),ISNUMBER(INDEX(rMed,4661))),INDEX(rMed,4661),NA()))</f>
        <v>#N/A</v>
      </c>
    </row>
    <row r="4664">
      <c r="BX4664" t="e">
        <f>IF(OR(cMed=0,cMed2=0,4662&gt;nFilas),NA(),IF(AND(ISNUMBER(INDEX(rMed2,4662)),ISNUMBER(INDEX(rMed,4662))),INDEX(rMed2,4662),NA()))</f>
        <v>#N/A</v>
      </c>
      <c r="BY4664" t="e">
        <f>IF(OR(cMed=0,cMed2=0,4662&gt;nFilas),NA(),IF(AND(ISNUMBER(INDEX(rMed2,4662)),ISNUMBER(INDEX(rMed,4662))),INDEX(rMed,4662),NA()))</f>
        <v>#N/A</v>
      </c>
    </row>
    <row r="4665">
      <c r="BX4665" t="e">
        <f>IF(OR(cMed=0,cMed2=0,4663&gt;nFilas),NA(),IF(AND(ISNUMBER(INDEX(rMed2,4663)),ISNUMBER(INDEX(rMed,4663))),INDEX(rMed2,4663),NA()))</f>
        <v>#N/A</v>
      </c>
      <c r="BY4665" t="e">
        <f>IF(OR(cMed=0,cMed2=0,4663&gt;nFilas),NA(),IF(AND(ISNUMBER(INDEX(rMed2,4663)),ISNUMBER(INDEX(rMed,4663))),INDEX(rMed,4663),NA()))</f>
        <v>#N/A</v>
      </c>
    </row>
    <row r="4666">
      <c r="BX4666" t="e">
        <f>IF(OR(cMed=0,cMed2=0,4664&gt;nFilas),NA(),IF(AND(ISNUMBER(INDEX(rMed2,4664)),ISNUMBER(INDEX(rMed,4664))),INDEX(rMed2,4664),NA()))</f>
        <v>#N/A</v>
      </c>
      <c r="BY4666" t="e">
        <f>IF(OR(cMed=0,cMed2=0,4664&gt;nFilas),NA(),IF(AND(ISNUMBER(INDEX(rMed2,4664)),ISNUMBER(INDEX(rMed,4664))),INDEX(rMed,4664),NA()))</f>
        <v>#N/A</v>
      </c>
    </row>
    <row r="4667">
      <c r="BX4667" t="e">
        <f>IF(OR(cMed=0,cMed2=0,4665&gt;nFilas),NA(),IF(AND(ISNUMBER(INDEX(rMed2,4665)),ISNUMBER(INDEX(rMed,4665))),INDEX(rMed2,4665),NA()))</f>
        <v>#N/A</v>
      </c>
      <c r="BY4667" t="e">
        <f>IF(OR(cMed=0,cMed2=0,4665&gt;nFilas),NA(),IF(AND(ISNUMBER(INDEX(rMed2,4665)),ISNUMBER(INDEX(rMed,4665))),INDEX(rMed,4665),NA()))</f>
        <v>#N/A</v>
      </c>
    </row>
    <row r="4668">
      <c r="BX4668" t="e">
        <f>IF(OR(cMed=0,cMed2=0,4666&gt;nFilas),NA(),IF(AND(ISNUMBER(INDEX(rMed2,4666)),ISNUMBER(INDEX(rMed,4666))),INDEX(rMed2,4666),NA()))</f>
        <v>#N/A</v>
      </c>
      <c r="BY4668" t="e">
        <f>IF(OR(cMed=0,cMed2=0,4666&gt;nFilas),NA(),IF(AND(ISNUMBER(INDEX(rMed2,4666)),ISNUMBER(INDEX(rMed,4666))),INDEX(rMed,4666),NA()))</f>
        <v>#N/A</v>
      </c>
    </row>
    <row r="4669">
      <c r="BX4669" t="e">
        <f>IF(OR(cMed=0,cMed2=0,4667&gt;nFilas),NA(),IF(AND(ISNUMBER(INDEX(rMed2,4667)),ISNUMBER(INDEX(rMed,4667))),INDEX(rMed2,4667),NA()))</f>
        <v>#N/A</v>
      </c>
      <c r="BY4669" t="e">
        <f>IF(OR(cMed=0,cMed2=0,4667&gt;nFilas),NA(),IF(AND(ISNUMBER(INDEX(rMed2,4667)),ISNUMBER(INDEX(rMed,4667))),INDEX(rMed,4667),NA()))</f>
        <v>#N/A</v>
      </c>
    </row>
    <row r="4670">
      <c r="BX4670" t="e">
        <f>IF(OR(cMed=0,cMed2=0,4668&gt;nFilas),NA(),IF(AND(ISNUMBER(INDEX(rMed2,4668)),ISNUMBER(INDEX(rMed,4668))),INDEX(rMed2,4668),NA()))</f>
        <v>#N/A</v>
      </c>
      <c r="BY4670" t="e">
        <f>IF(OR(cMed=0,cMed2=0,4668&gt;nFilas),NA(),IF(AND(ISNUMBER(INDEX(rMed2,4668)),ISNUMBER(INDEX(rMed,4668))),INDEX(rMed,4668),NA()))</f>
        <v>#N/A</v>
      </c>
    </row>
    <row r="4671">
      <c r="BX4671" t="e">
        <f>IF(OR(cMed=0,cMed2=0,4669&gt;nFilas),NA(),IF(AND(ISNUMBER(INDEX(rMed2,4669)),ISNUMBER(INDEX(rMed,4669))),INDEX(rMed2,4669),NA()))</f>
        <v>#N/A</v>
      </c>
      <c r="BY4671" t="e">
        <f>IF(OR(cMed=0,cMed2=0,4669&gt;nFilas),NA(),IF(AND(ISNUMBER(INDEX(rMed2,4669)),ISNUMBER(INDEX(rMed,4669))),INDEX(rMed,4669),NA()))</f>
        <v>#N/A</v>
      </c>
    </row>
    <row r="4672">
      <c r="BX4672" t="e">
        <f>IF(OR(cMed=0,cMed2=0,4670&gt;nFilas),NA(),IF(AND(ISNUMBER(INDEX(rMed2,4670)),ISNUMBER(INDEX(rMed,4670))),INDEX(rMed2,4670),NA()))</f>
        <v>#N/A</v>
      </c>
      <c r="BY4672" t="e">
        <f>IF(OR(cMed=0,cMed2=0,4670&gt;nFilas),NA(),IF(AND(ISNUMBER(INDEX(rMed2,4670)),ISNUMBER(INDEX(rMed,4670))),INDEX(rMed,4670),NA()))</f>
        <v>#N/A</v>
      </c>
    </row>
    <row r="4673">
      <c r="BX4673" t="e">
        <f>IF(OR(cMed=0,cMed2=0,4671&gt;nFilas),NA(),IF(AND(ISNUMBER(INDEX(rMed2,4671)),ISNUMBER(INDEX(rMed,4671))),INDEX(rMed2,4671),NA()))</f>
        <v>#N/A</v>
      </c>
      <c r="BY4673" t="e">
        <f>IF(OR(cMed=0,cMed2=0,4671&gt;nFilas),NA(),IF(AND(ISNUMBER(INDEX(rMed2,4671)),ISNUMBER(INDEX(rMed,4671))),INDEX(rMed,4671),NA()))</f>
        <v>#N/A</v>
      </c>
    </row>
    <row r="4674">
      <c r="BX4674" t="e">
        <f>IF(OR(cMed=0,cMed2=0,4672&gt;nFilas),NA(),IF(AND(ISNUMBER(INDEX(rMed2,4672)),ISNUMBER(INDEX(rMed,4672))),INDEX(rMed2,4672),NA()))</f>
        <v>#N/A</v>
      </c>
      <c r="BY4674" t="e">
        <f>IF(OR(cMed=0,cMed2=0,4672&gt;nFilas),NA(),IF(AND(ISNUMBER(INDEX(rMed2,4672)),ISNUMBER(INDEX(rMed,4672))),INDEX(rMed,4672),NA()))</f>
        <v>#N/A</v>
      </c>
    </row>
    <row r="4675">
      <c r="BX4675" t="e">
        <f>IF(OR(cMed=0,cMed2=0,4673&gt;nFilas),NA(),IF(AND(ISNUMBER(INDEX(rMed2,4673)),ISNUMBER(INDEX(rMed,4673))),INDEX(rMed2,4673),NA()))</f>
        <v>#N/A</v>
      </c>
      <c r="BY4675" t="e">
        <f>IF(OR(cMed=0,cMed2=0,4673&gt;nFilas),NA(),IF(AND(ISNUMBER(INDEX(rMed2,4673)),ISNUMBER(INDEX(rMed,4673))),INDEX(rMed,4673),NA()))</f>
        <v>#N/A</v>
      </c>
    </row>
    <row r="4676">
      <c r="BX4676" t="e">
        <f>IF(OR(cMed=0,cMed2=0,4674&gt;nFilas),NA(),IF(AND(ISNUMBER(INDEX(rMed2,4674)),ISNUMBER(INDEX(rMed,4674))),INDEX(rMed2,4674),NA()))</f>
        <v>#N/A</v>
      </c>
      <c r="BY4676" t="e">
        <f>IF(OR(cMed=0,cMed2=0,4674&gt;nFilas),NA(),IF(AND(ISNUMBER(INDEX(rMed2,4674)),ISNUMBER(INDEX(rMed,4674))),INDEX(rMed,4674),NA()))</f>
        <v>#N/A</v>
      </c>
    </row>
    <row r="4677">
      <c r="BX4677" t="e">
        <f>IF(OR(cMed=0,cMed2=0,4675&gt;nFilas),NA(),IF(AND(ISNUMBER(INDEX(rMed2,4675)),ISNUMBER(INDEX(rMed,4675))),INDEX(rMed2,4675),NA()))</f>
        <v>#N/A</v>
      </c>
      <c r="BY4677" t="e">
        <f>IF(OR(cMed=0,cMed2=0,4675&gt;nFilas),NA(),IF(AND(ISNUMBER(INDEX(rMed2,4675)),ISNUMBER(INDEX(rMed,4675))),INDEX(rMed,4675),NA()))</f>
        <v>#N/A</v>
      </c>
    </row>
    <row r="4678">
      <c r="BX4678" t="e">
        <f>IF(OR(cMed=0,cMed2=0,4676&gt;nFilas),NA(),IF(AND(ISNUMBER(INDEX(rMed2,4676)),ISNUMBER(INDEX(rMed,4676))),INDEX(rMed2,4676),NA()))</f>
        <v>#N/A</v>
      </c>
      <c r="BY4678" t="e">
        <f>IF(OR(cMed=0,cMed2=0,4676&gt;nFilas),NA(),IF(AND(ISNUMBER(INDEX(rMed2,4676)),ISNUMBER(INDEX(rMed,4676))),INDEX(rMed,4676),NA()))</f>
        <v>#N/A</v>
      </c>
    </row>
    <row r="4679">
      <c r="BX4679" t="e">
        <f>IF(OR(cMed=0,cMed2=0,4677&gt;nFilas),NA(),IF(AND(ISNUMBER(INDEX(rMed2,4677)),ISNUMBER(INDEX(rMed,4677))),INDEX(rMed2,4677),NA()))</f>
        <v>#N/A</v>
      </c>
      <c r="BY4679" t="e">
        <f>IF(OR(cMed=0,cMed2=0,4677&gt;nFilas),NA(),IF(AND(ISNUMBER(INDEX(rMed2,4677)),ISNUMBER(INDEX(rMed,4677))),INDEX(rMed,4677),NA()))</f>
        <v>#N/A</v>
      </c>
    </row>
    <row r="4680">
      <c r="BX4680" t="e">
        <f>IF(OR(cMed=0,cMed2=0,4678&gt;nFilas),NA(),IF(AND(ISNUMBER(INDEX(rMed2,4678)),ISNUMBER(INDEX(rMed,4678))),INDEX(rMed2,4678),NA()))</f>
        <v>#N/A</v>
      </c>
      <c r="BY4680" t="e">
        <f>IF(OR(cMed=0,cMed2=0,4678&gt;nFilas),NA(),IF(AND(ISNUMBER(INDEX(rMed2,4678)),ISNUMBER(INDEX(rMed,4678))),INDEX(rMed,4678),NA()))</f>
        <v>#N/A</v>
      </c>
    </row>
    <row r="4681">
      <c r="BX4681" t="e">
        <f>IF(OR(cMed=0,cMed2=0,4679&gt;nFilas),NA(),IF(AND(ISNUMBER(INDEX(rMed2,4679)),ISNUMBER(INDEX(rMed,4679))),INDEX(rMed2,4679),NA()))</f>
        <v>#N/A</v>
      </c>
      <c r="BY4681" t="e">
        <f>IF(OR(cMed=0,cMed2=0,4679&gt;nFilas),NA(),IF(AND(ISNUMBER(INDEX(rMed2,4679)),ISNUMBER(INDEX(rMed,4679))),INDEX(rMed,4679),NA()))</f>
        <v>#N/A</v>
      </c>
    </row>
    <row r="4682">
      <c r="BX4682" t="e">
        <f>IF(OR(cMed=0,cMed2=0,4680&gt;nFilas),NA(),IF(AND(ISNUMBER(INDEX(rMed2,4680)),ISNUMBER(INDEX(rMed,4680))),INDEX(rMed2,4680),NA()))</f>
        <v>#N/A</v>
      </c>
      <c r="BY4682" t="e">
        <f>IF(OR(cMed=0,cMed2=0,4680&gt;nFilas),NA(),IF(AND(ISNUMBER(INDEX(rMed2,4680)),ISNUMBER(INDEX(rMed,4680))),INDEX(rMed,4680),NA()))</f>
        <v>#N/A</v>
      </c>
    </row>
    <row r="4683">
      <c r="BX4683" t="e">
        <f>IF(OR(cMed=0,cMed2=0,4681&gt;nFilas),NA(),IF(AND(ISNUMBER(INDEX(rMed2,4681)),ISNUMBER(INDEX(rMed,4681))),INDEX(rMed2,4681),NA()))</f>
        <v>#N/A</v>
      </c>
      <c r="BY4683" t="e">
        <f>IF(OR(cMed=0,cMed2=0,4681&gt;nFilas),NA(),IF(AND(ISNUMBER(INDEX(rMed2,4681)),ISNUMBER(INDEX(rMed,4681))),INDEX(rMed,4681),NA()))</f>
        <v>#N/A</v>
      </c>
    </row>
    <row r="4684">
      <c r="BX4684" t="e">
        <f>IF(OR(cMed=0,cMed2=0,4682&gt;nFilas),NA(),IF(AND(ISNUMBER(INDEX(rMed2,4682)),ISNUMBER(INDEX(rMed,4682))),INDEX(rMed2,4682),NA()))</f>
        <v>#N/A</v>
      </c>
      <c r="BY4684" t="e">
        <f>IF(OR(cMed=0,cMed2=0,4682&gt;nFilas),NA(),IF(AND(ISNUMBER(INDEX(rMed2,4682)),ISNUMBER(INDEX(rMed,4682))),INDEX(rMed,4682),NA()))</f>
        <v>#N/A</v>
      </c>
    </row>
    <row r="4685">
      <c r="BX4685" t="e">
        <f>IF(OR(cMed=0,cMed2=0,4683&gt;nFilas),NA(),IF(AND(ISNUMBER(INDEX(rMed2,4683)),ISNUMBER(INDEX(rMed,4683))),INDEX(rMed2,4683),NA()))</f>
        <v>#N/A</v>
      </c>
      <c r="BY4685" t="e">
        <f>IF(OR(cMed=0,cMed2=0,4683&gt;nFilas),NA(),IF(AND(ISNUMBER(INDEX(rMed2,4683)),ISNUMBER(INDEX(rMed,4683))),INDEX(rMed,4683),NA()))</f>
        <v>#N/A</v>
      </c>
    </row>
    <row r="4686">
      <c r="BX4686" t="e">
        <f>IF(OR(cMed=0,cMed2=0,4684&gt;nFilas),NA(),IF(AND(ISNUMBER(INDEX(rMed2,4684)),ISNUMBER(INDEX(rMed,4684))),INDEX(rMed2,4684),NA()))</f>
        <v>#N/A</v>
      </c>
      <c r="BY4686" t="e">
        <f>IF(OR(cMed=0,cMed2=0,4684&gt;nFilas),NA(),IF(AND(ISNUMBER(INDEX(rMed2,4684)),ISNUMBER(INDEX(rMed,4684))),INDEX(rMed,4684),NA()))</f>
        <v>#N/A</v>
      </c>
    </row>
    <row r="4687">
      <c r="BX4687" t="e">
        <f>IF(OR(cMed=0,cMed2=0,4685&gt;nFilas),NA(),IF(AND(ISNUMBER(INDEX(rMed2,4685)),ISNUMBER(INDEX(rMed,4685))),INDEX(rMed2,4685),NA()))</f>
        <v>#N/A</v>
      </c>
      <c r="BY4687" t="e">
        <f>IF(OR(cMed=0,cMed2=0,4685&gt;nFilas),NA(),IF(AND(ISNUMBER(INDEX(rMed2,4685)),ISNUMBER(INDEX(rMed,4685))),INDEX(rMed,4685),NA()))</f>
        <v>#N/A</v>
      </c>
    </row>
    <row r="4688">
      <c r="BX4688" t="e">
        <f>IF(OR(cMed=0,cMed2=0,4686&gt;nFilas),NA(),IF(AND(ISNUMBER(INDEX(rMed2,4686)),ISNUMBER(INDEX(rMed,4686))),INDEX(rMed2,4686),NA()))</f>
        <v>#N/A</v>
      </c>
      <c r="BY4688" t="e">
        <f>IF(OR(cMed=0,cMed2=0,4686&gt;nFilas),NA(),IF(AND(ISNUMBER(INDEX(rMed2,4686)),ISNUMBER(INDEX(rMed,4686))),INDEX(rMed,4686),NA()))</f>
        <v>#N/A</v>
      </c>
    </row>
    <row r="4689">
      <c r="BX4689" t="e">
        <f>IF(OR(cMed=0,cMed2=0,4687&gt;nFilas),NA(),IF(AND(ISNUMBER(INDEX(rMed2,4687)),ISNUMBER(INDEX(rMed,4687))),INDEX(rMed2,4687),NA()))</f>
        <v>#N/A</v>
      </c>
      <c r="BY4689" t="e">
        <f>IF(OR(cMed=0,cMed2=0,4687&gt;nFilas),NA(),IF(AND(ISNUMBER(INDEX(rMed2,4687)),ISNUMBER(INDEX(rMed,4687))),INDEX(rMed,4687),NA()))</f>
        <v>#N/A</v>
      </c>
    </row>
    <row r="4690">
      <c r="BX4690" t="e">
        <f>IF(OR(cMed=0,cMed2=0,4688&gt;nFilas),NA(),IF(AND(ISNUMBER(INDEX(rMed2,4688)),ISNUMBER(INDEX(rMed,4688))),INDEX(rMed2,4688),NA()))</f>
        <v>#N/A</v>
      </c>
      <c r="BY4690" t="e">
        <f>IF(OR(cMed=0,cMed2=0,4688&gt;nFilas),NA(),IF(AND(ISNUMBER(INDEX(rMed2,4688)),ISNUMBER(INDEX(rMed,4688))),INDEX(rMed,4688),NA()))</f>
        <v>#N/A</v>
      </c>
    </row>
    <row r="4691">
      <c r="BX4691" t="e">
        <f>IF(OR(cMed=0,cMed2=0,4689&gt;nFilas),NA(),IF(AND(ISNUMBER(INDEX(rMed2,4689)),ISNUMBER(INDEX(rMed,4689))),INDEX(rMed2,4689),NA()))</f>
        <v>#N/A</v>
      </c>
      <c r="BY4691" t="e">
        <f>IF(OR(cMed=0,cMed2=0,4689&gt;nFilas),NA(),IF(AND(ISNUMBER(INDEX(rMed2,4689)),ISNUMBER(INDEX(rMed,4689))),INDEX(rMed,4689),NA()))</f>
        <v>#N/A</v>
      </c>
    </row>
    <row r="4692">
      <c r="BX4692" t="e">
        <f>IF(OR(cMed=0,cMed2=0,4690&gt;nFilas),NA(),IF(AND(ISNUMBER(INDEX(rMed2,4690)),ISNUMBER(INDEX(rMed,4690))),INDEX(rMed2,4690),NA()))</f>
        <v>#N/A</v>
      </c>
      <c r="BY4692" t="e">
        <f>IF(OR(cMed=0,cMed2=0,4690&gt;nFilas),NA(),IF(AND(ISNUMBER(INDEX(rMed2,4690)),ISNUMBER(INDEX(rMed,4690))),INDEX(rMed,4690),NA()))</f>
        <v>#N/A</v>
      </c>
    </row>
    <row r="4693">
      <c r="BX4693" t="e">
        <f>IF(OR(cMed=0,cMed2=0,4691&gt;nFilas),NA(),IF(AND(ISNUMBER(INDEX(rMed2,4691)),ISNUMBER(INDEX(rMed,4691))),INDEX(rMed2,4691),NA()))</f>
        <v>#N/A</v>
      </c>
      <c r="BY4693" t="e">
        <f>IF(OR(cMed=0,cMed2=0,4691&gt;nFilas),NA(),IF(AND(ISNUMBER(INDEX(rMed2,4691)),ISNUMBER(INDEX(rMed,4691))),INDEX(rMed,4691),NA()))</f>
        <v>#N/A</v>
      </c>
    </row>
    <row r="4694">
      <c r="BX4694" t="e">
        <f>IF(OR(cMed=0,cMed2=0,4692&gt;nFilas),NA(),IF(AND(ISNUMBER(INDEX(rMed2,4692)),ISNUMBER(INDEX(rMed,4692))),INDEX(rMed2,4692),NA()))</f>
        <v>#N/A</v>
      </c>
      <c r="BY4694" t="e">
        <f>IF(OR(cMed=0,cMed2=0,4692&gt;nFilas),NA(),IF(AND(ISNUMBER(INDEX(rMed2,4692)),ISNUMBER(INDEX(rMed,4692))),INDEX(rMed,4692),NA()))</f>
        <v>#N/A</v>
      </c>
    </row>
    <row r="4695">
      <c r="BX4695" t="e">
        <f>IF(OR(cMed=0,cMed2=0,4693&gt;nFilas),NA(),IF(AND(ISNUMBER(INDEX(rMed2,4693)),ISNUMBER(INDEX(rMed,4693))),INDEX(rMed2,4693),NA()))</f>
        <v>#N/A</v>
      </c>
      <c r="BY4695" t="e">
        <f>IF(OR(cMed=0,cMed2=0,4693&gt;nFilas),NA(),IF(AND(ISNUMBER(INDEX(rMed2,4693)),ISNUMBER(INDEX(rMed,4693))),INDEX(rMed,4693),NA()))</f>
        <v>#N/A</v>
      </c>
    </row>
    <row r="4696">
      <c r="BX4696" t="e">
        <f>IF(OR(cMed=0,cMed2=0,4694&gt;nFilas),NA(),IF(AND(ISNUMBER(INDEX(rMed2,4694)),ISNUMBER(INDEX(rMed,4694))),INDEX(rMed2,4694),NA()))</f>
        <v>#N/A</v>
      </c>
      <c r="BY4696" t="e">
        <f>IF(OR(cMed=0,cMed2=0,4694&gt;nFilas),NA(),IF(AND(ISNUMBER(INDEX(rMed2,4694)),ISNUMBER(INDEX(rMed,4694))),INDEX(rMed,4694),NA()))</f>
        <v>#N/A</v>
      </c>
    </row>
    <row r="4697">
      <c r="BX4697" t="e">
        <f>IF(OR(cMed=0,cMed2=0,4695&gt;nFilas),NA(),IF(AND(ISNUMBER(INDEX(rMed2,4695)),ISNUMBER(INDEX(rMed,4695))),INDEX(rMed2,4695),NA()))</f>
        <v>#N/A</v>
      </c>
      <c r="BY4697" t="e">
        <f>IF(OR(cMed=0,cMed2=0,4695&gt;nFilas),NA(),IF(AND(ISNUMBER(INDEX(rMed2,4695)),ISNUMBER(INDEX(rMed,4695))),INDEX(rMed,4695),NA()))</f>
        <v>#N/A</v>
      </c>
    </row>
    <row r="4698">
      <c r="BX4698" t="e">
        <f>IF(OR(cMed=0,cMed2=0,4696&gt;nFilas),NA(),IF(AND(ISNUMBER(INDEX(rMed2,4696)),ISNUMBER(INDEX(rMed,4696))),INDEX(rMed2,4696),NA()))</f>
        <v>#N/A</v>
      </c>
      <c r="BY4698" t="e">
        <f>IF(OR(cMed=0,cMed2=0,4696&gt;nFilas),NA(),IF(AND(ISNUMBER(INDEX(rMed2,4696)),ISNUMBER(INDEX(rMed,4696))),INDEX(rMed,4696),NA()))</f>
        <v>#N/A</v>
      </c>
    </row>
    <row r="4699">
      <c r="BX4699" t="e">
        <f>IF(OR(cMed=0,cMed2=0,4697&gt;nFilas),NA(),IF(AND(ISNUMBER(INDEX(rMed2,4697)),ISNUMBER(INDEX(rMed,4697))),INDEX(rMed2,4697),NA()))</f>
        <v>#N/A</v>
      </c>
      <c r="BY4699" t="e">
        <f>IF(OR(cMed=0,cMed2=0,4697&gt;nFilas),NA(),IF(AND(ISNUMBER(INDEX(rMed2,4697)),ISNUMBER(INDEX(rMed,4697))),INDEX(rMed,4697),NA()))</f>
        <v>#N/A</v>
      </c>
    </row>
    <row r="4700">
      <c r="BX4700" t="e">
        <f>IF(OR(cMed=0,cMed2=0,4698&gt;nFilas),NA(),IF(AND(ISNUMBER(INDEX(rMed2,4698)),ISNUMBER(INDEX(rMed,4698))),INDEX(rMed2,4698),NA()))</f>
        <v>#N/A</v>
      </c>
      <c r="BY4700" t="e">
        <f>IF(OR(cMed=0,cMed2=0,4698&gt;nFilas),NA(),IF(AND(ISNUMBER(INDEX(rMed2,4698)),ISNUMBER(INDEX(rMed,4698))),INDEX(rMed,4698),NA()))</f>
        <v>#N/A</v>
      </c>
    </row>
    <row r="4701">
      <c r="BX4701" t="e">
        <f>IF(OR(cMed=0,cMed2=0,4699&gt;nFilas),NA(),IF(AND(ISNUMBER(INDEX(rMed2,4699)),ISNUMBER(INDEX(rMed,4699))),INDEX(rMed2,4699),NA()))</f>
        <v>#N/A</v>
      </c>
      <c r="BY4701" t="e">
        <f>IF(OR(cMed=0,cMed2=0,4699&gt;nFilas),NA(),IF(AND(ISNUMBER(INDEX(rMed2,4699)),ISNUMBER(INDEX(rMed,4699))),INDEX(rMed,4699),NA()))</f>
        <v>#N/A</v>
      </c>
    </row>
    <row r="4702">
      <c r="BX4702" t="e">
        <f>IF(OR(cMed=0,cMed2=0,4700&gt;nFilas),NA(),IF(AND(ISNUMBER(INDEX(rMed2,4700)),ISNUMBER(INDEX(rMed,4700))),INDEX(rMed2,4700),NA()))</f>
        <v>#N/A</v>
      </c>
      <c r="BY4702" t="e">
        <f>IF(OR(cMed=0,cMed2=0,4700&gt;nFilas),NA(),IF(AND(ISNUMBER(INDEX(rMed2,4700)),ISNUMBER(INDEX(rMed,4700))),INDEX(rMed,4700),NA()))</f>
        <v>#N/A</v>
      </c>
    </row>
    <row r="4703">
      <c r="BX4703" t="e">
        <f>IF(OR(cMed=0,cMed2=0,4701&gt;nFilas),NA(),IF(AND(ISNUMBER(INDEX(rMed2,4701)),ISNUMBER(INDEX(rMed,4701))),INDEX(rMed2,4701),NA()))</f>
        <v>#N/A</v>
      </c>
      <c r="BY4703" t="e">
        <f>IF(OR(cMed=0,cMed2=0,4701&gt;nFilas),NA(),IF(AND(ISNUMBER(INDEX(rMed2,4701)),ISNUMBER(INDEX(rMed,4701))),INDEX(rMed,4701),NA()))</f>
        <v>#N/A</v>
      </c>
    </row>
    <row r="4704">
      <c r="BX4704" t="e">
        <f>IF(OR(cMed=0,cMed2=0,4702&gt;nFilas),NA(),IF(AND(ISNUMBER(INDEX(rMed2,4702)),ISNUMBER(INDEX(rMed,4702))),INDEX(rMed2,4702),NA()))</f>
        <v>#N/A</v>
      </c>
      <c r="BY4704" t="e">
        <f>IF(OR(cMed=0,cMed2=0,4702&gt;nFilas),NA(),IF(AND(ISNUMBER(INDEX(rMed2,4702)),ISNUMBER(INDEX(rMed,4702))),INDEX(rMed,4702),NA()))</f>
        <v>#N/A</v>
      </c>
    </row>
    <row r="4705">
      <c r="BX4705" t="e">
        <f>IF(OR(cMed=0,cMed2=0,4703&gt;nFilas),NA(),IF(AND(ISNUMBER(INDEX(rMed2,4703)),ISNUMBER(INDEX(rMed,4703))),INDEX(rMed2,4703),NA()))</f>
        <v>#N/A</v>
      </c>
      <c r="BY4705" t="e">
        <f>IF(OR(cMed=0,cMed2=0,4703&gt;nFilas),NA(),IF(AND(ISNUMBER(INDEX(rMed2,4703)),ISNUMBER(INDEX(rMed,4703))),INDEX(rMed,4703),NA()))</f>
        <v>#N/A</v>
      </c>
    </row>
    <row r="4706">
      <c r="BX4706" t="e">
        <f>IF(OR(cMed=0,cMed2=0,4704&gt;nFilas),NA(),IF(AND(ISNUMBER(INDEX(rMed2,4704)),ISNUMBER(INDEX(rMed,4704))),INDEX(rMed2,4704),NA()))</f>
        <v>#N/A</v>
      </c>
      <c r="BY4706" t="e">
        <f>IF(OR(cMed=0,cMed2=0,4704&gt;nFilas),NA(),IF(AND(ISNUMBER(INDEX(rMed2,4704)),ISNUMBER(INDEX(rMed,4704))),INDEX(rMed,4704),NA()))</f>
        <v>#N/A</v>
      </c>
    </row>
    <row r="4707">
      <c r="BX4707" t="e">
        <f>IF(OR(cMed=0,cMed2=0,4705&gt;nFilas),NA(),IF(AND(ISNUMBER(INDEX(rMed2,4705)),ISNUMBER(INDEX(rMed,4705))),INDEX(rMed2,4705),NA()))</f>
        <v>#N/A</v>
      </c>
      <c r="BY4707" t="e">
        <f>IF(OR(cMed=0,cMed2=0,4705&gt;nFilas),NA(),IF(AND(ISNUMBER(INDEX(rMed2,4705)),ISNUMBER(INDEX(rMed,4705))),INDEX(rMed,4705),NA()))</f>
        <v>#N/A</v>
      </c>
    </row>
    <row r="4708">
      <c r="BX4708" t="e">
        <f>IF(OR(cMed=0,cMed2=0,4706&gt;nFilas),NA(),IF(AND(ISNUMBER(INDEX(rMed2,4706)),ISNUMBER(INDEX(rMed,4706))),INDEX(rMed2,4706),NA()))</f>
        <v>#N/A</v>
      </c>
      <c r="BY4708" t="e">
        <f>IF(OR(cMed=0,cMed2=0,4706&gt;nFilas),NA(),IF(AND(ISNUMBER(INDEX(rMed2,4706)),ISNUMBER(INDEX(rMed,4706))),INDEX(rMed,4706),NA()))</f>
        <v>#N/A</v>
      </c>
    </row>
    <row r="4709">
      <c r="BX4709" t="e">
        <f>IF(OR(cMed=0,cMed2=0,4707&gt;nFilas),NA(),IF(AND(ISNUMBER(INDEX(rMed2,4707)),ISNUMBER(INDEX(rMed,4707))),INDEX(rMed2,4707),NA()))</f>
        <v>#N/A</v>
      </c>
      <c r="BY4709" t="e">
        <f>IF(OR(cMed=0,cMed2=0,4707&gt;nFilas),NA(),IF(AND(ISNUMBER(INDEX(rMed2,4707)),ISNUMBER(INDEX(rMed,4707))),INDEX(rMed,4707),NA()))</f>
        <v>#N/A</v>
      </c>
    </row>
    <row r="4710">
      <c r="BX4710" t="e">
        <f>IF(OR(cMed=0,cMed2=0,4708&gt;nFilas),NA(),IF(AND(ISNUMBER(INDEX(rMed2,4708)),ISNUMBER(INDEX(rMed,4708))),INDEX(rMed2,4708),NA()))</f>
        <v>#N/A</v>
      </c>
      <c r="BY4710" t="e">
        <f>IF(OR(cMed=0,cMed2=0,4708&gt;nFilas),NA(),IF(AND(ISNUMBER(INDEX(rMed2,4708)),ISNUMBER(INDEX(rMed,4708))),INDEX(rMed,4708),NA()))</f>
        <v>#N/A</v>
      </c>
    </row>
    <row r="4711">
      <c r="BX4711" t="e">
        <f>IF(OR(cMed=0,cMed2=0,4709&gt;nFilas),NA(),IF(AND(ISNUMBER(INDEX(rMed2,4709)),ISNUMBER(INDEX(rMed,4709))),INDEX(rMed2,4709),NA()))</f>
        <v>#N/A</v>
      </c>
      <c r="BY4711" t="e">
        <f>IF(OR(cMed=0,cMed2=0,4709&gt;nFilas),NA(),IF(AND(ISNUMBER(INDEX(rMed2,4709)),ISNUMBER(INDEX(rMed,4709))),INDEX(rMed,4709),NA()))</f>
        <v>#N/A</v>
      </c>
    </row>
    <row r="4712">
      <c r="BX4712" t="e">
        <f>IF(OR(cMed=0,cMed2=0,4710&gt;nFilas),NA(),IF(AND(ISNUMBER(INDEX(rMed2,4710)),ISNUMBER(INDEX(rMed,4710))),INDEX(rMed2,4710),NA()))</f>
        <v>#N/A</v>
      </c>
      <c r="BY4712" t="e">
        <f>IF(OR(cMed=0,cMed2=0,4710&gt;nFilas),NA(),IF(AND(ISNUMBER(INDEX(rMed2,4710)),ISNUMBER(INDEX(rMed,4710))),INDEX(rMed,4710),NA()))</f>
        <v>#N/A</v>
      </c>
    </row>
    <row r="4713">
      <c r="BX4713" t="e">
        <f>IF(OR(cMed=0,cMed2=0,4711&gt;nFilas),NA(),IF(AND(ISNUMBER(INDEX(rMed2,4711)),ISNUMBER(INDEX(rMed,4711))),INDEX(rMed2,4711),NA()))</f>
        <v>#N/A</v>
      </c>
      <c r="BY4713" t="e">
        <f>IF(OR(cMed=0,cMed2=0,4711&gt;nFilas),NA(),IF(AND(ISNUMBER(INDEX(rMed2,4711)),ISNUMBER(INDEX(rMed,4711))),INDEX(rMed,4711),NA()))</f>
        <v>#N/A</v>
      </c>
    </row>
    <row r="4714">
      <c r="BX4714" t="e">
        <f>IF(OR(cMed=0,cMed2=0,4712&gt;nFilas),NA(),IF(AND(ISNUMBER(INDEX(rMed2,4712)),ISNUMBER(INDEX(rMed,4712))),INDEX(rMed2,4712),NA()))</f>
        <v>#N/A</v>
      </c>
      <c r="BY4714" t="e">
        <f>IF(OR(cMed=0,cMed2=0,4712&gt;nFilas),NA(),IF(AND(ISNUMBER(INDEX(rMed2,4712)),ISNUMBER(INDEX(rMed,4712))),INDEX(rMed,4712),NA()))</f>
        <v>#N/A</v>
      </c>
    </row>
    <row r="4715">
      <c r="BX4715" t="e">
        <f>IF(OR(cMed=0,cMed2=0,4713&gt;nFilas),NA(),IF(AND(ISNUMBER(INDEX(rMed2,4713)),ISNUMBER(INDEX(rMed,4713))),INDEX(rMed2,4713),NA()))</f>
        <v>#N/A</v>
      </c>
      <c r="BY4715" t="e">
        <f>IF(OR(cMed=0,cMed2=0,4713&gt;nFilas),NA(),IF(AND(ISNUMBER(INDEX(rMed2,4713)),ISNUMBER(INDEX(rMed,4713))),INDEX(rMed,4713),NA()))</f>
        <v>#N/A</v>
      </c>
    </row>
    <row r="4716">
      <c r="BX4716" t="e">
        <f>IF(OR(cMed=0,cMed2=0,4714&gt;nFilas),NA(),IF(AND(ISNUMBER(INDEX(rMed2,4714)),ISNUMBER(INDEX(rMed,4714))),INDEX(rMed2,4714),NA()))</f>
        <v>#N/A</v>
      </c>
      <c r="BY4716" t="e">
        <f>IF(OR(cMed=0,cMed2=0,4714&gt;nFilas),NA(),IF(AND(ISNUMBER(INDEX(rMed2,4714)),ISNUMBER(INDEX(rMed,4714))),INDEX(rMed,4714),NA()))</f>
        <v>#N/A</v>
      </c>
    </row>
    <row r="4717">
      <c r="BX4717" t="e">
        <f>IF(OR(cMed=0,cMed2=0,4715&gt;nFilas),NA(),IF(AND(ISNUMBER(INDEX(rMed2,4715)),ISNUMBER(INDEX(rMed,4715))),INDEX(rMed2,4715),NA()))</f>
        <v>#N/A</v>
      </c>
      <c r="BY4717" t="e">
        <f>IF(OR(cMed=0,cMed2=0,4715&gt;nFilas),NA(),IF(AND(ISNUMBER(INDEX(rMed2,4715)),ISNUMBER(INDEX(rMed,4715))),INDEX(rMed,4715),NA()))</f>
        <v>#N/A</v>
      </c>
    </row>
    <row r="4718">
      <c r="BX4718" t="e">
        <f>IF(OR(cMed=0,cMed2=0,4716&gt;nFilas),NA(),IF(AND(ISNUMBER(INDEX(rMed2,4716)),ISNUMBER(INDEX(rMed,4716))),INDEX(rMed2,4716),NA()))</f>
        <v>#N/A</v>
      </c>
      <c r="BY4718" t="e">
        <f>IF(OR(cMed=0,cMed2=0,4716&gt;nFilas),NA(),IF(AND(ISNUMBER(INDEX(rMed2,4716)),ISNUMBER(INDEX(rMed,4716))),INDEX(rMed,4716),NA()))</f>
        <v>#N/A</v>
      </c>
    </row>
    <row r="4719">
      <c r="BX4719" t="e">
        <f>IF(OR(cMed=0,cMed2=0,4717&gt;nFilas),NA(),IF(AND(ISNUMBER(INDEX(rMed2,4717)),ISNUMBER(INDEX(rMed,4717))),INDEX(rMed2,4717),NA()))</f>
        <v>#N/A</v>
      </c>
      <c r="BY4719" t="e">
        <f>IF(OR(cMed=0,cMed2=0,4717&gt;nFilas),NA(),IF(AND(ISNUMBER(INDEX(rMed2,4717)),ISNUMBER(INDEX(rMed,4717))),INDEX(rMed,4717),NA()))</f>
        <v>#N/A</v>
      </c>
    </row>
    <row r="4720">
      <c r="BX4720" t="e">
        <f>IF(OR(cMed=0,cMed2=0,4718&gt;nFilas),NA(),IF(AND(ISNUMBER(INDEX(rMed2,4718)),ISNUMBER(INDEX(rMed,4718))),INDEX(rMed2,4718),NA()))</f>
        <v>#N/A</v>
      </c>
      <c r="BY4720" t="e">
        <f>IF(OR(cMed=0,cMed2=0,4718&gt;nFilas),NA(),IF(AND(ISNUMBER(INDEX(rMed2,4718)),ISNUMBER(INDEX(rMed,4718))),INDEX(rMed,4718),NA()))</f>
        <v>#N/A</v>
      </c>
    </row>
    <row r="4721">
      <c r="BX4721" t="e">
        <f>IF(OR(cMed=0,cMed2=0,4719&gt;nFilas),NA(),IF(AND(ISNUMBER(INDEX(rMed2,4719)),ISNUMBER(INDEX(rMed,4719))),INDEX(rMed2,4719),NA()))</f>
        <v>#N/A</v>
      </c>
      <c r="BY4721" t="e">
        <f>IF(OR(cMed=0,cMed2=0,4719&gt;nFilas),NA(),IF(AND(ISNUMBER(INDEX(rMed2,4719)),ISNUMBER(INDEX(rMed,4719))),INDEX(rMed,4719),NA()))</f>
        <v>#N/A</v>
      </c>
    </row>
    <row r="4722">
      <c r="BX4722" t="e">
        <f>IF(OR(cMed=0,cMed2=0,4720&gt;nFilas),NA(),IF(AND(ISNUMBER(INDEX(rMed2,4720)),ISNUMBER(INDEX(rMed,4720))),INDEX(rMed2,4720),NA()))</f>
        <v>#N/A</v>
      </c>
      <c r="BY4722" t="e">
        <f>IF(OR(cMed=0,cMed2=0,4720&gt;nFilas),NA(),IF(AND(ISNUMBER(INDEX(rMed2,4720)),ISNUMBER(INDEX(rMed,4720))),INDEX(rMed,4720),NA()))</f>
        <v>#N/A</v>
      </c>
    </row>
    <row r="4723">
      <c r="BX4723" t="e">
        <f>IF(OR(cMed=0,cMed2=0,4721&gt;nFilas),NA(),IF(AND(ISNUMBER(INDEX(rMed2,4721)),ISNUMBER(INDEX(rMed,4721))),INDEX(rMed2,4721),NA()))</f>
        <v>#N/A</v>
      </c>
      <c r="BY4723" t="e">
        <f>IF(OR(cMed=0,cMed2=0,4721&gt;nFilas),NA(),IF(AND(ISNUMBER(INDEX(rMed2,4721)),ISNUMBER(INDEX(rMed,4721))),INDEX(rMed,4721),NA()))</f>
        <v>#N/A</v>
      </c>
    </row>
    <row r="4724">
      <c r="BX4724" t="e">
        <f>IF(OR(cMed=0,cMed2=0,4722&gt;nFilas),NA(),IF(AND(ISNUMBER(INDEX(rMed2,4722)),ISNUMBER(INDEX(rMed,4722))),INDEX(rMed2,4722),NA()))</f>
        <v>#N/A</v>
      </c>
      <c r="BY4724" t="e">
        <f>IF(OR(cMed=0,cMed2=0,4722&gt;nFilas),NA(),IF(AND(ISNUMBER(INDEX(rMed2,4722)),ISNUMBER(INDEX(rMed,4722))),INDEX(rMed,4722),NA()))</f>
        <v>#N/A</v>
      </c>
    </row>
    <row r="4725">
      <c r="BX4725" t="e">
        <f>IF(OR(cMed=0,cMed2=0,4723&gt;nFilas),NA(),IF(AND(ISNUMBER(INDEX(rMed2,4723)),ISNUMBER(INDEX(rMed,4723))),INDEX(rMed2,4723),NA()))</f>
        <v>#N/A</v>
      </c>
      <c r="BY4725" t="e">
        <f>IF(OR(cMed=0,cMed2=0,4723&gt;nFilas),NA(),IF(AND(ISNUMBER(INDEX(rMed2,4723)),ISNUMBER(INDEX(rMed,4723))),INDEX(rMed,4723),NA()))</f>
        <v>#N/A</v>
      </c>
    </row>
    <row r="4726">
      <c r="BX4726" t="e">
        <f>IF(OR(cMed=0,cMed2=0,4724&gt;nFilas),NA(),IF(AND(ISNUMBER(INDEX(rMed2,4724)),ISNUMBER(INDEX(rMed,4724))),INDEX(rMed2,4724),NA()))</f>
        <v>#N/A</v>
      </c>
      <c r="BY4726" t="e">
        <f>IF(OR(cMed=0,cMed2=0,4724&gt;nFilas),NA(),IF(AND(ISNUMBER(INDEX(rMed2,4724)),ISNUMBER(INDEX(rMed,4724))),INDEX(rMed,4724),NA()))</f>
        <v>#N/A</v>
      </c>
    </row>
    <row r="4727">
      <c r="BX4727" t="e">
        <f>IF(OR(cMed=0,cMed2=0,4725&gt;nFilas),NA(),IF(AND(ISNUMBER(INDEX(rMed2,4725)),ISNUMBER(INDEX(rMed,4725))),INDEX(rMed2,4725),NA()))</f>
        <v>#N/A</v>
      </c>
      <c r="BY4727" t="e">
        <f>IF(OR(cMed=0,cMed2=0,4725&gt;nFilas),NA(),IF(AND(ISNUMBER(INDEX(rMed2,4725)),ISNUMBER(INDEX(rMed,4725))),INDEX(rMed,4725),NA()))</f>
        <v>#N/A</v>
      </c>
    </row>
    <row r="4728">
      <c r="BX4728" t="e">
        <f>IF(OR(cMed=0,cMed2=0,4726&gt;nFilas),NA(),IF(AND(ISNUMBER(INDEX(rMed2,4726)),ISNUMBER(INDEX(rMed,4726))),INDEX(rMed2,4726),NA()))</f>
        <v>#N/A</v>
      </c>
      <c r="BY4728" t="e">
        <f>IF(OR(cMed=0,cMed2=0,4726&gt;nFilas),NA(),IF(AND(ISNUMBER(INDEX(rMed2,4726)),ISNUMBER(INDEX(rMed,4726))),INDEX(rMed,4726),NA()))</f>
        <v>#N/A</v>
      </c>
    </row>
    <row r="4729">
      <c r="BX4729" t="e">
        <f>IF(OR(cMed=0,cMed2=0,4727&gt;nFilas),NA(),IF(AND(ISNUMBER(INDEX(rMed2,4727)),ISNUMBER(INDEX(rMed,4727))),INDEX(rMed2,4727),NA()))</f>
        <v>#N/A</v>
      </c>
      <c r="BY4729" t="e">
        <f>IF(OR(cMed=0,cMed2=0,4727&gt;nFilas),NA(),IF(AND(ISNUMBER(INDEX(rMed2,4727)),ISNUMBER(INDEX(rMed,4727))),INDEX(rMed,4727),NA()))</f>
        <v>#N/A</v>
      </c>
    </row>
    <row r="4730">
      <c r="BX4730" t="e">
        <f>IF(OR(cMed=0,cMed2=0,4728&gt;nFilas),NA(),IF(AND(ISNUMBER(INDEX(rMed2,4728)),ISNUMBER(INDEX(rMed,4728))),INDEX(rMed2,4728),NA()))</f>
        <v>#N/A</v>
      </c>
      <c r="BY4730" t="e">
        <f>IF(OR(cMed=0,cMed2=0,4728&gt;nFilas),NA(),IF(AND(ISNUMBER(INDEX(rMed2,4728)),ISNUMBER(INDEX(rMed,4728))),INDEX(rMed,4728),NA()))</f>
        <v>#N/A</v>
      </c>
    </row>
    <row r="4731">
      <c r="BX4731" t="e">
        <f>IF(OR(cMed=0,cMed2=0,4729&gt;nFilas),NA(),IF(AND(ISNUMBER(INDEX(rMed2,4729)),ISNUMBER(INDEX(rMed,4729))),INDEX(rMed2,4729),NA()))</f>
        <v>#N/A</v>
      </c>
      <c r="BY4731" t="e">
        <f>IF(OR(cMed=0,cMed2=0,4729&gt;nFilas),NA(),IF(AND(ISNUMBER(INDEX(rMed2,4729)),ISNUMBER(INDEX(rMed,4729))),INDEX(rMed,4729),NA()))</f>
        <v>#N/A</v>
      </c>
    </row>
    <row r="4732">
      <c r="BX4732" t="e">
        <f>IF(OR(cMed=0,cMed2=0,4730&gt;nFilas),NA(),IF(AND(ISNUMBER(INDEX(rMed2,4730)),ISNUMBER(INDEX(rMed,4730))),INDEX(rMed2,4730),NA()))</f>
        <v>#N/A</v>
      </c>
      <c r="BY4732" t="e">
        <f>IF(OR(cMed=0,cMed2=0,4730&gt;nFilas),NA(),IF(AND(ISNUMBER(INDEX(rMed2,4730)),ISNUMBER(INDEX(rMed,4730))),INDEX(rMed,4730),NA()))</f>
        <v>#N/A</v>
      </c>
    </row>
    <row r="4733">
      <c r="BX4733" t="e">
        <f>IF(OR(cMed=0,cMed2=0,4731&gt;nFilas),NA(),IF(AND(ISNUMBER(INDEX(rMed2,4731)),ISNUMBER(INDEX(rMed,4731))),INDEX(rMed2,4731),NA()))</f>
        <v>#N/A</v>
      </c>
      <c r="BY4733" t="e">
        <f>IF(OR(cMed=0,cMed2=0,4731&gt;nFilas),NA(),IF(AND(ISNUMBER(INDEX(rMed2,4731)),ISNUMBER(INDEX(rMed,4731))),INDEX(rMed,4731),NA()))</f>
        <v>#N/A</v>
      </c>
    </row>
    <row r="4734">
      <c r="BX4734" t="e">
        <f>IF(OR(cMed=0,cMed2=0,4732&gt;nFilas),NA(),IF(AND(ISNUMBER(INDEX(rMed2,4732)),ISNUMBER(INDEX(rMed,4732))),INDEX(rMed2,4732),NA()))</f>
        <v>#N/A</v>
      </c>
      <c r="BY4734" t="e">
        <f>IF(OR(cMed=0,cMed2=0,4732&gt;nFilas),NA(),IF(AND(ISNUMBER(INDEX(rMed2,4732)),ISNUMBER(INDEX(rMed,4732))),INDEX(rMed,4732),NA()))</f>
        <v>#N/A</v>
      </c>
    </row>
    <row r="4735">
      <c r="BX4735" t="e">
        <f>IF(OR(cMed=0,cMed2=0,4733&gt;nFilas),NA(),IF(AND(ISNUMBER(INDEX(rMed2,4733)),ISNUMBER(INDEX(rMed,4733))),INDEX(rMed2,4733),NA()))</f>
        <v>#N/A</v>
      </c>
      <c r="BY4735" t="e">
        <f>IF(OR(cMed=0,cMed2=0,4733&gt;nFilas),NA(),IF(AND(ISNUMBER(INDEX(rMed2,4733)),ISNUMBER(INDEX(rMed,4733))),INDEX(rMed,4733),NA()))</f>
        <v>#N/A</v>
      </c>
    </row>
    <row r="4736">
      <c r="BX4736" t="e">
        <f>IF(OR(cMed=0,cMed2=0,4734&gt;nFilas),NA(),IF(AND(ISNUMBER(INDEX(rMed2,4734)),ISNUMBER(INDEX(rMed,4734))),INDEX(rMed2,4734),NA()))</f>
        <v>#N/A</v>
      </c>
      <c r="BY4736" t="e">
        <f>IF(OR(cMed=0,cMed2=0,4734&gt;nFilas),NA(),IF(AND(ISNUMBER(INDEX(rMed2,4734)),ISNUMBER(INDEX(rMed,4734))),INDEX(rMed,4734),NA()))</f>
        <v>#N/A</v>
      </c>
    </row>
    <row r="4737">
      <c r="BX4737" t="e">
        <f>IF(OR(cMed=0,cMed2=0,4735&gt;nFilas),NA(),IF(AND(ISNUMBER(INDEX(rMed2,4735)),ISNUMBER(INDEX(rMed,4735))),INDEX(rMed2,4735),NA()))</f>
        <v>#N/A</v>
      </c>
      <c r="BY4737" t="e">
        <f>IF(OR(cMed=0,cMed2=0,4735&gt;nFilas),NA(),IF(AND(ISNUMBER(INDEX(rMed2,4735)),ISNUMBER(INDEX(rMed,4735))),INDEX(rMed,4735),NA()))</f>
        <v>#N/A</v>
      </c>
    </row>
    <row r="4738">
      <c r="BX4738" t="e">
        <f>IF(OR(cMed=0,cMed2=0,4736&gt;nFilas),NA(),IF(AND(ISNUMBER(INDEX(rMed2,4736)),ISNUMBER(INDEX(rMed,4736))),INDEX(rMed2,4736),NA()))</f>
        <v>#N/A</v>
      </c>
      <c r="BY4738" t="e">
        <f>IF(OR(cMed=0,cMed2=0,4736&gt;nFilas),NA(),IF(AND(ISNUMBER(INDEX(rMed2,4736)),ISNUMBER(INDEX(rMed,4736))),INDEX(rMed,4736),NA()))</f>
        <v>#N/A</v>
      </c>
    </row>
    <row r="4739">
      <c r="BX4739" t="e">
        <f>IF(OR(cMed=0,cMed2=0,4737&gt;nFilas),NA(),IF(AND(ISNUMBER(INDEX(rMed2,4737)),ISNUMBER(INDEX(rMed,4737))),INDEX(rMed2,4737),NA()))</f>
        <v>#N/A</v>
      </c>
      <c r="BY4739" t="e">
        <f>IF(OR(cMed=0,cMed2=0,4737&gt;nFilas),NA(),IF(AND(ISNUMBER(INDEX(rMed2,4737)),ISNUMBER(INDEX(rMed,4737))),INDEX(rMed,4737),NA()))</f>
        <v>#N/A</v>
      </c>
    </row>
    <row r="4740">
      <c r="BX4740" t="e">
        <f>IF(OR(cMed=0,cMed2=0,4738&gt;nFilas),NA(),IF(AND(ISNUMBER(INDEX(rMed2,4738)),ISNUMBER(INDEX(rMed,4738))),INDEX(rMed2,4738),NA()))</f>
        <v>#N/A</v>
      </c>
      <c r="BY4740" t="e">
        <f>IF(OR(cMed=0,cMed2=0,4738&gt;nFilas),NA(),IF(AND(ISNUMBER(INDEX(rMed2,4738)),ISNUMBER(INDEX(rMed,4738))),INDEX(rMed,4738),NA()))</f>
        <v>#N/A</v>
      </c>
    </row>
    <row r="4741">
      <c r="BX4741" t="e">
        <f>IF(OR(cMed=0,cMed2=0,4739&gt;nFilas),NA(),IF(AND(ISNUMBER(INDEX(rMed2,4739)),ISNUMBER(INDEX(rMed,4739))),INDEX(rMed2,4739),NA()))</f>
        <v>#N/A</v>
      </c>
      <c r="BY4741" t="e">
        <f>IF(OR(cMed=0,cMed2=0,4739&gt;nFilas),NA(),IF(AND(ISNUMBER(INDEX(rMed2,4739)),ISNUMBER(INDEX(rMed,4739))),INDEX(rMed,4739),NA()))</f>
        <v>#N/A</v>
      </c>
    </row>
    <row r="4742">
      <c r="BX4742" t="e">
        <f>IF(OR(cMed=0,cMed2=0,4740&gt;nFilas),NA(),IF(AND(ISNUMBER(INDEX(rMed2,4740)),ISNUMBER(INDEX(rMed,4740))),INDEX(rMed2,4740),NA()))</f>
        <v>#N/A</v>
      </c>
      <c r="BY4742" t="e">
        <f>IF(OR(cMed=0,cMed2=0,4740&gt;nFilas),NA(),IF(AND(ISNUMBER(INDEX(rMed2,4740)),ISNUMBER(INDEX(rMed,4740))),INDEX(rMed,4740),NA()))</f>
        <v>#N/A</v>
      </c>
    </row>
    <row r="4743">
      <c r="BX4743" t="e">
        <f>IF(OR(cMed=0,cMed2=0,4741&gt;nFilas),NA(),IF(AND(ISNUMBER(INDEX(rMed2,4741)),ISNUMBER(INDEX(rMed,4741))),INDEX(rMed2,4741),NA()))</f>
        <v>#N/A</v>
      </c>
      <c r="BY4743" t="e">
        <f>IF(OR(cMed=0,cMed2=0,4741&gt;nFilas),NA(),IF(AND(ISNUMBER(INDEX(rMed2,4741)),ISNUMBER(INDEX(rMed,4741))),INDEX(rMed,4741),NA()))</f>
        <v>#N/A</v>
      </c>
    </row>
    <row r="4744">
      <c r="BX4744" t="e">
        <f>IF(OR(cMed=0,cMed2=0,4742&gt;nFilas),NA(),IF(AND(ISNUMBER(INDEX(rMed2,4742)),ISNUMBER(INDEX(rMed,4742))),INDEX(rMed2,4742),NA()))</f>
        <v>#N/A</v>
      </c>
      <c r="BY4744" t="e">
        <f>IF(OR(cMed=0,cMed2=0,4742&gt;nFilas),NA(),IF(AND(ISNUMBER(INDEX(rMed2,4742)),ISNUMBER(INDEX(rMed,4742))),INDEX(rMed,4742),NA()))</f>
        <v>#N/A</v>
      </c>
    </row>
    <row r="4745">
      <c r="BX4745" t="e">
        <f>IF(OR(cMed=0,cMed2=0,4743&gt;nFilas),NA(),IF(AND(ISNUMBER(INDEX(rMed2,4743)),ISNUMBER(INDEX(rMed,4743))),INDEX(rMed2,4743),NA()))</f>
        <v>#N/A</v>
      </c>
      <c r="BY4745" t="e">
        <f>IF(OR(cMed=0,cMed2=0,4743&gt;nFilas),NA(),IF(AND(ISNUMBER(INDEX(rMed2,4743)),ISNUMBER(INDEX(rMed,4743))),INDEX(rMed,4743),NA()))</f>
        <v>#N/A</v>
      </c>
    </row>
    <row r="4746">
      <c r="BX4746" t="e">
        <f>IF(OR(cMed=0,cMed2=0,4744&gt;nFilas),NA(),IF(AND(ISNUMBER(INDEX(rMed2,4744)),ISNUMBER(INDEX(rMed,4744))),INDEX(rMed2,4744),NA()))</f>
        <v>#N/A</v>
      </c>
      <c r="BY4746" t="e">
        <f>IF(OR(cMed=0,cMed2=0,4744&gt;nFilas),NA(),IF(AND(ISNUMBER(INDEX(rMed2,4744)),ISNUMBER(INDEX(rMed,4744))),INDEX(rMed,4744),NA()))</f>
        <v>#N/A</v>
      </c>
    </row>
    <row r="4747">
      <c r="BX4747" t="e">
        <f>IF(OR(cMed=0,cMed2=0,4745&gt;nFilas),NA(),IF(AND(ISNUMBER(INDEX(rMed2,4745)),ISNUMBER(INDEX(rMed,4745))),INDEX(rMed2,4745),NA()))</f>
        <v>#N/A</v>
      </c>
      <c r="BY4747" t="e">
        <f>IF(OR(cMed=0,cMed2=0,4745&gt;nFilas),NA(),IF(AND(ISNUMBER(INDEX(rMed2,4745)),ISNUMBER(INDEX(rMed,4745))),INDEX(rMed,4745),NA()))</f>
        <v>#N/A</v>
      </c>
    </row>
    <row r="4748">
      <c r="BX4748" t="e">
        <f>IF(OR(cMed=0,cMed2=0,4746&gt;nFilas),NA(),IF(AND(ISNUMBER(INDEX(rMed2,4746)),ISNUMBER(INDEX(rMed,4746))),INDEX(rMed2,4746),NA()))</f>
        <v>#N/A</v>
      </c>
      <c r="BY4748" t="e">
        <f>IF(OR(cMed=0,cMed2=0,4746&gt;nFilas),NA(),IF(AND(ISNUMBER(INDEX(rMed2,4746)),ISNUMBER(INDEX(rMed,4746))),INDEX(rMed,4746),NA()))</f>
        <v>#N/A</v>
      </c>
    </row>
    <row r="4749">
      <c r="BX4749" t="e">
        <f>IF(OR(cMed=0,cMed2=0,4747&gt;nFilas),NA(),IF(AND(ISNUMBER(INDEX(rMed2,4747)),ISNUMBER(INDEX(rMed,4747))),INDEX(rMed2,4747),NA()))</f>
        <v>#N/A</v>
      </c>
      <c r="BY4749" t="e">
        <f>IF(OR(cMed=0,cMed2=0,4747&gt;nFilas),NA(),IF(AND(ISNUMBER(INDEX(rMed2,4747)),ISNUMBER(INDEX(rMed,4747))),INDEX(rMed,4747),NA()))</f>
        <v>#N/A</v>
      </c>
    </row>
    <row r="4750">
      <c r="BX4750" t="e">
        <f>IF(OR(cMed=0,cMed2=0,4748&gt;nFilas),NA(),IF(AND(ISNUMBER(INDEX(rMed2,4748)),ISNUMBER(INDEX(rMed,4748))),INDEX(rMed2,4748),NA()))</f>
        <v>#N/A</v>
      </c>
      <c r="BY4750" t="e">
        <f>IF(OR(cMed=0,cMed2=0,4748&gt;nFilas),NA(),IF(AND(ISNUMBER(INDEX(rMed2,4748)),ISNUMBER(INDEX(rMed,4748))),INDEX(rMed,4748),NA()))</f>
        <v>#N/A</v>
      </c>
    </row>
    <row r="4751">
      <c r="BX4751" t="e">
        <f>IF(OR(cMed=0,cMed2=0,4749&gt;nFilas),NA(),IF(AND(ISNUMBER(INDEX(rMed2,4749)),ISNUMBER(INDEX(rMed,4749))),INDEX(rMed2,4749),NA()))</f>
        <v>#N/A</v>
      </c>
      <c r="BY4751" t="e">
        <f>IF(OR(cMed=0,cMed2=0,4749&gt;nFilas),NA(),IF(AND(ISNUMBER(INDEX(rMed2,4749)),ISNUMBER(INDEX(rMed,4749))),INDEX(rMed,4749),NA()))</f>
        <v>#N/A</v>
      </c>
    </row>
    <row r="4752">
      <c r="BX4752" t="e">
        <f>IF(OR(cMed=0,cMed2=0,4750&gt;nFilas),NA(),IF(AND(ISNUMBER(INDEX(rMed2,4750)),ISNUMBER(INDEX(rMed,4750))),INDEX(rMed2,4750),NA()))</f>
        <v>#N/A</v>
      </c>
      <c r="BY4752" t="e">
        <f>IF(OR(cMed=0,cMed2=0,4750&gt;nFilas),NA(),IF(AND(ISNUMBER(INDEX(rMed2,4750)),ISNUMBER(INDEX(rMed,4750))),INDEX(rMed,4750),NA()))</f>
        <v>#N/A</v>
      </c>
    </row>
    <row r="4753">
      <c r="BX4753" t="e">
        <f>IF(OR(cMed=0,cMed2=0,4751&gt;nFilas),NA(),IF(AND(ISNUMBER(INDEX(rMed2,4751)),ISNUMBER(INDEX(rMed,4751))),INDEX(rMed2,4751),NA()))</f>
        <v>#N/A</v>
      </c>
      <c r="BY4753" t="e">
        <f>IF(OR(cMed=0,cMed2=0,4751&gt;nFilas),NA(),IF(AND(ISNUMBER(INDEX(rMed2,4751)),ISNUMBER(INDEX(rMed,4751))),INDEX(rMed,4751),NA()))</f>
        <v>#N/A</v>
      </c>
    </row>
    <row r="4754">
      <c r="BX4754" t="e">
        <f>IF(OR(cMed=0,cMed2=0,4752&gt;nFilas),NA(),IF(AND(ISNUMBER(INDEX(rMed2,4752)),ISNUMBER(INDEX(rMed,4752))),INDEX(rMed2,4752),NA()))</f>
        <v>#N/A</v>
      </c>
      <c r="BY4754" t="e">
        <f>IF(OR(cMed=0,cMed2=0,4752&gt;nFilas),NA(),IF(AND(ISNUMBER(INDEX(rMed2,4752)),ISNUMBER(INDEX(rMed,4752))),INDEX(rMed,4752),NA()))</f>
        <v>#N/A</v>
      </c>
    </row>
    <row r="4755">
      <c r="BX4755" t="e">
        <f>IF(OR(cMed=0,cMed2=0,4753&gt;nFilas),NA(),IF(AND(ISNUMBER(INDEX(rMed2,4753)),ISNUMBER(INDEX(rMed,4753))),INDEX(rMed2,4753),NA()))</f>
        <v>#N/A</v>
      </c>
      <c r="BY4755" t="e">
        <f>IF(OR(cMed=0,cMed2=0,4753&gt;nFilas),NA(),IF(AND(ISNUMBER(INDEX(rMed2,4753)),ISNUMBER(INDEX(rMed,4753))),INDEX(rMed,4753),NA()))</f>
        <v>#N/A</v>
      </c>
    </row>
    <row r="4756">
      <c r="BX4756" t="e">
        <f>IF(OR(cMed=0,cMed2=0,4754&gt;nFilas),NA(),IF(AND(ISNUMBER(INDEX(rMed2,4754)),ISNUMBER(INDEX(rMed,4754))),INDEX(rMed2,4754),NA()))</f>
        <v>#N/A</v>
      </c>
      <c r="BY4756" t="e">
        <f>IF(OR(cMed=0,cMed2=0,4754&gt;nFilas),NA(),IF(AND(ISNUMBER(INDEX(rMed2,4754)),ISNUMBER(INDEX(rMed,4754))),INDEX(rMed,4754),NA()))</f>
        <v>#N/A</v>
      </c>
    </row>
    <row r="4757">
      <c r="BX4757" t="e">
        <f>IF(OR(cMed=0,cMed2=0,4755&gt;nFilas),NA(),IF(AND(ISNUMBER(INDEX(rMed2,4755)),ISNUMBER(INDEX(rMed,4755))),INDEX(rMed2,4755),NA()))</f>
        <v>#N/A</v>
      </c>
      <c r="BY4757" t="e">
        <f>IF(OR(cMed=0,cMed2=0,4755&gt;nFilas),NA(),IF(AND(ISNUMBER(INDEX(rMed2,4755)),ISNUMBER(INDEX(rMed,4755))),INDEX(rMed,4755),NA()))</f>
        <v>#N/A</v>
      </c>
    </row>
    <row r="4758">
      <c r="BX4758" t="e">
        <f>IF(OR(cMed=0,cMed2=0,4756&gt;nFilas),NA(),IF(AND(ISNUMBER(INDEX(rMed2,4756)),ISNUMBER(INDEX(rMed,4756))),INDEX(rMed2,4756),NA()))</f>
        <v>#N/A</v>
      </c>
      <c r="BY4758" t="e">
        <f>IF(OR(cMed=0,cMed2=0,4756&gt;nFilas),NA(),IF(AND(ISNUMBER(INDEX(rMed2,4756)),ISNUMBER(INDEX(rMed,4756))),INDEX(rMed,4756),NA()))</f>
        <v>#N/A</v>
      </c>
    </row>
    <row r="4759">
      <c r="BX4759" t="e">
        <f>IF(OR(cMed=0,cMed2=0,4757&gt;nFilas),NA(),IF(AND(ISNUMBER(INDEX(rMed2,4757)),ISNUMBER(INDEX(rMed,4757))),INDEX(rMed2,4757),NA()))</f>
        <v>#N/A</v>
      </c>
      <c r="BY4759" t="e">
        <f>IF(OR(cMed=0,cMed2=0,4757&gt;nFilas),NA(),IF(AND(ISNUMBER(INDEX(rMed2,4757)),ISNUMBER(INDEX(rMed,4757))),INDEX(rMed,4757),NA()))</f>
        <v>#N/A</v>
      </c>
    </row>
    <row r="4760">
      <c r="BX4760" t="e">
        <f>IF(OR(cMed=0,cMed2=0,4758&gt;nFilas),NA(),IF(AND(ISNUMBER(INDEX(rMed2,4758)),ISNUMBER(INDEX(rMed,4758))),INDEX(rMed2,4758),NA()))</f>
        <v>#N/A</v>
      </c>
      <c r="BY4760" t="e">
        <f>IF(OR(cMed=0,cMed2=0,4758&gt;nFilas),NA(),IF(AND(ISNUMBER(INDEX(rMed2,4758)),ISNUMBER(INDEX(rMed,4758))),INDEX(rMed,4758),NA()))</f>
        <v>#N/A</v>
      </c>
    </row>
    <row r="4761">
      <c r="BX4761" t="e">
        <f>IF(OR(cMed=0,cMed2=0,4759&gt;nFilas),NA(),IF(AND(ISNUMBER(INDEX(rMed2,4759)),ISNUMBER(INDEX(rMed,4759))),INDEX(rMed2,4759),NA()))</f>
        <v>#N/A</v>
      </c>
      <c r="BY4761" t="e">
        <f>IF(OR(cMed=0,cMed2=0,4759&gt;nFilas),NA(),IF(AND(ISNUMBER(INDEX(rMed2,4759)),ISNUMBER(INDEX(rMed,4759))),INDEX(rMed,4759),NA()))</f>
        <v>#N/A</v>
      </c>
    </row>
    <row r="4762">
      <c r="BX4762" t="e">
        <f>IF(OR(cMed=0,cMed2=0,4760&gt;nFilas),NA(),IF(AND(ISNUMBER(INDEX(rMed2,4760)),ISNUMBER(INDEX(rMed,4760))),INDEX(rMed2,4760),NA()))</f>
        <v>#N/A</v>
      </c>
      <c r="BY4762" t="e">
        <f>IF(OR(cMed=0,cMed2=0,4760&gt;nFilas),NA(),IF(AND(ISNUMBER(INDEX(rMed2,4760)),ISNUMBER(INDEX(rMed,4760))),INDEX(rMed,4760),NA()))</f>
        <v>#N/A</v>
      </c>
    </row>
    <row r="4763">
      <c r="BX4763" t="e">
        <f>IF(OR(cMed=0,cMed2=0,4761&gt;nFilas),NA(),IF(AND(ISNUMBER(INDEX(rMed2,4761)),ISNUMBER(INDEX(rMed,4761))),INDEX(rMed2,4761),NA()))</f>
        <v>#N/A</v>
      </c>
      <c r="BY4763" t="e">
        <f>IF(OR(cMed=0,cMed2=0,4761&gt;nFilas),NA(),IF(AND(ISNUMBER(INDEX(rMed2,4761)),ISNUMBER(INDEX(rMed,4761))),INDEX(rMed,4761),NA()))</f>
        <v>#N/A</v>
      </c>
    </row>
    <row r="4764">
      <c r="BX4764" t="e">
        <f>IF(OR(cMed=0,cMed2=0,4762&gt;nFilas),NA(),IF(AND(ISNUMBER(INDEX(rMed2,4762)),ISNUMBER(INDEX(rMed,4762))),INDEX(rMed2,4762),NA()))</f>
        <v>#N/A</v>
      </c>
      <c r="BY4764" t="e">
        <f>IF(OR(cMed=0,cMed2=0,4762&gt;nFilas),NA(),IF(AND(ISNUMBER(INDEX(rMed2,4762)),ISNUMBER(INDEX(rMed,4762))),INDEX(rMed,4762),NA()))</f>
        <v>#N/A</v>
      </c>
    </row>
    <row r="4765">
      <c r="BX4765" t="e">
        <f>IF(OR(cMed=0,cMed2=0,4763&gt;nFilas),NA(),IF(AND(ISNUMBER(INDEX(rMed2,4763)),ISNUMBER(INDEX(rMed,4763))),INDEX(rMed2,4763),NA()))</f>
        <v>#N/A</v>
      </c>
      <c r="BY4765" t="e">
        <f>IF(OR(cMed=0,cMed2=0,4763&gt;nFilas),NA(),IF(AND(ISNUMBER(INDEX(rMed2,4763)),ISNUMBER(INDEX(rMed,4763))),INDEX(rMed,4763),NA()))</f>
        <v>#N/A</v>
      </c>
    </row>
    <row r="4766">
      <c r="BX4766" t="e">
        <f>IF(OR(cMed=0,cMed2=0,4764&gt;nFilas),NA(),IF(AND(ISNUMBER(INDEX(rMed2,4764)),ISNUMBER(INDEX(rMed,4764))),INDEX(rMed2,4764),NA()))</f>
        <v>#N/A</v>
      </c>
      <c r="BY4766" t="e">
        <f>IF(OR(cMed=0,cMed2=0,4764&gt;nFilas),NA(),IF(AND(ISNUMBER(INDEX(rMed2,4764)),ISNUMBER(INDEX(rMed,4764))),INDEX(rMed,4764),NA()))</f>
        <v>#N/A</v>
      </c>
    </row>
    <row r="4767">
      <c r="BX4767" t="e">
        <f>IF(OR(cMed=0,cMed2=0,4765&gt;nFilas),NA(),IF(AND(ISNUMBER(INDEX(rMed2,4765)),ISNUMBER(INDEX(rMed,4765))),INDEX(rMed2,4765),NA()))</f>
        <v>#N/A</v>
      </c>
      <c r="BY4767" t="e">
        <f>IF(OR(cMed=0,cMed2=0,4765&gt;nFilas),NA(),IF(AND(ISNUMBER(INDEX(rMed2,4765)),ISNUMBER(INDEX(rMed,4765))),INDEX(rMed,4765),NA()))</f>
        <v>#N/A</v>
      </c>
    </row>
    <row r="4768">
      <c r="BX4768" t="e">
        <f>IF(OR(cMed=0,cMed2=0,4766&gt;nFilas),NA(),IF(AND(ISNUMBER(INDEX(rMed2,4766)),ISNUMBER(INDEX(rMed,4766))),INDEX(rMed2,4766),NA()))</f>
        <v>#N/A</v>
      </c>
      <c r="BY4768" t="e">
        <f>IF(OR(cMed=0,cMed2=0,4766&gt;nFilas),NA(),IF(AND(ISNUMBER(INDEX(rMed2,4766)),ISNUMBER(INDEX(rMed,4766))),INDEX(rMed,4766),NA()))</f>
        <v>#N/A</v>
      </c>
    </row>
    <row r="4769">
      <c r="BX4769" t="e">
        <f>IF(OR(cMed=0,cMed2=0,4767&gt;nFilas),NA(),IF(AND(ISNUMBER(INDEX(rMed2,4767)),ISNUMBER(INDEX(rMed,4767))),INDEX(rMed2,4767),NA()))</f>
        <v>#N/A</v>
      </c>
      <c r="BY4769" t="e">
        <f>IF(OR(cMed=0,cMed2=0,4767&gt;nFilas),NA(),IF(AND(ISNUMBER(INDEX(rMed2,4767)),ISNUMBER(INDEX(rMed,4767))),INDEX(rMed,4767),NA()))</f>
        <v>#N/A</v>
      </c>
    </row>
    <row r="4770">
      <c r="BX4770" t="e">
        <f>IF(OR(cMed=0,cMed2=0,4768&gt;nFilas),NA(),IF(AND(ISNUMBER(INDEX(rMed2,4768)),ISNUMBER(INDEX(rMed,4768))),INDEX(rMed2,4768),NA()))</f>
        <v>#N/A</v>
      </c>
      <c r="BY4770" t="e">
        <f>IF(OR(cMed=0,cMed2=0,4768&gt;nFilas),NA(),IF(AND(ISNUMBER(INDEX(rMed2,4768)),ISNUMBER(INDEX(rMed,4768))),INDEX(rMed,4768),NA()))</f>
        <v>#N/A</v>
      </c>
    </row>
    <row r="4771">
      <c r="BX4771" t="e">
        <f>IF(OR(cMed=0,cMed2=0,4769&gt;nFilas),NA(),IF(AND(ISNUMBER(INDEX(rMed2,4769)),ISNUMBER(INDEX(rMed,4769))),INDEX(rMed2,4769),NA()))</f>
        <v>#N/A</v>
      </c>
      <c r="BY4771" t="e">
        <f>IF(OR(cMed=0,cMed2=0,4769&gt;nFilas),NA(),IF(AND(ISNUMBER(INDEX(rMed2,4769)),ISNUMBER(INDEX(rMed,4769))),INDEX(rMed,4769),NA()))</f>
        <v>#N/A</v>
      </c>
    </row>
    <row r="4772">
      <c r="BX4772" t="e">
        <f>IF(OR(cMed=0,cMed2=0,4770&gt;nFilas),NA(),IF(AND(ISNUMBER(INDEX(rMed2,4770)),ISNUMBER(INDEX(rMed,4770))),INDEX(rMed2,4770),NA()))</f>
        <v>#N/A</v>
      </c>
      <c r="BY4772" t="e">
        <f>IF(OR(cMed=0,cMed2=0,4770&gt;nFilas),NA(),IF(AND(ISNUMBER(INDEX(rMed2,4770)),ISNUMBER(INDEX(rMed,4770))),INDEX(rMed,4770),NA()))</f>
        <v>#N/A</v>
      </c>
    </row>
    <row r="4773">
      <c r="BX4773" t="e">
        <f>IF(OR(cMed=0,cMed2=0,4771&gt;nFilas),NA(),IF(AND(ISNUMBER(INDEX(rMed2,4771)),ISNUMBER(INDEX(rMed,4771))),INDEX(rMed2,4771),NA()))</f>
        <v>#N/A</v>
      </c>
      <c r="BY4773" t="e">
        <f>IF(OR(cMed=0,cMed2=0,4771&gt;nFilas),NA(),IF(AND(ISNUMBER(INDEX(rMed2,4771)),ISNUMBER(INDEX(rMed,4771))),INDEX(rMed,4771),NA()))</f>
        <v>#N/A</v>
      </c>
    </row>
    <row r="4774">
      <c r="BX4774" t="e">
        <f>IF(OR(cMed=0,cMed2=0,4772&gt;nFilas),NA(),IF(AND(ISNUMBER(INDEX(rMed2,4772)),ISNUMBER(INDEX(rMed,4772))),INDEX(rMed2,4772),NA()))</f>
        <v>#N/A</v>
      </c>
      <c r="BY4774" t="e">
        <f>IF(OR(cMed=0,cMed2=0,4772&gt;nFilas),NA(),IF(AND(ISNUMBER(INDEX(rMed2,4772)),ISNUMBER(INDEX(rMed,4772))),INDEX(rMed,4772),NA()))</f>
        <v>#N/A</v>
      </c>
    </row>
    <row r="4775">
      <c r="BX4775" t="e">
        <f>IF(OR(cMed=0,cMed2=0,4773&gt;nFilas),NA(),IF(AND(ISNUMBER(INDEX(rMed2,4773)),ISNUMBER(INDEX(rMed,4773))),INDEX(rMed2,4773),NA()))</f>
        <v>#N/A</v>
      </c>
      <c r="BY4775" t="e">
        <f>IF(OR(cMed=0,cMed2=0,4773&gt;nFilas),NA(),IF(AND(ISNUMBER(INDEX(rMed2,4773)),ISNUMBER(INDEX(rMed,4773))),INDEX(rMed,4773),NA()))</f>
        <v>#N/A</v>
      </c>
    </row>
    <row r="4776">
      <c r="BX4776" t="e">
        <f>IF(OR(cMed=0,cMed2=0,4774&gt;nFilas),NA(),IF(AND(ISNUMBER(INDEX(rMed2,4774)),ISNUMBER(INDEX(rMed,4774))),INDEX(rMed2,4774),NA()))</f>
        <v>#N/A</v>
      </c>
      <c r="BY4776" t="e">
        <f>IF(OR(cMed=0,cMed2=0,4774&gt;nFilas),NA(),IF(AND(ISNUMBER(INDEX(rMed2,4774)),ISNUMBER(INDEX(rMed,4774))),INDEX(rMed,4774),NA()))</f>
        <v>#N/A</v>
      </c>
    </row>
    <row r="4777">
      <c r="BX4777" t="e">
        <f>IF(OR(cMed=0,cMed2=0,4775&gt;nFilas),NA(),IF(AND(ISNUMBER(INDEX(rMed2,4775)),ISNUMBER(INDEX(rMed,4775))),INDEX(rMed2,4775),NA()))</f>
        <v>#N/A</v>
      </c>
      <c r="BY4777" t="e">
        <f>IF(OR(cMed=0,cMed2=0,4775&gt;nFilas),NA(),IF(AND(ISNUMBER(INDEX(rMed2,4775)),ISNUMBER(INDEX(rMed,4775))),INDEX(rMed,4775),NA()))</f>
        <v>#N/A</v>
      </c>
    </row>
    <row r="4778">
      <c r="BX4778" t="e">
        <f>IF(OR(cMed=0,cMed2=0,4776&gt;nFilas),NA(),IF(AND(ISNUMBER(INDEX(rMed2,4776)),ISNUMBER(INDEX(rMed,4776))),INDEX(rMed2,4776),NA()))</f>
        <v>#N/A</v>
      </c>
      <c r="BY4778" t="e">
        <f>IF(OR(cMed=0,cMed2=0,4776&gt;nFilas),NA(),IF(AND(ISNUMBER(INDEX(rMed2,4776)),ISNUMBER(INDEX(rMed,4776))),INDEX(rMed,4776),NA()))</f>
        <v>#N/A</v>
      </c>
    </row>
    <row r="4779">
      <c r="BX4779" t="e">
        <f>IF(OR(cMed=0,cMed2=0,4777&gt;nFilas),NA(),IF(AND(ISNUMBER(INDEX(rMed2,4777)),ISNUMBER(INDEX(rMed,4777))),INDEX(rMed2,4777),NA()))</f>
        <v>#N/A</v>
      </c>
      <c r="BY4779" t="e">
        <f>IF(OR(cMed=0,cMed2=0,4777&gt;nFilas),NA(),IF(AND(ISNUMBER(INDEX(rMed2,4777)),ISNUMBER(INDEX(rMed,4777))),INDEX(rMed,4777),NA()))</f>
        <v>#N/A</v>
      </c>
    </row>
    <row r="4780">
      <c r="BX4780" t="e">
        <f>IF(OR(cMed=0,cMed2=0,4778&gt;nFilas),NA(),IF(AND(ISNUMBER(INDEX(rMed2,4778)),ISNUMBER(INDEX(rMed,4778))),INDEX(rMed2,4778),NA()))</f>
        <v>#N/A</v>
      </c>
      <c r="BY4780" t="e">
        <f>IF(OR(cMed=0,cMed2=0,4778&gt;nFilas),NA(),IF(AND(ISNUMBER(INDEX(rMed2,4778)),ISNUMBER(INDEX(rMed,4778))),INDEX(rMed,4778),NA()))</f>
        <v>#N/A</v>
      </c>
    </row>
    <row r="4781">
      <c r="BX4781" t="e">
        <f>IF(OR(cMed=0,cMed2=0,4779&gt;nFilas),NA(),IF(AND(ISNUMBER(INDEX(rMed2,4779)),ISNUMBER(INDEX(rMed,4779))),INDEX(rMed2,4779),NA()))</f>
        <v>#N/A</v>
      </c>
      <c r="BY4781" t="e">
        <f>IF(OR(cMed=0,cMed2=0,4779&gt;nFilas),NA(),IF(AND(ISNUMBER(INDEX(rMed2,4779)),ISNUMBER(INDEX(rMed,4779))),INDEX(rMed,4779),NA()))</f>
        <v>#N/A</v>
      </c>
    </row>
    <row r="4782">
      <c r="BX4782" t="e">
        <f>IF(OR(cMed=0,cMed2=0,4780&gt;nFilas),NA(),IF(AND(ISNUMBER(INDEX(rMed2,4780)),ISNUMBER(INDEX(rMed,4780))),INDEX(rMed2,4780),NA()))</f>
        <v>#N/A</v>
      </c>
      <c r="BY4782" t="e">
        <f>IF(OR(cMed=0,cMed2=0,4780&gt;nFilas),NA(),IF(AND(ISNUMBER(INDEX(rMed2,4780)),ISNUMBER(INDEX(rMed,4780))),INDEX(rMed,4780),NA()))</f>
        <v>#N/A</v>
      </c>
    </row>
    <row r="4783">
      <c r="BX4783" t="e">
        <f>IF(OR(cMed=0,cMed2=0,4781&gt;nFilas),NA(),IF(AND(ISNUMBER(INDEX(rMed2,4781)),ISNUMBER(INDEX(rMed,4781))),INDEX(rMed2,4781),NA()))</f>
        <v>#N/A</v>
      </c>
      <c r="BY4783" t="e">
        <f>IF(OR(cMed=0,cMed2=0,4781&gt;nFilas),NA(),IF(AND(ISNUMBER(INDEX(rMed2,4781)),ISNUMBER(INDEX(rMed,4781))),INDEX(rMed,4781),NA()))</f>
        <v>#N/A</v>
      </c>
    </row>
    <row r="4784">
      <c r="BX4784" t="e">
        <f>IF(OR(cMed=0,cMed2=0,4782&gt;nFilas),NA(),IF(AND(ISNUMBER(INDEX(rMed2,4782)),ISNUMBER(INDEX(rMed,4782))),INDEX(rMed2,4782),NA()))</f>
        <v>#N/A</v>
      </c>
      <c r="BY4784" t="e">
        <f>IF(OR(cMed=0,cMed2=0,4782&gt;nFilas),NA(),IF(AND(ISNUMBER(INDEX(rMed2,4782)),ISNUMBER(INDEX(rMed,4782))),INDEX(rMed,4782),NA()))</f>
        <v>#N/A</v>
      </c>
    </row>
    <row r="4785">
      <c r="BX4785" t="e">
        <f>IF(OR(cMed=0,cMed2=0,4783&gt;nFilas),NA(),IF(AND(ISNUMBER(INDEX(rMed2,4783)),ISNUMBER(INDEX(rMed,4783))),INDEX(rMed2,4783),NA()))</f>
        <v>#N/A</v>
      </c>
      <c r="BY4785" t="e">
        <f>IF(OR(cMed=0,cMed2=0,4783&gt;nFilas),NA(),IF(AND(ISNUMBER(INDEX(rMed2,4783)),ISNUMBER(INDEX(rMed,4783))),INDEX(rMed,4783),NA()))</f>
        <v>#N/A</v>
      </c>
    </row>
    <row r="4786">
      <c r="BX4786" t="e">
        <f>IF(OR(cMed=0,cMed2=0,4784&gt;nFilas),NA(),IF(AND(ISNUMBER(INDEX(rMed2,4784)),ISNUMBER(INDEX(rMed,4784))),INDEX(rMed2,4784),NA()))</f>
        <v>#N/A</v>
      </c>
      <c r="BY4786" t="e">
        <f>IF(OR(cMed=0,cMed2=0,4784&gt;nFilas),NA(),IF(AND(ISNUMBER(INDEX(rMed2,4784)),ISNUMBER(INDEX(rMed,4784))),INDEX(rMed,4784),NA()))</f>
        <v>#N/A</v>
      </c>
    </row>
    <row r="4787">
      <c r="BX4787" t="e">
        <f>IF(OR(cMed=0,cMed2=0,4785&gt;nFilas),NA(),IF(AND(ISNUMBER(INDEX(rMed2,4785)),ISNUMBER(INDEX(rMed,4785))),INDEX(rMed2,4785),NA()))</f>
        <v>#N/A</v>
      </c>
      <c r="BY4787" t="e">
        <f>IF(OR(cMed=0,cMed2=0,4785&gt;nFilas),NA(),IF(AND(ISNUMBER(INDEX(rMed2,4785)),ISNUMBER(INDEX(rMed,4785))),INDEX(rMed,4785),NA()))</f>
        <v>#N/A</v>
      </c>
    </row>
    <row r="4788">
      <c r="BX4788" t="e">
        <f>IF(OR(cMed=0,cMed2=0,4786&gt;nFilas),NA(),IF(AND(ISNUMBER(INDEX(rMed2,4786)),ISNUMBER(INDEX(rMed,4786))),INDEX(rMed2,4786),NA()))</f>
        <v>#N/A</v>
      </c>
      <c r="BY4788" t="e">
        <f>IF(OR(cMed=0,cMed2=0,4786&gt;nFilas),NA(),IF(AND(ISNUMBER(INDEX(rMed2,4786)),ISNUMBER(INDEX(rMed,4786))),INDEX(rMed,4786),NA()))</f>
        <v>#N/A</v>
      </c>
    </row>
    <row r="4789">
      <c r="BX4789" t="e">
        <f>IF(OR(cMed=0,cMed2=0,4787&gt;nFilas),NA(),IF(AND(ISNUMBER(INDEX(rMed2,4787)),ISNUMBER(INDEX(rMed,4787))),INDEX(rMed2,4787),NA()))</f>
        <v>#N/A</v>
      </c>
      <c r="BY4789" t="e">
        <f>IF(OR(cMed=0,cMed2=0,4787&gt;nFilas),NA(),IF(AND(ISNUMBER(INDEX(rMed2,4787)),ISNUMBER(INDEX(rMed,4787))),INDEX(rMed,4787),NA()))</f>
        <v>#N/A</v>
      </c>
    </row>
    <row r="4790">
      <c r="BX4790" t="e">
        <f>IF(OR(cMed=0,cMed2=0,4788&gt;nFilas),NA(),IF(AND(ISNUMBER(INDEX(rMed2,4788)),ISNUMBER(INDEX(rMed,4788))),INDEX(rMed2,4788),NA()))</f>
        <v>#N/A</v>
      </c>
      <c r="BY4790" t="e">
        <f>IF(OR(cMed=0,cMed2=0,4788&gt;nFilas),NA(),IF(AND(ISNUMBER(INDEX(rMed2,4788)),ISNUMBER(INDEX(rMed,4788))),INDEX(rMed,4788),NA()))</f>
        <v>#N/A</v>
      </c>
    </row>
    <row r="4791">
      <c r="BX4791" t="e">
        <f>IF(OR(cMed=0,cMed2=0,4789&gt;nFilas),NA(),IF(AND(ISNUMBER(INDEX(rMed2,4789)),ISNUMBER(INDEX(rMed,4789))),INDEX(rMed2,4789),NA()))</f>
        <v>#N/A</v>
      </c>
      <c r="BY4791" t="e">
        <f>IF(OR(cMed=0,cMed2=0,4789&gt;nFilas),NA(),IF(AND(ISNUMBER(INDEX(rMed2,4789)),ISNUMBER(INDEX(rMed,4789))),INDEX(rMed,4789),NA()))</f>
        <v>#N/A</v>
      </c>
    </row>
    <row r="4792">
      <c r="BX4792" t="e">
        <f>IF(OR(cMed=0,cMed2=0,4790&gt;nFilas),NA(),IF(AND(ISNUMBER(INDEX(rMed2,4790)),ISNUMBER(INDEX(rMed,4790))),INDEX(rMed2,4790),NA()))</f>
        <v>#N/A</v>
      </c>
      <c r="BY4792" t="e">
        <f>IF(OR(cMed=0,cMed2=0,4790&gt;nFilas),NA(),IF(AND(ISNUMBER(INDEX(rMed2,4790)),ISNUMBER(INDEX(rMed,4790))),INDEX(rMed,4790),NA()))</f>
        <v>#N/A</v>
      </c>
    </row>
    <row r="4793">
      <c r="BX4793" t="e">
        <f>IF(OR(cMed=0,cMed2=0,4791&gt;nFilas),NA(),IF(AND(ISNUMBER(INDEX(rMed2,4791)),ISNUMBER(INDEX(rMed,4791))),INDEX(rMed2,4791),NA()))</f>
        <v>#N/A</v>
      </c>
      <c r="BY4793" t="e">
        <f>IF(OR(cMed=0,cMed2=0,4791&gt;nFilas),NA(),IF(AND(ISNUMBER(INDEX(rMed2,4791)),ISNUMBER(INDEX(rMed,4791))),INDEX(rMed,4791),NA()))</f>
        <v>#N/A</v>
      </c>
    </row>
    <row r="4794">
      <c r="BX4794" t="e">
        <f>IF(OR(cMed=0,cMed2=0,4792&gt;nFilas),NA(),IF(AND(ISNUMBER(INDEX(rMed2,4792)),ISNUMBER(INDEX(rMed,4792))),INDEX(rMed2,4792),NA()))</f>
        <v>#N/A</v>
      </c>
      <c r="BY4794" t="e">
        <f>IF(OR(cMed=0,cMed2=0,4792&gt;nFilas),NA(),IF(AND(ISNUMBER(INDEX(rMed2,4792)),ISNUMBER(INDEX(rMed,4792))),INDEX(rMed,4792),NA()))</f>
        <v>#N/A</v>
      </c>
    </row>
    <row r="4795">
      <c r="BX4795" t="e">
        <f>IF(OR(cMed=0,cMed2=0,4793&gt;nFilas),NA(),IF(AND(ISNUMBER(INDEX(rMed2,4793)),ISNUMBER(INDEX(rMed,4793))),INDEX(rMed2,4793),NA()))</f>
        <v>#N/A</v>
      </c>
      <c r="BY4795" t="e">
        <f>IF(OR(cMed=0,cMed2=0,4793&gt;nFilas),NA(),IF(AND(ISNUMBER(INDEX(rMed2,4793)),ISNUMBER(INDEX(rMed,4793))),INDEX(rMed,4793),NA()))</f>
        <v>#N/A</v>
      </c>
    </row>
    <row r="4796">
      <c r="BX4796" t="e">
        <f>IF(OR(cMed=0,cMed2=0,4794&gt;nFilas),NA(),IF(AND(ISNUMBER(INDEX(rMed2,4794)),ISNUMBER(INDEX(rMed,4794))),INDEX(rMed2,4794),NA()))</f>
        <v>#N/A</v>
      </c>
      <c r="BY4796" t="e">
        <f>IF(OR(cMed=0,cMed2=0,4794&gt;nFilas),NA(),IF(AND(ISNUMBER(INDEX(rMed2,4794)),ISNUMBER(INDEX(rMed,4794))),INDEX(rMed,4794),NA()))</f>
        <v>#N/A</v>
      </c>
    </row>
    <row r="4797">
      <c r="BX4797" t="e">
        <f>IF(OR(cMed=0,cMed2=0,4795&gt;nFilas),NA(),IF(AND(ISNUMBER(INDEX(rMed2,4795)),ISNUMBER(INDEX(rMed,4795))),INDEX(rMed2,4795),NA()))</f>
        <v>#N/A</v>
      </c>
      <c r="BY4797" t="e">
        <f>IF(OR(cMed=0,cMed2=0,4795&gt;nFilas),NA(),IF(AND(ISNUMBER(INDEX(rMed2,4795)),ISNUMBER(INDEX(rMed,4795))),INDEX(rMed,4795),NA()))</f>
        <v>#N/A</v>
      </c>
    </row>
    <row r="4798">
      <c r="BX4798" t="e">
        <f>IF(OR(cMed=0,cMed2=0,4796&gt;nFilas),NA(),IF(AND(ISNUMBER(INDEX(rMed2,4796)),ISNUMBER(INDEX(rMed,4796))),INDEX(rMed2,4796),NA()))</f>
        <v>#N/A</v>
      </c>
      <c r="BY4798" t="e">
        <f>IF(OR(cMed=0,cMed2=0,4796&gt;nFilas),NA(),IF(AND(ISNUMBER(INDEX(rMed2,4796)),ISNUMBER(INDEX(rMed,4796))),INDEX(rMed,4796),NA()))</f>
        <v>#N/A</v>
      </c>
    </row>
    <row r="4799">
      <c r="BX4799" t="e">
        <f>IF(OR(cMed=0,cMed2=0,4797&gt;nFilas),NA(),IF(AND(ISNUMBER(INDEX(rMed2,4797)),ISNUMBER(INDEX(rMed,4797))),INDEX(rMed2,4797),NA()))</f>
        <v>#N/A</v>
      </c>
      <c r="BY4799" t="e">
        <f>IF(OR(cMed=0,cMed2=0,4797&gt;nFilas),NA(),IF(AND(ISNUMBER(INDEX(rMed2,4797)),ISNUMBER(INDEX(rMed,4797))),INDEX(rMed,4797),NA()))</f>
        <v>#N/A</v>
      </c>
    </row>
    <row r="4800">
      <c r="BX4800" t="e">
        <f>IF(OR(cMed=0,cMed2=0,4798&gt;nFilas),NA(),IF(AND(ISNUMBER(INDEX(rMed2,4798)),ISNUMBER(INDEX(rMed,4798))),INDEX(rMed2,4798),NA()))</f>
        <v>#N/A</v>
      </c>
      <c r="BY4800" t="e">
        <f>IF(OR(cMed=0,cMed2=0,4798&gt;nFilas),NA(),IF(AND(ISNUMBER(INDEX(rMed2,4798)),ISNUMBER(INDEX(rMed,4798))),INDEX(rMed,4798),NA()))</f>
        <v>#N/A</v>
      </c>
    </row>
    <row r="4801">
      <c r="BX4801" t="e">
        <f>IF(OR(cMed=0,cMed2=0,4799&gt;nFilas),NA(),IF(AND(ISNUMBER(INDEX(rMed2,4799)),ISNUMBER(INDEX(rMed,4799))),INDEX(rMed2,4799),NA()))</f>
        <v>#N/A</v>
      </c>
      <c r="BY4801" t="e">
        <f>IF(OR(cMed=0,cMed2=0,4799&gt;nFilas),NA(),IF(AND(ISNUMBER(INDEX(rMed2,4799)),ISNUMBER(INDEX(rMed,4799))),INDEX(rMed,4799),NA()))</f>
        <v>#N/A</v>
      </c>
    </row>
    <row r="4802">
      <c r="BX4802" t="e">
        <f>IF(OR(cMed=0,cMed2=0,4800&gt;nFilas),NA(),IF(AND(ISNUMBER(INDEX(rMed2,4800)),ISNUMBER(INDEX(rMed,4800))),INDEX(rMed2,4800),NA()))</f>
        <v>#N/A</v>
      </c>
      <c r="BY4802" t="e">
        <f>IF(OR(cMed=0,cMed2=0,4800&gt;nFilas),NA(),IF(AND(ISNUMBER(INDEX(rMed2,4800)),ISNUMBER(INDEX(rMed,4800))),INDEX(rMed,4800),NA()))</f>
        <v>#N/A</v>
      </c>
    </row>
    <row r="4803">
      <c r="BX4803" t="e">
        <f>IF(OR(cMed=0,cMed2=0,4801&gt;nFilas),NA(),IF(AND(ISNUMBER(INDEX(rMed2,4801)),ISNUMBER(INDEX(rMed,4801))),INDEX(rMed2,4801),NA()))</f>
        <v>#N/A</v>
      </c>
      <c r="BY4803" t="e">
        <f>IF(OR(cMed=0,cMed2=0,4801&gt;nFilas),NA(),IF(AND(ISNUMBER(INDEX(rMed2,4801)),ISNUMBER(INDEX(rMed,4801))),INDEX(rMed,4801),NA()))</f>
        <v>#N/A</v>
      </c>
    </row>
    <row r="4804">
      <c r="BX4804" t="e">
        <f>IF(OR(cMed=0,cMed2=0,4802&gt;nFilas),NA(),IF(AND(ISNUMBER(INDEX(rMed2,4802)),ISNUMBER(INDEX(rMed,4802))),INDEX(rMed2,4802),NA()))</f>
        <v>#N/A</v>
      </c>
      <c r="BY4804" t="e">
        <f>IF(OR(cMed=0,cMed2=0,4802&gt;nFilas),NA(),IF(AND(ISNUMBER(INDEX(rMed2,4802)),ISNUMBER(INDEX(rMed,4802))),INDEX(rMed,4802),NA()))</f>
        <v>#N/A</v>
      </c>
    </row>
    <row r="4805">
      <c r="BX4805" t="e">
        <f>IF(OR(cMed=0,cMed2=0,4803&gt;nFilas),NA(),IF(AND(ISNUMBER(INDEX(rMed2,4803)),ISNUMBER(INDEX(rMed,4803))),INDEX(rMed2,4803),NA()))</f>
        <v>#N/A</v>
      </c>
      <c r="BY4805" t="e">
        <f>IF(OR(cMed=0,cMed2=0,4803&gt;nFilas),NA(),IF(AND(ISNUMBER(INDEX(rMed2,4803)),ISNUMBER(INDEX(rMed,4803))),INDEX(rMed,4803),NA()))</f>
        <v>#N/A</v>
      </c>
    </row>
    <row r="4806">
      <c r="BX4806" t="e">
        <f>IF(OR(cMed=0,cMed2=0,4804&gt;nFilas),NA(),IF(AND(ISNUMBER(INDEX(rMed2,4804)),ISNUMBER(INDEX(rMed,4804))),INDEX(rMed2,4804),NA()))</f>
        <v>#N/A</v>
      </c>
      <c r="BY4806" t="e">
        <f>IF(OR(cMed=0,cMed2=0,4804&gt;nFilas),NA(),IF(AND(ISNUMBER(INDEX(rMed2,4804)),ISNUMBER(INDEX(rMed,4804))),INDEX(rMed,4804),NA()))</f>
        <v>#N/A</v>
      </c>
    </row>
    <row r="4807">
      <c r="BX4807" t="e">
        <f>IF(OR(cMed=0,cMed2=0,4805&gt;nFilas),NA(),IF(AND(ISNUMBER(INDEX(rMed2,4805)),ISNUMBER(INDEX(rMed,4805))),INDEX(rMed2,4805),NA()))</f>
        <v>#N/A</v>
      </c>
      <c r="BY4807" t="e">
        <f>IF(OR(cMed=0,cMed2=0,4805&gt;nFilas),NA(),IF(AND(ISNUMBER(INDEX(rMed2,4805)),ISNUMBER(INDEX(rMed,4805))),INDEX(rMed,4805),NA()))</f>
        <v>#N/A</v>
      </c>
    </row>
    <row r="4808">
      <c r="BX4808" t="e">
        <f>IF(OR(cMed=0,cMed2=0,4806&gt;nFilas),NA(),IF(AND(ISNUMBER(INDEX(rMed2,4806)),ISNUMBER(INDEX(rMed,4806))),INDEX(rMed2,4806),NA()))</f>
        <v>#N/A</v>
      </c>
      <c r="BY4808" t="e">
        <f>IF(OR(cMed=0,cMed2=0,4806&gt;nFilas),NA(),IF(AND(ISNUMBER(INDEX(rMed2,4806)),ISNUMBER(INDEX(rMed,4806))),INDEX(rMed,4806),NA()))</f>
        <v>#N/A</v>
      </c>
    </row>
    <row r="4809">
      <c r="BX4809" t="e">
        <f>IF(OR(cMed=0,cMed2=0,4807&gt;nFilas),NA(),IF(AND(ISNUMBER(INDEX(rMed2,4807)),ISNUMBER(INDEX(rMed,4807))),INDEX(rMed2,4807),NA()))</f>
        <v>#N/A</v>
      </c>
      <c r="BY4809" t="e">
        <f>IF(OR(cMed=0,cMed2=0,4807&gt;nFilas),NA(),IF(AND(ISNUMBER(INDEX(rMed2,4807)),ISNUMBER(INDEX(rMed,4807))),INDEX(rMed,4807),NA()))</f>
        <v>#N/A</v>
      </c>
    </row>
    <row r="4810">
      <c r="BX4810" t="e">
        <f>IF(OR(cMed=0,cMed2=0,4808&gt;nFilas),NA(),IF(AND(ISNUMBER(INDEX(rMed2,4808)),ISNUMBER(INDEX(rMed,4808))),INDEX(rMed2,4808),NA()))</f>
        <v>#N/A</v>
      </c>
      <c r="BY4810" t="e">
        <f>IF(OR(cMed=0,cMed2=0,4808&gt;nFilas),NA(),IF(AND(ISNUMBER(INDEX(rMed2,4808)),ISNUMBER(INDEX(rMed,4808))),INDEX(rMed,4808),NA()))</f>
        <v>#N/A</v>
      </c>
    </row>
    <row r="4811">
      <c r="BX4811" t="e">
        <f>IF(OR(cMed=0,cMed2=0,4809&gt;nFilas),NA(),IF(AND(ISNUMBER(INDEX(rMed2,4809)),ISNUMBER(INDEX(rMed,4809))),INDEX(rMed2,4809),NA()))</f>
        <v>#N/A</v>
      </c>
      <c r="BY4811" t="e">
        <f>IF(OR(cMed=0,cMed2=0,4809&gt;nFilas),NA(),IF(AND(ISNUMBER(INDEX(rMed2,4809)),ISNUMBER(INDEX(rMed,4809))),INDEX(rMed,4809),NA()))</f>
        <v>#N/A</v>
      </c>
    </row>
    <row r="4812">
      <c r="BX4812" t="e">
        <f>IF(OR(cMed=0,cMed2=0,4810&gt;nFilas),NA(),IF(AND(ISNUMBER(INDEX(rMed2,4810)),ISNUMBER(INDEX(rMed,4810))),INDEX(rMed2,4810),NA()))</f>
        <v>#N/A</v>
      </c>
      <c r="BY4812" t="e">
        <f>IF(OR(cMed=0,cMed2=0,4810&gt;nFilas),NA(),IF(AND(ISNUMBER(INDEX(rMed2,4810)),ISNUMBER(INDEX(rMed,4810))),INDEX(rMed,4810),NA()))</f>
        <v>#N/A</v>
      </c>
    </row>
    <row r="4813">
      <c r="BX4813" t="e">
        <f>IF(OR(cMed=0,cMed2=0,4811&gt;nFilas),NA(),IF(AND(ISNUMBER(INDEX(rMed2,4811)),ISNUMBER(INDEX(rMed,4811))),INDEX(rMed2,4811),NA()))</f>
        <v>#N/A</v>
      </c>
      <c r="BY4813" t="e">
        <f>IF(OR(cMed=0,cMed2=0,4811&gt;nFilas),NA(),IF(AND(ISNUMBER(INDEX(rMed2,4811)),ISNUMBER(INDEX(rMed,4811))),INDEX(rMed,4811),NA()))</f>
        <v>#N/A</v>
      </c>
    </row>
    <row r="4814">
      <c r="BX4814" t="e">
        <f>IF(OR(cMed=0,cMed2=0,4812&gt;nFilas),NA(),IF(AND(ISNUMBER(INDEX(rMed2,4812)),ISNUMBER(INDEX(rMed,4812))),INDEX(rMed2,4812),NA()))</f>
        <v>#N/A</v>
      </c>
      <c r="BY4814" t="e">
        <f>IF(OR(cMed=0,cMed2=0,4812&gt;nFilas),NA(),IF(AND(ISNUMBER(INDEX(rMed2,4812)),ISNUMBER(INDEX(rMed,4812))),INDEX(rMed,4812),NA()))</f>
        <v>#N/A</v>
      </c>
    </row>
    <row r="4815">
      <c r="BX4815" t="e">
        <f>IF(OR(cMed=0,cMed2=0,4813&gt;nFilas),NA(),IF(AND(ISNUMBER(INDEX(rMed2,4813)),ISNUMBER(INDEX(rMed,4813))),INDEX(rMed2,4813),NA()))</f>
        <v>#N/A</v>
      </c>
      <c r="BY4815" t="e">
        <f>IF(OR(cMed=0,cMed2=0,4813&gt;nFilas),NA(),IF(AND(ISNUMBER(INDEX(rMed2,4813)),ISNUMBER(INDEX(rMed,4813))),INDEX(rMed,4813),NA()))</f>
        <v>#N/A</v>
      </c>
    </row>
    <row r="4816">
      <c r="BX4816" t="e">
        <f>IF(OR(cMed=0,cMed2=0,4814&gt;nFilas),NA(),IF(AND(ISNUMBER(INDEX(rMed2,4814)),ISNUMBER(INDEX(rMed,4814))),INDEX(rMed2,4814),NA()))</f>
        <v>#N/A</v>
      </c>
      <c r="BY4816" t="e">
        <f>IF(OR(cMed=0,cMed2=0,4814&gt;nFilas),NA(),IF(AND(ISNUMBER(INDEX(rMed2,4814)),ISNUMBER(INDEX(rMed,4814))),INDEX(rMed,4814),NA()))</f>
        <v>#N/A</v>
      </c>
    </row>
    <row r="4817">
      <c r="BX4817" t="e">
        <f>IF(OR(cMed=0,cMed2=0,4815&gt;nFilas),NA(),IF(AND(ISNUMBER(INDEX(rMed2,4815)),ISNUMBER(INDEX(rMed,4815))),INDEX(rMed2,4815),NA()))</f>
        <v>#N/A</v>
      </c>
      <c r="BY4817" t="e">
        <f>IF(OR(cMed=0,cMed2=0,4815&gt;nFilas),NA(),IF(AND(ISNUMBER(INDEX(rMed2,4815)),ISNUMBER(INDEX(rMed,4815))),INDEX(rMed,4815),NA()))</f>
        <v>#N/A</v>
      </c>
    </row>
    <row r="4818">
      <c r="BX4818" t="e">
        <f>IF(OR(cMed=0,cMed2=0,4816&gt;nFilas),NA(),IF(AND(ISNUMBER(INDEX(rMed2,4816)),ISNUMBER(INDEX(rMed,4816))),INDEX(rMed2,4816),NA()))</f>
        <v>#N/A</v>
      </c>
      <c r="BY4818" t="e">
        <f>IF(OR(cMed=0,cMed2=0,4816&gt;nFilas),NA(),IF(AND(ISNUMBER(INDEX(rMed2,4816)),ISNUMBER(INDEX(rMed,4816))),INDEX(rMed,4816),NA()))</f>
        <v>#N/A</v>
      </c>
    </row>
    <row r="4819">
      <c r="BX4819" t="e">
        <f>IF(OR(cMed=0,cMed2=0,4817&gt;nFilas),NA(),IF(AND(ISNUMBER(INDEX(rMed2,4817)),ISNUMBER(INDEX(rMed,4817))),INDEX(rMed2,4817),NA()))</f>
        <v>#N/A</v>
      </c>
      <c r="BY4819" t="e">
        <f>IF(OR(cMed=0,cMed2=0,4817&gt;nFilas),NA(),IF(AND(ISNUMBER(INDEX(rMed2,4817)),ISNUMBER(INDEX(rMed,4817))),INDEX(rMed,4817),NA()))</f>
        <v>#N/A</v>
      </c>
    </row>
    <row r="4820">
      <c r="BX4820" t="e">
        <f>IF(OR(cMed=0,cMed2=0,4818&gt;nFilas),NA(),IF(AND(ISNUMBER(INDEX(rMed2,4818)),ISNUMBER(INDEX(rMed,4818))),INDEX(rMed2,4818),NA()))</f>
        <v>#N/A</v>
      </c>
      <c r="BY4820" t="e">
        <f>IF(OR(cMed=0,cMed2=0,4818&gt;nFilas),NA(),IF(AND(ISNUMBER(INDEX(rMed2,4818)),ISNUMBER(INDEX(rMed,4818))),INDEX(rMed,4818),NA()))</f>
        <v>#N/A</v>
      </c>
    </row>
    <row r="4821">
      <c r="BX4821" t="e">
        <f>IF(OR(cMed=0,cMed2=0,4819&gt;nFilas),NA(),IF(AND(ISNUMBER(INDEX(rMed2,4819)),ISNUMBER(INDEX(rMed,4819))),INDEX(rMed2,4819),NA()))</f>
        <v>#N/A</v>
      </c>
      <c r="BY4821" t="e">
        <f>IF(OR(cMed=0,cMed2=0,4819&gt;nFilas),NA(),IF(AND(ISNUMBER(INDEX(rMed2,4819)),ISNUMBER(INDEX(rMed,4819))),INDEX(rMed,4819),NA()))</f>
        <v>#N/A</v>
      </c>
    </row>
    <row r="4822">
      <c r="BX4822" t="e">
        <f>IF(OR(cMed=0,cMed2=0,4820&gt;nFilas),NA(),IF(AND(ISNUMBER(INDEX(rMed2,4820)),ISNUMBER(INDEX(rMed,4820))),INDEX(rMed2,4820),NA()))</f>
        <v>#N/A</v>
      </c>
      <c r="BY4822" t="e">
        <f>IF(OR(cMed=0,cMed2=0,4820&gt;nFilas),NA(),IF(AND(ISNUMBER(INDEX(rMed2,4820)),ISNUMBER(INDEX(rMed,4820))),INDEX(rMed,4820),NA()))</f>
        <v>#N/A</v>
      </c>
    </row>
    <row r="4823">
      <c r="BX4823" t="e">
        <f>IF(OR(cMed=0,cMed2=0,4821&gt;nFilas),NA(),IF(AND(ISNUMBER(INDEX(rMed2,4821)),ISNUMBER(INDEX(rMed,4821))),INDEX(rMed2,4821),NA()))</f>
        <v>#N/A</v>
      </c>
      <c r="BY4823" t="e">
        <f>IF(OR(cMed=0,cMed2=0,4821&gt;nFilas),NA(),IF(AND(ISNUMBER(INDEX(rMed2,4821)),ISNUMBER(INDEX(rMed,4821))),INDEX(rMed,4821),NA()))</f>
        <v>#N/A</v>
      </c>
    </row>
    <row r="4824">
      <c r="BX4824" t="e">
        <f>IF(OR(cMed=0,cMed2=0,4822&gt;nFilas),NA(),IF(AND(ISNUMBER(INDEX(rMed2,4822)),ISNUMBER(INDEX(rMed,4822))),INDEX(rMed2,4822),NA()))</f>
        <v>#N/A</v>
      </c>
      <c r="BY4824" t="e">
        <f>IF(OR(cMed=0,cMed2=0,4822&gt;nFilas),NA(),IF(AND(ISNUMBER(INDEX(rMed2,4822)),ISNUMBER(INDEX(rMed,4822))),INDEX(rMed,4822),NA()))</f>
        <v>#N/A</v>
      </c>
    </row>
    <row r="4825">
      <c r="BX4825" t="e">
        <f>IF(OR(cMed=0,cMed2=0,4823&gt;nFilas),NA(),IF(AND(ISNUMBER(INDEX(rMed2,4823)),ISNUMBER(INDEX(rMed,4823))),INDEX(rMed2,4823),NA()))</f>
        <v>#N/A</v>
      </c>
      <c r="BY4825" t="e">
        <f>IF(OR(cMed=0,cMed2=0,4823&gt;nFilas),NA(),IF(AND(ISNUMBER(INDEX(rMed2,4823)),ISNUMBER(INDEX(rMed,4823))),INDEX(rMed,4823),NA()))</f>
        <v>#N/A</v>
      </c>
    </row>
    <row r="4826">
      <c r="BX4826" t="e">
        <f>IF(OR(cMed=0,cMed2=0,4824&gt;nFilas),NA(),IF(AND(ISNUMBER(INDEX(rMed2,4824)),ISNUMBER(INDEX(rMed,4824))),INDEX(rMed2,4824),NA()))</f>
        <v>#N/A</v>
      </c>
      <c r="BY4826" t="e">
        <f>IF(OR(cMed=0,cMed2=0,4824&gt;nFilas),NA(),IF(AND(ISNUMBER(INDEX(rMed2,4824)),ISNUMBER(INDEX(rMed,4824))),INDEX(rMed,4824),NA()))</f>
        <v>#N/A</v>
      </c>
    </row>
    <row r="4827">
      <c r="BX4827" t="e">
        <f>IF(OR(cMed=0,cMed2=0,4825&gt;nFilas),NA(),IF(AND(ISNUMBER(INDEX(rMed2,4825)),ISNUMBER(INDEX(rMed,4825))),INDEX(rMed2,4825),NA()))</f>
        <v>#N/A</v>
      </c>
      <c r="BY4827" t="e">
        <f>IF(OR(cMed=0,cMed2=0,4825&gt;nFilas),NA(),IF(AND(ISNUMBER(INDEX(rMed2,4825)),ISNUMBER(INDEX(rMed,4825))),INDEX(rMed,4825),NA()))</f>
        <v>#N/A</v>
      </c>
    </row>
    <row r="4828">
      <c r="BX4828" t="e">
        <f>IF(OR(cMed=0,cMed2=0,4826&gt;nFilas),NA(),IF(AND(ISNUMBER(INDEX(rMed2,4826)),ISNUMBER(INDEX(rMed,4826))),INDEX(rMed2,4826),NA()))</f>
        <v>#N/A</v>
      </c>
      <c r="BY4828" t="e">
        <f>IF(OR(cMed=0,cMed2=0,4826&gt;nFilas),NA(),IF(AND(ISNUMBER(INDEX(rMed2,4826)),ISNUMBER(INDEX(rMed,4826))),INDEX(rMed,4826),NA()))</f>
        <v>#N/A</v>
      </c>
    </row>
    <row r="4829">
      <c r="BX4829" t="e">
        <f>IF(OR(cMed=0,cMed2=0,4827&gt;nFilas),NA(),IF(AND(ISNUMBER(INDEX(rMed2,4827)),ISNUMBER(INDEX(rMed,4827))),INDEX(rMed2,4827),NA()))</f>
        <v>#N/A</v>
      </c>
      <c r="BY4829" t="e">
        <f>IF(OR(cMed=0,cMed2=0,4827&gt;nFilas),NA(),IF(AND(ISNUMBER(INDEX(rMed2,4827)),ISNUMBER(INDEX(rMed,4827))),INDEX(rMed,4827),NA()))</f>
        <v>#N/A</v>
      </c>
    </row>
    <row r="4830">
      <c r="BX4830" t="e">
        <f>IF(OR(cMed=0,cMed2=0,4828&gt;nFilas),NA(),IF(AND(ISNUMBER(INDEX(rMed2,4828)),ISNUMBER(INDEX(rMed,4828))),INDEX(rMed2,4828),NA()))</f>
        <v>#N/A</v>
      </c>
      <c r="BY4830" t="e">
        <f>IF(OR(cMed=0,cMed2=0,4828&gt;nFilas),NA(),IF(AND(ISNUMBER(INDEX(rMed2,4828)),ISNUMBER(INDEX(rMed,4828))),INDEX(rMed,4828),NA()))</f>
        <v>#N/A</v>
      </c>
    </row>
    <row r="4831">
      <c r="BX4831" t="e">
        <f>IF(OR(cMed=0,cMed2=0,4829&gt;nFilas),NA(),IF(AND(ISNUMBER(INDEX(rMed2,4829)),ISNUMBER(INDEX(rMed,4829))),INDEX(rMed2,4829),NA()))</f>
        <v>#N/A</v>
      </c>
      <c r="BY4831" t="e">
        <f>IF(OR(cMed=0,cMed2=0,4829&gt;nFilas),NA(),IF(AND(ISNUMBER(INDEX(rMed2,4829)),ISNUMBER(INDEX(rMed,4829))),INDEX(rMed,4829),NA()))</f>
        <v>#N/A</v>
      </c>
    </row>
    <row r="4832">
      <c r="BX4832" t="e">
        <f>IF(OR(cMed=0,cMed2=0,4830&gt;nFilas),NA(),IF(AND(ISNUMBER(INDEX(rMed2,4830)),ISNUMBER(INDEX(rMed,4830))),INDEX(rMed2,4830),NA()))</f>
        <v>#N/A</v>
      </c>
      <c r="BY4832" t="e">
        <f>IF(OR(cMed=0,cMed2=0,4830&gt;nFilas),NA(),IF(AND(ISNUMBER(INDEX(rMed2,4830)),ISNUMBER(INDEX(rMed,4830))),INDEX(rMed,4830),NA()))</f>
        <v>#N/A</v>
      </c>
    </row>
    <row r="4833">
      <c r="BX4833" t="e">
        <f>IF(OR(cMed=0,cMed2=0,4831&gt;nFilas),NA(),IF(AND(ISNUMBER(INDEX(rMed2,4831)),ISNUMBER(INDEX(rMed,4831))),INDEX(rMed2,4831),NA()))</f>
        <v>#N/A</v>
      </c>
      <c r="BY4833" t="e">
        <f>IF(OR(cMed=0,cMed2=0,4831&gt;nFilas),NA(),IF(AND(ISNUMBER(INDEX(rMed2,4831)),ISNUMBER(INDEX(rMed,4831))),INDEX(rMed,4831),NA()))</f>
        <v>#N/A</v>
      </c>
    </row>
    <row r="4834">
      <c r="BX4834" t="e">
        <f>IF(OR(cMed=0,cMed2=0,4832&gt;nFilas),NA(),IF(AND(ISNUMBER(INDEX(rMed2,4832)),ISNUMBER(INDEX(rMed,4832))),INDEX(rMed2,4832),NA()))</f>
        <v>#N/A</v>
      </c>
      <c r="BY4834" t="e">
        <f>IF(OR(cMed=0,cMed2=0,4832&gt;nFilas),NA(),IF(AND(ISNUMBER(INDEX(rMed2,4832)),ISNUMBER(INDEX(rMed,4832))),INDEX(rMed,4832),NA()))</f>
        <v>#N/A</v>
      </c>
    </row>
    <row r="4835">
      <c r="BX4835" t="e">
        <f>IF(OR(cMed=0,cMed2=0,4833&gt;nFilas),NA(),IF(AND(ISNUMBER(INDEX(rMed2,4833)),ISNUMBER(INDEX(rMed,4833))),INDEX(rMed2,4833),NA()))</f>
        <v>#N/A</v>
      </c>
      <c r="BY4835" t="e">
        <f>IF(OR(cMed=0,cMed2=0,4833&gt;nFilas),NA(),IF(AND(ISNUMBER(INDEX(rMed2,4833)),ISNUMBER(INDEX(rMed,4833))),INDEX(rMed,4833),NA()))</f>
        <v>#N/A</v>
      </c>
    </row>
    <row r="4836">
      <c r="BX4836" t="e">
        <f>IF(OR(cMed=0,cMed2=0,4834&gt;nFilas),NA(),IF(AND(ISNUMBER(INDEX(rMed2,4834)),ISNUMBER(INDEX(rMed,4834))),INDEX(rMed2,4834),NA()))</f>
        <v>#N/A</v>
      </c>
      <c r="BY4836" t="e">
        <f>IF(OR(cMed=0,cMed2=0,4834&gt;nFilas),NA(),IF(AND(ISNUMBER(INDEX(rMed2,4834)),ISNUMBER(INDEX(rMed,4834))),INDEX(rMed,4834),NA()))</f>
        <v>#N/A</v>
      </c>
    </row>
    <row r="4837">
      <c r="BX4837" t="e">
        <f>IF(OR(cMed=0,cMed2=0,4835&gt;nFilas),NA(),IF(AND(ISNUMBER(INDEX(rMed2,4835)),ISNUMBER(INDEX(rMed,4835))),INDEX(rMed2,4835),NA()))</f>
        <v>#N/A</v>
      </c>
      <c r="BY4837" t="e">
        <f>IF(OR(cMed=0,cMed2=0,4835&gt;nFilas),NA(),IF(AND(ISNUMBER(INDEX(rMed2,4835)),ISNUMBER(INDEX(rMed,4835))),INDEX(rMed,4835),NA()))</f>
        <v>#N/A</v>
      </c>
    </row>
    <row r="4838">
      <c r="BX4838" t="e">
        <f>IF(OR(cMed=0,cMed2=0,4836&gt;nFilas),NA(),IF(AND(ISNUMBER(INDEX(rMed2,4836)),ISNUMBER(INDEX(rMed,4836))),INDEX(rMed2,4836),NA()))</f>
        <v>#N/A</v>
      </c>
      <c r="BY4838" t="e">
        <f>IF(OR(cMed=0,cMed2=0,4836&gt;nFilas),NA(),IF(AND(ISNUMBER(INDEX(rMed2,4836)),ISNUMBER(INDEX(rMed,4836))),INDEX(rMed,4836),NA()))</f>
        <v>#N/A</v>
      </c>
    </row>
    <row r="4839">
      <c r="BX4839" t="e">
        <f>IF(OR(cMed=0,cMed2=0,4837&gt;nFilas),NA(),IF(AND(ISNUMBER(INDEX(rMed2,4837)),ISNUMBER(INDEX(rMed,4837))),INDEX(rMed2,4837),NA()))</f>
        <v>#N/A</v>
      </c>
      <c r="BY4839" t="e">
        <f>IF(OR(cMed=0,cMed2=0,4837&gt;nFilas),NA(),IF(AND(ISNUMBER(INDEX(rMed2,4837)),ISNUMBER(INDEX(rMed,4837))),INDEX(rMed,4837),NA()))</f>
        <v>#N/A</v>
      </c>
    </row>
    <row r="4840">
      <c r="BX4840" t="e">
        <f>IF(OR(cMed=0,cMed2=0,4838&gt;nFilas),NA(),IF(AND(ISNUMBER(INDEX(rMed2,4838)),ISNUMBER(INDEX(rMed,4838))),INDEX(rMed2,4838),NA()))</f>
        <v>#N/A</v>
      </c>
      <c r="BY4840" t="e">
        <f>IF(OR(cMed=0,cMed2=0,4838&gt;nFilas),NA(),IF(AND(ISNUMBER(INDEX(rMed2,4838)),ISNUMBER(INDEX(rMed,4838))),INDEX(rMed,4838),NA()))</f>
        <v>#N/A</v>
      </c>
    </row>
    <row r="4841">
      <c r="BX4841" t="e">
        <f>IF(OR(cMed=0,cMed2=0,4839&gt;nFilas),NA(),IF(AND(ISNUMBER(INDEX(rMed2,4839)),ISNUMBER(INDEX(rMed,4839))),INDEX(rMed2,4839),NA()))</f>
        <v>#N/A</v>
      </c>
      <c r="BY4841" t="e">
        <f>IF(OR(cMed=0,cMed2=0,4839&gt;nFilas),NA(),IF(AND(ISNUMBER(INDEX(rMed2,4839)),ISNUMBER(INDEX(rMed,4839))),INDEX(rMed,4839),NA()))</f>
        <v>#N/A</v>
      </c>
    </row>
    <row r="4842">
      <c r="BX4842" t="e">
        <f>IF(OR(cMed=0,cMed2=0,4840&gt;nFilas),NA(),IF(AND(ISNUMBER(INDEX(rMed2,4840)),ISNUMBER(INDEX(rMed,4840))),INDEX(rMed2,4840),NA()))</f>
        <v>#N/A</v>
      </c>
      <c r="BY4842" t="e">
        <f>IF(OR(cMed=0,cMed2=0,4840&gt;nFilas),NA(),IF(AND(ISNUMBER(INDEX(rMed2,4840)),ISNUMBER(INDEX(rMed,4840))),INDEX(rMed,4840),NA()))</f>
        <v>#N/A</v>
      </c>
    </row>
    <row r="4843">
      <c r="BX4843" t="e">
        <f>IF(OR(cMed=0,cMed2=0,4841&gt;nFilas),NA(),IF(AND(ISNUMBER(INDEX(rMed2,4841)),ISNUMBER(INDEX(rMed,4841))),INDEX(rMed2,4841),NA()))</f>
        <v>#N/A</v>
      </c>
      <c r="BY4843" t="e">
        <f>IF(OR(cMed=0,cMed2=0,4841&gt;nFilas),NA(),IF(AND(ISNUMBER(INDEX(rMed2,4841)),ISNUMBER(INDEX(rMed,4841))),INDEX(rMed,4841),NA()))</f>
        <v>#N/A</v>
      </c>
    </row>
    <row r="4844">
      <c r="BX4844" t="e">
        <f>IF(OR(cMed=0,cMed2=0,4842&gt;nFilas),NA(),IF(AND(ISNUMBER(INDEX(rMed2,4842)),ISNUMBER(INDEX(rMed,4842))),INDEX(rMed2,4842),NA()))</f>
        <v>#N/A</v>
      </c>
      <c r="BY4844" t="e">
        <f>IF(OR(cMed=0,cMed2=0,4842&gt;nFilas),NA(),IF(AND(ISNUMBER(INDEX(rMed2,4842)),ISNUMBER(INDEX(rMed,4842))),INDEX(rMed,4842),NA()))</f>
        <v>#N/A</v>
      </c>
    </row>
    <row r="4845">
      <c r="BX4845" t="e">
        <f>IF(OR(cMed=0,cMed2=0,4843&gt;nFilas),NA(),IF(AND(ISNUMBER(INDEX(rMed2,4843)),ISNUMBER(INDEX(rMed,4843))),INDEX(rMed2,4843),NA()))</f>
        <v>#N/A</v>
      </c>
      <c r="BY4845" t="e">
        <f>IF(OR(cMed=0,cMed2=0,4843&gt;nFilas),NA(),IF(AND(ISNUMBER(INDEX(rMed2,4843)),ISNUMBER(INDEX(rMed,4843))),INDEX(rMed,4843),NA()))</f>
        <v>#N/A</v>
      </c>
    </row>
    <row r="4846">
      <c r="BX4846" t="e">
        <f>IF(OR(cMed=0,cMed2=0,4844&gt;nFilas),NA(),IF(AND(ISNUMBER(INDEX(rMed2,4844)),ISNUMBER(INDEX(rMed,4844))),INDEX(rMed2,4844),NA()))</f>
        <v>#N/A</v>
      </c>
      <c r="BY4846" t="e">
        <f>IF(OR(cMed=0,cMed2=0,4844&gt;nFilas),NA(),IF(AND(ISNUMBER(INDEX(rMed2,4844)),ISNUMBER(INDEX(rMed,4844))),INDEX(rMed,4844),NA()))</f>
        <v>#N/A</v>
      </c>
    </row>
    <row r="4847">
      <c r="BX4847" t="e">
        <f>IF(OR(cMed=0,cMed2=0,4845&gt;nFilas),NA(),IF(AND(ISNUMBER(INDEX(rMed2,4845)),ISNUMBER(INDEX(rMed,4845))),INDEX(rMed2,4845),NA()))</f>
        <v>#N/A</v>
      </c>
      <c r="BY4847" t="e">
        <f>IF(OR(cMed=0,cMed2=0,4845&gt;nFilas),NA(),IF(AND(ISNUMBER(INDEX(rMed2,4845)),ISNUMBER(INDEX(rMed,4845))),INDEX(rMed,4845),NA()))</f>
        <v>#N/A</v>
      </c>
    </row>
    <row r="4848">
      <c r="BX4848" t="e">
        <f>IF(OR(cMed=0,cMed2=0,4846&gt;nFilas),NA(),IF(AND(ISNUMBER(INDEX(rMed2,4846)),ISNUMBER(INDEX(rMed,4846))),INDEX(rMed2,4846),NA()))</f>
        <v>#N/A</v>
      </c>
      <c r="BY4848" t="e">
        <f>IF(OR(cMed=0,cMed2=0,4846&gt;nFilas),NA(),IF(AND(ISNUMBER(INDEX(rMed2,4846)),ISNUMBER(INDEX(rMed,4846))),INDEX(rMed,4846),NA()))</f>
        <v>#N/A</v>
      </c>
    </row>
    <row r="4849">
      <c r="BX4849" t="e">
        <f>IF(OR(cMed=0,cMed2=0,4847&gt;nFilas),NA(),IF(AND(ISNUMBER(INDEX(rMed2,4847)),ISNUMBER(INDEX(rMed,4847))),INDEX(rMed2,4847),NA()))</f>
        <v>#N/A</v>
      </c>
      <c r="BY4849" t="e">
        <f>IF(OR(cMed=0,cMed2=0,4847&gt;nFilas),NA(),IF(AND(ISNUMBER(INDEX(rMed2,4847)),ISNUMBER(INDEX(rMed,4847))),INDEX(rMed,4847),NA()))</f>
        <v>#N/A</v>
      </c>
    </row>
    <row r="4850">
      <c r="BX4850" t="e">
        <f>IF(OR(cMed=0,cMed2=0,4848&gt;nFilas),NA(),IF(AND(ISNUMBER(INDEX(rMed2,4848)),ISNUMBER(INDEX(rMed,4848))),INDEX(rMed2,4848),NA()))</f>
        <v>#N/A</v>
      </c>
      <c r="BY4850" t="e">
        <f>IF(OR(cMed=0,cMed2=0,4848&gt;nFilas),NA(),IF(AND(ISNUMBER(INDEX(rMed2,4848)),ISNUMBER(INDEX(rMed,4848))),INDEX(rMed,4848),NA()))</f>
        <v>#N/A</v>
      </c>
    </row>
    <row r="4851">
      <c r="BX4851" t="e">
        <f>IF(OR(cMed=0,cMed2=0,4849&gt;nFilas),NA(),IF(AND(ISNUMBER(INDEX(rMed2,4849)),ISNUMBER(INDEX(rMed,4849))),INDEX(rMed2,4849),NA()))</f>
        <v>#N/A</v>
      </c>
      <c r="BY4851" t="e">
        <f>IF(OR(cMed=0,cMed2=0,4849&gt;nFilas),NA(),IF(AND(ISNUMBER(INDEX(rMed2,4849)),ISNUMBER(INDEX(rMed,4849))),INDEX(rMed,4849),NA()))</f>
        <v>#N/A</v>
      </c>
    </row>
    <row r="4852">
      <c r="BX4852" t="e">
        <f>IF(OR(cMed=0,cMed2=0,4850&gt;nFilas),NA(),IF(AND(ISNUMBER(INDEX(rMed2,4850)),ISNUMBER(INDEX(rMed,4850))),INDEX(rMed2,4850),NA()))</f>
        <v>#N/A</v>
      </c>
      <c r="BY4852" t="e">
        <f>IF(OR(cMed=0,cMed2=0,4850&gt;nFilas),NA(),IF(AND(ISNUMBER(INDEX(rMed2,4850)),ISNUMBER(INDEX(rMed,4850))),INDEX(rMed,4850),NA()))</f>
        <v>#N/A</v>
      </c>
    </row>
    <row r="4853">
      <c r="BX4853" t="e">
        <f>IF(OR(cMed=0,cMed2=0,4851&gt;nFilas),NA(),IF(AND(ISNUMBER(INDEX(rMed2,4851)),ISNUMBER(INDEX(rMed,4851))),INDEX(rMed2,4851),NA()))</f>
        <v>#N/A</v>
      </c>
      <c r="BY4853" t="e">
        <f>IF(OR(cMed=0,cMed2=0,4851&gt;nFilas),NA(),IF(AND(ISNUMBER(INDEX(rMed2,4851)),ISNUMBER(INDEX(rMed,4851))),INDEX(rMed,4851),NA()))</f>
        <v>#N/A</v>
      </c>
    </row>
    <row r="4854">
      <c r="BX4854" t="e">
        <f>IF(OR(cMed=0,cMed2=0,4852&gt;nFilas),NA(),IF(AND(ISNUMBER(INDEX(rMed2,4852)),ISNUMBER(INDEX(rMed,4852))),INDEX(rMed2,4852),NA()))</f>
        <v>#N/A</v>
      </c>
      <c r="BY4854" t="e">
        <f>IF(OR(cMed=0,cMed2=0,4852&gt;nFilas),NA(),IF(AND(ISNUMBER(INDEX(rMed2,4852)),ISNUMBER(INDEX(rMed,4852))),INDEX(rMed,4852),NA()))</f>
        <v>#N/A</v>
      </c>
    </row>
    <row r="4855">
      <c r="BX4855" t="e">
        <f>IF(OR(cMed=0,cMed2=0,4853&gt;nFilas),NA(),IF(AND(ISNUMBER(INDEX(rMed2,4853)),ISNUMBER(INDEX(rMed,4853))),INDEX(rMed2,4853),NA()))</f>
        <v>#N/A</v>
      </c>
      <c r="BY4855" t="e">
        <f>IF(OR(cMed=0,cMed2=0,4853&gt;nFilas),NA(),IF(AND(ISNUMBER(INDEX(rMed2,4853)),ISNUMBER(INDEX(rMed,4853))),INDEX(rMed,4853),NA()))</f>
        <v>#N/A</v>
      </c>
    </row>
    <row r="4856">
      <c r="BX4856" t="e">
        <f>IF(OR(cMed=0,cMed2=0,4854&gt;nFilas),NA(),IF(AND(ISNUMBER(INDEX(rMed2,4854)),ISNUMBER(INDEX(rMed,4854))),INDEX(rMed2,4854),NA()))</f>
        <v>#N/A</v>
      </c>
      <c r="BY4856" t="e">
        <f>IF(OR(cMed=0,cMed2=0,4854&gt;nFilas),NA(),IF(AND(ISNUMBER(INDEX(rMed2,4854)),ISNUMBER(INDEX(rMed,4854))),INDEX(rMed,4854),NA()))</f>
        <v>#N/A</v>
      </c>
    </row>
    <row r="4857">
      <c r="BX4857" t="e">
        <f>IF(OR(cMed=0,cMed2=0,4855&gt;nFilas),NA(),IF(AND(ISNUMBER(INDEX(rMed2,4855)),ISNUMBER(INDEX(rMed,4855))),INDEX(rMed2,4855),NA()))</f>
        <v>#N/A</v>
      </c>
      <c r="BY4857" t="e">
        <f>IF(OR(cMed=0,cMed2=0,4855&gt;nFilas),NA(),IF(AND(ISNUMBER(INDEX(rMed2,4855)),ISNUMBER(INDEX(rMed,4855))),INDEX(rMed,4855),NA()))</f>
        <v>#N/A</v>
      </c>
    </row>
    <row r="4858">
      <c r="BX4858" t="e">
        <f>IF(OR(cMed=0,cMed2=0,4856&gt;nFilas),NA(),IF(AND(ISNUMBER(INDEX(rMed2,4856)),ISNUMBER(INDEX(rMed,4856))),INDEX(rMed2,4856),NA()))</f>
        <v>#N/A</v>
      </c>
      <c r="BY4858" t="e">
        <f>IF(OR(cMed=0,cMed2=0,4856&gt;nFilas),NA(),IF(AND(ISNUMBER(INDEX(rMed2,4856)),ISNUMBER(INDEX(rMed,4856))),INDEX(rMed,4856),NA()))</f>
        <v>#N/A</v>
      </c>
    </row>
    <row r="4859">
      <c r="BX4859" t="e">
        <f>IF(OR(cMed=0,cMed2=0,4857&gt;nFilas),NA(),IF(AND(ISNUMBER(INDEX(rMed2,4857)),ISNUMBER(INDEX(rMed,4857))),INDEX(rMed2,4857),NA()))</f>
        <v>#N/A</v>
      </c>
      <c r="BY4859" t="e">
        <f>IF(OR(cMed=0,cMed2=0,4857&gt;nFilas),NA(),IF(AND(ISNUMBER(INDEX(rMed2,4857)),ISNUMBER(INDEX(rMed,4857))),INDEX(rMed,4857),NA()))</f>
        <v>#N/A</v>
      </c>
    </row>
    <row r="4860">
      <c r="BX4860" t="e">
        <f>IF(OR(cMed=0,cMed2=0,4858&gt;nFilas),NA(),IF(AND(ISNUMBER(INDEX(rMed2,4858)),ISNUMBER(INDEX(rMed,4858))),INDEX(rMed2,4858),NA()))</f>
        <v>#N/A</v>
      </c>
      <c r="BY4860" t="e">
        <f>IF(OR(cMed=0,cMed2=0,4858&gt;nFilas),NA(),IF(AND(ISNUMBER(INDEX(rMed2,4858)),ISNUMBER(INDEX(rMed,4858))),INDEX(rMed,4858),NA()))</f>
        <v>#N/A</v>
      </c>
    </row>
    <row r="4861">
      <c r="BX4861" t="e">
        <f>IF(OR(cMed=0,cMed2=0,4859&gt;nFilas),NA(),IF(AND(ISNUMBER(INDEX(rMed2,4859)),ISNUMBER(INDEX(rMed,4859))),INDEX(rMed2,4859),NA()))</f>
        <v>#N/A</v>
      </c>
      <c r="BY4861" t="e">
        <f>IF(OR(cMed=0,cMed2=0,4859&gt;nFilas),NA(),IF(AND(ISNUMBER(INDEX(rMed2,4859)),ISNUMBER(INDEX(rMed,4859))),INDEX(rMed,4859),NA()))</f>
        <v>#N/A</v>
      </c>
    </row>
    <row r="4862">
      <c r="BX4862" t="e">
        <f>IF(OR(cMed=0,cMed2=0,4860&gt;nFilas),NA(),IF(AND(ISNUMBER(INDEX(rMed2,4860)),ISNUMBER(INDEX(rMed,4860))),INDEX(rMed2,4860),NA()))</f>
        <v>#N/A</v>
      </c>
      <c r="BY4862" t="e">
        <f>IF(OR(cMed=0,cMed2=0,4860&gt;nFilas),NA(),IF(AND(ISNUMBER(INDEX(rMed2,4860)),ISNUMBER(INDEX(rMed,4860))),INDEX(rMed,4860),NA()))</f>
        <v>#N/A</v>
      </c>
    </row>
    <row r="4863">
      <c r="BX4863" t="e">
        <f>IF(OR(cMed=0,cMed2=0,4861&gt;nFilas),NA(),IF(AND(ISNUMBER(INDEX(rMed2,4861)),ISNUMBER(INDEX(rMed,4861))),INDEX(rMed2,4861),NA()))</f>
        <v>#N/A</v>
      </c>
      <c r="BY4863" t="e">
        <f>IF(OR(cMed=0,cMed2=0,4861&gt;nFilas),NA(),IF(AND(ISNUMBER(INDEX(rMed2,4861)),ISNUMBER(INDEX(rMed,4861))),INDEX(rMed,4861),NA()))</f>
        <v>#N/A</v>
      </c>
    </row>
    <row r="4864">
      <c r="BX4864" t="e">
        <f>IF(OR(cMed=0,cMed2=0,4862&gt;nFilas),NA(),IF(AND(ISNUMBER(INDEX(rMed2,4862)),ISNUMBER(INDEX(rMed,4862))),INDEX(rMed2,4862),NA()))</f>
        <v>#N/A</v>
      </c>
      <c r="BY4864" t="e">
        <f>IF(OR(cMed=0,cMed2=0,4862&gt;nFilas),NA(),IF(AND(ISNUMBER(INDEX(rMed2,4862)),ISNUMBER(INDEX(rMed,4862))),INDEX(rMed,4862),NA()))</f>
        <v>#N/A</v>
      </c>
    </row>
    <row r="4865">
      <c r="BX4865" t="e">
        <f>IF(OR(cMed=0,cMed2=0,4863&gt;nFilas),NA(),IF(AND(ISNUMBER(INDEX(rMed2,4863)),ISNUMBER(INDEX(rMed,4863))),INDEX(rMed2,4863),NA()))</f>
        <v>#N/A</v>
      </c>
      <c r="BY4865" t="e">
        <f>IF(OR(cMed=0,cMed2=0,4863&gt;nFilas),NA(),IF(AND(ISNUMBER(INDEX(rMed2,4863)),ISNUMBER(INDEX(rMed,4863))),INDEX(rMed,4863),NA()))</f>
        <v>#N/A</v>
      </c>
    </row>
    <row r="4866">
      <c r="BX4866" t="e">
        <f>IF(OR(cMed=0,cMed2=0,4864&gt;nFilas),NA(),IF(AND(ISNUMBER(INDEX(rMed2,4864)),ISNUMBER(INDEX(rMed,4864))),INDEX(rMed2,4864),NA()))</f>
        <v>#N/A</v>
      </c>
      <c r="BY4866" t="e">
        <f>IF(OR(cMed=0,cMed2=0,4864&gt;nFilas),NA(),IF(AND(ISNUMBER(INDEX(rMed2,4864)),ISNUMBER(INDEX(rMed,4864))),INDEX(rMed,4864),NA()))</f>
        <v>#N/A</v>
      </c>
    </row>
    <row r="4867">
      <c r="BX4867" t="e">
        <f>IF(OR(cMed=0,cMed2=0,4865&gt;nFilas),NA(),IF(AND(ISNUMBER(INDEX(rMed2,4865)),ISNUMBER(INDEX(rMed,4865))),INDEX(rMed2,4865),NA()))</f>
        <v>#N/A</v>
      </c>
      <c r="BY4867" t="e">
        <f>IF(OR(cMed=0,cMed2=0,4865&gt;nFilas),NA(),IF(AND(ISNUMBER(INDEX(rMed2,4865)),ISNUMBER(INDEX(rMed,4865))),INDEX(rMed,4865),NA()))</f>
        <v>#N/A</v>
      </c>
    </row>
    <row r="4868">
      <c r="BX4868" t="e">
        <f>IF(OR(cMed=0,cMed2=0,4866&gt;nFilas),NA(),IF(AND(ISNUMBER(INDEX(rMed2,4866)),ISNUMBER(INDEX(rMed,4866))),INDEX(rMed2,4866),NA()))</f>
        <v>#N/A</v>
      </c>
      <c r="BY4868" t="e">
        <f>IF(OR(cMed=0,cMed2=0,4866&gt;nFilas),NA(),IF(AND(ISNUMBER(INDEX(rMed2,4866)),ISNUMBER(INDEX(rMed,4866))),INDEX(rMed,4866),NA()))</f>
        <v>#N/A</v>
      </c>
    </row>
    <row r="4869">
      <c r="BX4869" t="e">
        <f>IF(OR(cMed=0,cMed2=0,4867&gt;nFilas),NA(),IF(AND(ISNUMBER(INDEX(rMed2,4867)),ISNUMBER(INDEX(rMed,4867))),INDEX(rMed2,4867),NA()))</f>
        <v>#N/A</v>
      </c>
      <c r="BY4869" t="e">
        <f>IF(OR(cMed=0,cMed2=0,4867&gt;nFilas),NA(),IF(AND(ISNUMBER(INDEX(rMed2,4867)),ISNUMBER(INDEX(rMed,4867))),INDEX(rMed,4867),NA()))</f>
        <v>#N/A</v>
      </c>
    </row>
    <row r="4870">
      <c r="BX4870" t="e">
        <f>IF(OR(cMed=0,cMed2=0,4868&gt;nFilas),NA(),IF(AND(ISNUMBER(INDEX(rMed2,4868)),ISNUMBER(INDEX(rMed,4868))),INDEX(rMed2,4868),NA()))</f>
        <v>#N/A</v>
      </c>
      <c r="BY4870" t="e">
        <f>IF(OR(cMed=0,cMed2=0,4868&gt;nFilas),NA(),IF(AND(ISNUMBER(INDEX(rMed2,4868)),ISNUMBER(INDEX(rMed,4868))),INDEX(rMed,4868),NA()))</f>
        <v>#N/A</v>
      </c>
    </row>
    <row r="4871">
      <c r="BX4871" t="e">
        <f>IF(OR(cMed=0,cMed2=0,4869&gt;nFilas),NA(),IF(AND(ISNUMBER(INDEX(rMed2,4869)),ISNUMBER(INDEX(rMed,4869))),INDEX(rMed2,4869),NA()))</f>
        <v>#N/A</v>
      </c>
      <c r="BY4871" t="e">
        <f>IF(OR(cMed=0,cMed2=0,4869&gt;nFilas),NA(),IF(AND(ISNUMBER(INDEX(rMed2,4869)),ISNUMBER(INDEX(rMed,4869))),INDEX(rMed,4869),NA()))</f>
        <v>#N/A</v>
      </c>
    </row>
    <row r="4872">
      <c r="BX4872" t="e">
        <f>IF(OR(cMed=0,cMed2=0,4870&gt;nFilas),NA(),IF(AND(ISNUMBER(INDEX(rMed2,4870)),ISNUMBER(INDEX(rMed,4870))),INDEX(rMed2,4870),NA()))</f>
        <v>#N/A</v>
      </c>
      <c r="BY4872" t="e">
        <f>IF(OR(cMed=0,cMed2=0,4870&gt;nFilas),NA(),IF(AND(ISNUMBER(INDEX(rMed2,4870)),ISNUMBER(INDEX(rMed,4870))),INDEX(rMed,4870),NA()))</f>
        <v>#N/A</v>
      </c>
    </row>
    <row r="4873">
      <c r="BX4873" t="e">
        <f>IF(OR(cMed=0,cMed2=0,4871&gt;nFilas),NA(),IF(AND(ISNUMBER(INDEX(rMed2,4871)),ISNUMBER(INDEX(rMed,4871))),INDEX(rMed2,4871),NA()))</f>
        <v>#N/A</v>
      </c>
      <c r="BY4873" t="e">
        <f>IF(OR(cMed=0,cMed2=0,4871&gt;nFilas),NA(),IF(AND(ISNUMBER(INDEX(rMed2,4871)),ISNUMBER(INDEX(rMed,4871))),INDEX(rMed,4871),NA()))</f>
        <v>#N/A</v>
      </c>
    </row>
    <row r="4874">
      <c r="BX4874" t="e">
        <f>IF(OR(cMed=0,cMed2=0,4872&gt;nFilas),NA(),IF(AND(ISNUMBER(INDEX(rMed2,4872)),ISNUMBER(INDEX(rMed,4872))),INDEX(rMed2,4872),NA()))</f>
        <v>#N/A</v>
      </c>
      <c r="BY4874" t="e">
        <f>IF(OR(cMed=0,cMed2=0,4872&gt;nFilas),NA(),IF(AND(ISNUMBER(INDEX(rMed2,4872)),ISNUMBER(INDEX(rMed,4872))),INDEX(rMed,4872),NA()))</f>
        <v>#N/A</v>
      </c>
    </row>
    <row r="4875">
      <c r="BX4875" t="e">
        <f>IF(OR(cMed=0,cMed2=0,4873&gt;nFilas),NA(),IF(AND(ISNUMBER(INDEX(rMed2,4873)),ISNUMBER(INDEX(rMed,4873))),INDEX(rMed2,4873),NA()))</f>
        <v>#N/A</v>
      </c>
      <c r="BY4875" t="e">
        <f>IF(OR(cMed=0,cMed2=0,4873&gt;nFilas),NA(),IF(AND(ISNUMBER(INDEX(rMed2,4873)),ISNUMBER(INDEX(rMed,4873))),INDEX(rMed,4873),NA()))</f>
        <v>#N/A</v>
      </c>
    </row>
    <row r="4876">
      <c r="BX4876" t="e">
        <f>IF(OR(cMed=0,cMed2=0,4874&gt;nFilas),NA(),IF(AND(ISNUMBER(INDEX(rMed2,4874)),ISNUMBER(INDEX(rMed,4874))),INDEX(rMed2,4874),NA()))</f>
        <v>#N/A</v>
      </c>
      <c r="BY4876" t="e">
        <f>IF(OR(cMed=0,cMed2=0,4874&gt;nFilas),NA(),IF(AND(ISNUMBER(INDEX(rMed2,4874)),ISNUMBER(INDEX(rMed,4874))),INDEX(rMed,4874),NA()))</f>
        <v>#N/A</v>
      </c>
    </row>
    <row r="4877">
      <c r="BX4877" t="e">
        <f>IF(OR(cMed=0,cMed2=0,4875&gt;nFilas),NA(),IF(AND(ISNUMBER(INDEX(rMed2,4875)),ISNUMBER(INDEX(rMed,4875))),INDEX(rMed2,4875),NA()))</f>
        <v>#N/A</v>
      </c>
      <c r="BY4877" t="e">
        <f>IF(OR(cMed=0,cMed2=0,4875&gt;nFilas),NA(),IF(AND(ISNUMBER(INDEX(rMed2,4875)),ISNUMBER(INDEX(rMed,4875))),INDEX(rMed,4875),NA()))</f>
        <v>#N/A</v>
      </c>
    </row>
    <row r="4878">
      <c r="BX4878" t="e">
        <f>IF(OR(cMed=0,cMed2=0,4876&gt;nFilas),NA(),IF(AND(ISNUMBER(INDEX(rMed2,4876)),ISNUMBER(INDEX(rMed,4876))),INDEX(rMed2,4876),NA()))</f>
        <v>#N/A</v>
      </c>
      <c r="BY4878" t="e">
        <f>IF(OR(cMed=0,cMed2=0,4876&gt;nFilas),NA(),IF(AND(ISNUMBER(INDEX(rMed2,4876)),ISNUMBER(INDEX(rMed,4876))),INDEX(rMed,4876),NA()))</f>
        <v>#N/A</v>
      </c>
    </row>
    <row r="4879">
      <c r="BX4879" t="e">
        <f>IF(OR(cMed=0,cMed2=0,4877&gt;nFilas),NA(),IF(AND(ISNUMBER(INDEX(rMed2,4877)),ISNUMBER(INDEX(rMed,4877))),INDEX(rMed2,4877),NA()))</f>
        <v>#N/A</v>
      </c>
      <c r="BY4879" t="e">
        <f>IF(OR(cMed=0,cMed2=0,4877&gt;nFilas),NA(),IF(AND(ISNUMBER(INDEX(rMed2,4877)),ISNUMBER(INDEX(rMed,4877))),INDEX(rMed,4877),NA()))</f>
        <v>#N/A</v>
      </c>
    </row>
    <row r="4880">
      <c r="BX4880" t="e">
        <f>IF(OR(cMed=0,cMed2=0,4878&gt;nFilas),NA(),IF(AND(ISNUMBER(INDEX(rMed2,4878)),ISNUMBER(INDEX(rMed,4878))),INDEX(rMed2,4878),NA()))</f>
        <v>#N/A</v>
      </c>
      <c r="BY4880" t="e">
        <f>IF(OR(cMed=0,cMed2=0,4878&gt;nFilas),NA(),IF(AND(ISNUMBER(INDEX(rMed2,4878)),ISNUMBER(INDEX(rMed,4878))),INDEX(rMed,4878),NA()))</f>
        <v>#N/A</v>
      </c>
    </row>
    <row r="4881">
      <c r="BX4881" t="e">
        <f>IF(OR(cMed=0,cMed2=0,4879&gt;nFilas),NA(),IF(AND(ISNUMBER(INDEX(rMed2,4879)),ISNUMBER(INDEX(rMed,4879))),INDEX(rMed2,4879),NA()))</f>
        <v>#N/A</v>
      </c>
      <c r="BY4881" t="e">
        <f>IF(OR(cMed=0,cMed2=0,4879&gt;nFilas),NA(),IF(AND(ISNUMBER(INDEX(rMed2,4879)),ISNUMBER(INDEX(rMed,4879))),INDEX(rMed,4879),NA()))</f>
        <v>#N/A</v>
      </c>
    </row>
    <row r="4882">
      <c r="BX4882" t="e">
        <f>IF(OR(cMed=0,cMed2=0,4880&gt;nFilas),NA(),IF(AND(ISNUMBER(INDEX(rMed2,4880)),ISNUMBER(INDEX(rMed,4880))),INDEX(rMed2,4880),NA()))</f>
        <v>#N/A</v>
      </c>
      <c r="BY4882" t="e">
        <f>IF(OR(cMed=0,cMed2=0,4880&gt;nFilas),NA(),IF(AND(ISNUMBER(INDEX(rMed2,4880)),ISNUMBER(INDEX(rMed,4880))),INDEX(rMed,4880),NA()))</f>
        <v>#N/A</v>
      </c>
    </row>
    <row r="4883">
      <c r="BX4883" t="e">
        <f>IF(OR(cMed=0,cMed2=0,4881&gt;nFilas),NA(),IF(AND(ISNUMBER(INDEX(rMed2,4881)),ISNUMBER(INDEX(rMed,4881))),INDEX(rMed2,4881),NA()))</f>
        <v>#N/A</v>
      </c>
      <c r="BY4883" t="e">
        <f>IF(OR(cMed=0,cMed2=0,4881&gt;nFilas),NA(),IF(AND(ISNUMBER(INDEX(rMed2,4881)),ISNUMBER(INDEX(rMed,4881))),INDEX(rMed,4881),NA()))</f>
        <v>#N/A</v>
      </c>
    </row>
    <row r="4884">
      <c r="BX4884" t="e">
        <f>IF(OR(cMed=0,cMed2=0,4882&gt;nFilas),NA(),IF(AND(ISNUMBER(INDEX(rMed2,4882)),ISNUMBER(INDEX(rMed,4882))),INDEX(rMed2,4882),NA()))</f>
        <v>#N/A</v>
      </c>
      <c r="BY4884" t="e">
        <f>IF(OR(cMed=0,cMed2=0,4882&gt;nFilas),NA(),IF(AND(ISNUMBER(INDEX(rMed2,4882)),ISNUMBER(INDEX(rMed,4882))),INDEX(rMed,4882),NA()))</f>
        <v>#N/A</v>
      </c>
    </row>
    <row r="4885">
      <c r="BX4885" t="e">
        <f>IF(OR(cMed=0,cMed2=0,4883&gt;nFilas),NA(),IF(AND(ISNUMBER(INDEX(rMed2,4883)),ISNUMBER(INDEX(rMed,4883))),INDEX(rMed2,4883),NA()))</f>
        <v>#N/A</v>
      </c>
      <c r="BY4885" t="e">
        <f>IF(OR(cMed=0,cMed2=0,4883&gt;nFilas),NA(),IF(AND(ISNUMBER(INDEX(rMed2,4883)),ISNUMBER(INDEX(rMed,4883))),INDEX(rMed,4883),NA()))</f>
        <v>#N/A</v>
      </c>
    </row>
    <row r="4886">
      <c r="BX4886" t="e">
        <f>IF(OR(cMed=0,cMed2=0,4884&gt;nFilas),NA(),IF(AND(ISNUMBER(INDEX(rMed2,4884)),ISNUMBER(INDEX(rMed,4884))),INDEX(rMed2,4884),NA()))</f>
        <v>#N/A</v>
      </c>
      <c r="BY4886" t="e">
        <f>IF(OR(cMed=0,cMed2=0,4884&gt;nFilas),NA(),IF(AND(ISNUMBER(INDEX(rMed2,4884)),ISNUMBER(INDEX(rMed,4884))),INDEX(rMed,4884),NA()))</f>
        <v>#N/A</v>
      </c>
    </row>
    <row r="4887">
      <c r="BX4887" t="e">
        <f>IF(OR(cMed=0,cMed2=0,4885&gt;nFilas),NA(),IF(AND(ISNUMBER(INDEX(rMed2,4885)),ISNUMBER(INDEX(rMed,4885))),INDEX(rMed2,4885),NA()))</f>
        <v>#N/A</v>
      </c>
      <c r="BY4887" t="e">
        <f>IF(OR(cMed=0,cMed2=0,4885&gt;nFilas),NA(),IF(AND(ISNUMBER(INDEX(rMed2,4885)),ISNUMBER(INDEX(rMed,4885))),INDEX(rMed,4885),NA()))</f>
        <v>#N/A</v>
      </c>
    </row>
    <row r="4888">
      <c r="BX4888" t="e">
        <f>IF(OR(cMed=0,cMed2=0,4886&gt;nFilas),NA(),IF(AND(ISNUMBER(INDEX(rMed2,4886)),ISNUMBER(INDEX(rMed,4886))),INDEX(rMed2,4886),NA()))</f>
        <v>#N/A</v>
      </c>
      <c r="BY4888" t="e">
        <f>IF(OR(cMed=0,cMed2=0,4886&gt;nFilas),NA(),IF(AND(ISNUMBER(INDEX(rMed2,4886)),ISNUMBER(INDEX(rMed,4886))),INDEX(rMed,4886),NA()))</f>
        <v>#N/A</v>
      </c>
    </row>
    <row r="4889">
      <c r="BX4889" t="e">
        <f>IF(OR(cMed=0,cMed2=0,4887&gt;nFilas),NA(),IF(AND(ISNUMBER(INDEX(rMed2,4887)),ISNUMBER(INDEX(rMed,4887))),INDEX(rMed2,4887),NA()))</f>
        <v>#N/A</v>
      </c>
      <c r="BY4889" t="e">
        <f>IF(OR(cMed=0,cMed2=0,4887&gt;nFilas),NA(),IF(AND(ISNUMBER(INDEX(rMed2,4887)),ISNUMBER(INDEX(rMed,4887))),INDEX(rMed,4887),NA()))</f>
        <v>#N/A</v>
      </c>
    </row>
    <row r="4890">
      <c r="BX4890" t="e">
        <f>IF(OR(cMed=0,cMed2=0,4888&gt;nFilas),NA(),IF(AND(ISNUMBER(INDEX(rMed2,4888)),ISNUMBER(INDEX(rMed,4888))),INDEX(rMed2,4888),NA()))</f>
        <v>#N/A</v>
      </c>
      <c r="BY4890" t="e">
        <f>IF(OR(cMed=0,cMed2=0,4888&gt;nFilas),NA(),IF(AND(ISNUMBER(INDEX(rMed2,4888)),ISNUMBER(INDEX(rMed,4888))),INDEX(rMed,4888),NA()))</f>
        <v>#N/A</v>
      </c>
    </row>
    <row r="4891">
      <c r="BX4891" t="e">
        <f>IF(OR(cMed=0,cMed2=0,4889&gt;nFilas),NA(),IF(AND(ISNUMBER(INDEX(rMed2,4889)),ISNUMBER(INDEX(rMed,4889))),INDEX(rMed2,4889),NA()))</f>
        <v>#N/A</v>
      </c>
      <c r="BY4891" t="e">
        <f>IF(OR(cMed=0,cMed2=0,4889&gt;nFilas),NA(),IF(AND(ISNUMBER(INDEX(rMed2,4889)),ISNUMBER(INDEX(rMed,4889))),INDEX(rMed,4889),NA()))</f>
        <v>#N/A</v>
      </c>
    </row>
    <row r="4892">
      <c r="BX4892" t="e">
        <f>IF(OR(cMed=0,cMed2=0,4890&gt;nFilas),NA(),IF(AND(ISNUMBER(INDEX(rMed2,4890)),ISNUMBER(INDEX(rMed,4890))),INDEX(rMed2,4890),NA()))</f>
        <v>#N/A</v>
      </c>
      <c r="BY4892" t="e">
        <f>IF(OR(cMed=0,cMed2=0,4890&gt;nFilas),NA(),IF(AND(ISNUMBER(INDEX(rMed2,4890)),ISNUMBER(INDEX(rMed,4890))),INDEX(rMed,4890),NA()))</f>
        <v>#N/A</v>
      </c>
    </row>
    <row r="4893">
      <c r="BX4893" t="e">
        <f>IF(OR(cMed=0,cMed2=0,4891&gt;nFilas),NA(),IF(AND(ISNUMBER(INDEX(rMed2,4891)),ISNUMBER(INDEX(rMed,4891))),INDEX(rMed2,4891),NA()))</f>
        <v>#N/A</v>
      </c>
      <c r="BY4893" t="e">
        <f>IF(OR(cMed=0,cMed2=0,4891&gt;nFilas),NA(),IF(AND(ISNUMBER(INDEX(rMed2,4891)),ISNUMBER(INDEX(rMed,4891))),INDEX(rMed,4891),NA()))</f>
        <v>#N/A</v>
      </c>
    </row>
    <row r="4894">
      <c r="BX4894" t="e">
        <f>IF(OR(cMed=0,cMed2=0,4892&gt;nFilas),NA(),IF(AND(ISNUMBER(INDEX(rMed2,4892)),ISNUMBER(INDEX(rMed,4892))),INDEX(rMed2,4892),NA()))</f>
        <v>#N/A</v>
      </c>
      <c r="BY4894" t="e">
        <f>IF(OR(cMed=0,cMed2=0,4892&gt;nFilas),NA(),IF(AND(ISNUMBER(INDEX(rMed2,4892)),ISNUMBER(INDEX(rMed,4892))),INDEX(rMed,4892),NA()))</f>
        <v>#N/A</v>
      </c>
    </row>
    <row r="4895">
      <c r="BX4895" t="e">
        <f>IF(OR(cMed=0,cMed2=0,4893&gt;nFilas),NA(),IF(AND(ISNUMBER(INDEX(rMed2,4893)),ISNUMBER(INDEX(rMed,4893))),INDEX(rMed2,4893),NA()))</f>
        <v>#N/A</v>
      </c>
      <c r="BY4895" t="e">
        <f>IF(OR(cMed=0,cMed2=0,4893&gt;nFilas),NA(),IF(AND(ISNUMBER(INDEX(rMed2,4893)),ISNUMBER(INDEX(rMed,4893))),INDEX(rMed,4893),NA()))</f>
        <v>#N/A</v>
      </c>
    </row>
    <row r="4896">
      <c r="BX4896" t="e">
        <f>IF(OR(cMed=0,cMed2=0,4894&gt;nFilas),NA(),IF(AND(ISNUMBER(INDEX(rMed2,4894)),ISNUMBER(INDEX(rMed,4894))),INDEX(rMed2,4894),NA()))</f>
        <v>#N/A</v>
      </c>
      <c r="BY4896" t="e">
        <f>IF(OR(cMed=0,cMed2=0,4894&gt;nFilas),NA(),IF(AND(ISNUMBER(INDEX(rMed2,4894)),ISNUMBER(INDEX(rMed,4894))),INDEX(rMed,4894),NA()))</f>
        <v>#N/A</v>
      </c>
    </row>
    <row r="4897">
      <c r="BX4897" t="e">
        <f>IF(OR(cMed=0,cMed2=0,4895&gt;nFilas),NA(),IF(AND(ISNUMBER(INDEX(rMed2,4895)),ISNUMBER(INDEX(rMed,4895))),INDEX(rMed2,4895),NA()))</f>
        <v>#N/A</v>
      </c>
      <c r="BY4897" t="e">
        <f>IF(OR(cMed=0,cMed2=0,4895&gt;nFilas),NA(),IF(AND(ISNUMBER(INDEX(rMed2,4895)),ISNUMBER(INDEX(rMed,4895))),INDEX(rMed,4895),NA()))</f>
        <v>#N/A</v>
      </c>
    </row>
    <row r="4898">
      <c r="BX4898" t="e">
        <f>IF(OR(cMed=0,cMed2=0,4896&gt;nFilas),NA(),IF(AND(ISNUMBER(INDEX(rMed2,4896)),ISNUMBER(INDEX(rMed,4896))),INDEX(rMed2,4896),NA()))</f>
        <v>#N/A</v>
      </c>
      <c r="BY4898" t="e">
        <f>IF(OR(cMed=0,cMed2=0,4896&gt;nFilas),NA(),IF(AND(ISNUMBER(INDEX(rMed2,4896)),ISNUMBER(INDEX(rMed,4896))),INDEX(rMed,4896),NA()))</f>
        <v>#N/A</v>
      </c>
    </row>
    <row r="4899">
      <c r="BX4899" t="e">
        <f>IF(OR(cMed=0,cMed2=0,4897&gt;nFilas),NA(),IF(AND(ISNUMBER(INDEX(rMed2,4897)),ISNUMBER(INDEX(rMed,4897))),INDEX(rMed2,4897),NA()))</f>
        <v>#N/A</v>
      </c>
      <c r="BY4899" t="e">
        <f>IF(OR(cMed=0,cMed2=0,4897&gt;nFilas),NA(),IF(AND(ISNUMBER(INDEX(rMed2,4897)),ISNUMBER(INDEX(rMed,4897))),INDEX(rMed,4897),NA()))</f>
        <v>#N/A</v>
      </c>
    </row>
    <row r="4900">
      <c r="BX4900" t="e">
        <f>IF(OR(cMed=0,cMed2=0,4898&gt;nFilas),NA(),IF(AND(ISNUMBER(INDEX(rMed2,4898)),ISNUMBER(INDEX(rMed,4898))),INDEX(rMed2,4898),NA()))</f>
        <v>#N/A</v>
      </c>
      <c r="BY4900" t="e">
        <f>IF(OR(cMed=0,cMed2=0,4898&gt;nFilas),NA(),IF(AND(ISNUMBER(INDEX(rMed2,4898)),ISNUMBER(INDEX(rMed,4898))),INDEX(rMed,4898),NA()))</f>
        <v>#N/A</v>
      </c>
    </row>
    <row r="4901">
      <c r="BX4901" t="e">
        <f>IF(OR(cMed=0,cMed2=0,4899&gt;nFilas),NA(),IF(AND(ISNUMBER(INDEX(rMed2,4899)),ISNUMBER(INDEX(rMed,4899))),INDEX(rMed2,4899),NA()))</f>
        <v>#N/A</v>
      </c>
      <c r="BY4901" t="e">
        <f>IF(OR(cMed=0,cMed2=0,4899&gt;nFilas),NA(),IF(AND(ISNUMBER(INDEX(rMed2,4899)),ISNUMBER(INDEX(rMed,4899))),INDEX(rMed,4899),NA()))</f>
        <v>#N/A</v>
      </c>
    </row>
    <row r="4902">
      <c r="BX4902" t="e">
        <f>IF(OR(cMed=0,cMed2=0,4900&gt;nFilas),NA(),IF(AND(ISNUMBER(INDEX(rMed2,4900)),ISNUMBER(INDEX(rMed,4900))),INDEX(rMed2,4900),NA()))</f>
        <v>#N/A</v>
      </c>
      <c r="BY4902" t="e">
        <f>IF(OR(cMed=0,cMed2=0,4900&gt;nFilas),NA(),IF(AND(ISNUMBER(INDEX(rMed2,4900)),ISNUMBER(INDEX(rMed,4900))),INDEX(rMed,4900),NA()))</f>
        <v>#N/A</v>
      </c>
    </row>
    <row r="4903">
      <c r="BX4903" t="e">
        <f>IF(OR(cMed=0,cMed2=0,4901&gt;nFilas),NA(),IF(AND(ISNUMBER(INDEX(rMed2,4901)),ISNUMBER(INDEX(rMed,4901))),INDEX(rMed2,4901),NA()))</f>
        <v>#N/A</v>
      </c>
      <c r="BY4903" t="e">
        <f>IF(OR(cMed=0,cMed2=0,4901&gt;nFilas),NA(),IF(AND(ISNUMBER(INDEX(rMed2,4901)),ISNUMBER(INDEX(rMed,4901))),INDEX(rMed,4901),NA()))</f>
        <v>#N/A</v>
      </c>
    </row>
    <row r="4904">
      <c r="BX4904" t="e">
        <f>IF(OR(cMed=0,cMed2=0,4902&gt;nFilas),NA(),IF(AND(ISNUMBER(INDEX(rMed2,4902)),ISNUMBER(INDEX(rMed,4902))),INDEX(rMed2,4902),NA()))</f>
        <v>#N/A</v>
      </c>
      <c r="BY4904" t="e">
        <f>IF(OR(cMed=0,cMed2=0,4902&gt;nFilas),NA(),IF(AND(ISNUMBER(INDEX(rMed2,4902)),ISNUMBER(INDEX(rMed,4902))),INDEX(rMed,4902),NA()))</f>
        <v>#N/A</v>
      </c>
    </row>
    <row r="4905">
      <c r="BX4905" t="e">
        <f>IF(OR(cMed=0,cMed2=0,4903&gt;nFilas),NA(),IF(AND(ISNUMBER(INDEX(rMed2,4903)),ISNUMBER(INDEX(rMed,4903))),INDEX(rMed2,4903),NA()))</f>
        <v>#N/A</v>
      </c>
      <c r="BY4905" t="e">
        <f>IF(OR(cMed=0,cMed2=0,4903&gt;nFilas),NA(),IF(AND(ISNUMBER(INDEX(rMed2,4903)),ISNUMBER(INDEX(rMed,4903))),INDEX(rMed,4903),NA()))</f>
        <v>#N/A</v>
      </c>
    </row>
    <row r="4906">
      <c r="BX4906" t="e">
        <f>IF(OR(cMed=0,cMed2=0,4904&gt;nFilas),NA(),IF(AND(ISNUMBER(INDEX(rMed2,4904)),ISNUMBER(INDEX(rMed,4904))),INDEX(rMed2,4904),NA()))</f>
        <v>#N/A</v>
      </c>
      <c r="BY4906" t="e">
        <f>IF(OR(cMed=0,cMed2=0,4904&gt;nFilas),NA(),IF(AND(ISNUMBER(INDEX(rMed2,4904)),ISNUMBER(INDEX(rMed,4904))),INDEX(rMed,4904),NA()))</f>
        <v>#N/A</v>
      </c>
    </row>
    <row r="4907">
      <c r="BX4907" t="e">
        <f>IF(OR(cMed=0,cMed2=0,4905&gt;nFilas),NA(),IF(AND(ISNUMBER(INDEX(rMed2,4905)),ISNUMBER(INDEX(rMed,4905))),INDEX(rMed2,4905),NA()))</f>
        <v>#N/A</v>
      </c>
      <c r="BY4907" t="e">
        <f>IF(OR(cMed=0,cMed2=0,4905&gt;nFilas),NA(),IF(AND(ISNUMBER(INDEX(rMed2,4905)),ISNUMBER(INDEX(rMed,4905))),INDEX(rMed,4905),NA()))</f>
        <v>#N/A</v>
      </c>
    </row>
    <row r="4908">
      <c r="BX4908" t="e">
        <f>IF(OR(cMed=0,cMed2=0,4906&gt;nFilas),NA(),IF(AND(ISNUMBER(INDEX(rMed2,4906)),ISNUMBER(INDEX(rMed,4906))),INDEX(rMed2,4906),NA()))</f>
        <v>#N/A</v>
      </c>
      <c r="BY4908" t="e">
        <f>IF(OR(cMed=0,cMed2=0,4906&gt;nFilas),NA(),IF(AND(ISNUMBER(INDEX(rMed2,4906)),ISNUMBER(INDEX(rMed,4906))),INDEX(rMed,4906),NA()))</f>
        <v>#N/A</v>
      </c>
    </row>
    <row r="4909">
      <c r="BX4909" t="e">
        <f>IF(OR(cMed=0,cMed2=0,4907&gt;nFilas),NA(),IF(AND(ISNUMBER(INDEX(rMed2,4907)),ISNUMBER(INDEX(rMed,4907))),INDEX(rMed2,4907),NA()))</f>
        <v>#N/A</v>
      </c>
      <c r="BY4909" t="e">
        <f>IF(OR(cMed=0,cMed2=0,4907&gt;nFilas),NA(),IF(AND(ISNUMBER(INDEX(rMed2,4907)),ISNUMBER(INDEX(rMed,4907))),INDEX(rMed,4907),NA()))</f>
        <v>#N/A</v>
      </c>
    </row>
    <row r="4910">
      <c r="BX4910" t="e">
        <f>IF(OR(cMed=0,cMed2=0,4908&gt;nFilas),NA(),IF(AND(ISNUMBER(INDEX(rMed2,4908)),ISNUMBER(INDEX(rMed,4908))),INDEX(rMed2,4908),NA()))</f>
        <v>#N/A</v>
      </c>
      <c r="BY4910" t="e">
        <f>IF(OR(cMed=0,cMed2=0,4908&gt;nFilas),NA(),IF(AND(ISNUMBER(INDEX(rMed2,4908)),ISNUMBER(INDEX(rMed,4908))),INDEX(rMed,4908),NA()))</f>
        <v>#N/A</v>
      </c>
    </row>
    <row r="4911">
      <c r="BX4911" t="e">
        <f>IF(OR(cMed=0,cMed2=0,4909&gt;nFilas),NA(),IF(AND(ISNUMBER(INDEX(rMed2,4909)),ISNUMBER(INDEX(rMed,4909))),INDEX(rMed2,4909),NA()))</f>
        <v>#N/A</v>
      </c>
      <c r="BY4911" t="e">
        <f>IF(OR(cMed=0,cMed2=0,4909&gt;nFilas),NA(),IF(AND(ISNUMBER(INDEX(rMed2,4909)),ISNUMBER(INDEX(rMed,4909))),INDEX(rMed,4909),NA()))</f>
        <v>#N/A</v>
      </c>
    </row>
    <row r="4912">
      <c r="BX4912" t="e">
        <f>IF(OR(cMed=0,cMed2=0,4910&gt;nFilas),NA(),IF(AND(ISNUMBER(INDEX(rMed2,4910)),ISNUMBER(INDEX(rMed,4910))),INDEX(rMed2,4910),NA()))</f>
        <v>#N/A</v>
      </c>
      <c r="BY4912" t="e">
        <f>IF(OR(cMed=0,cMed2=0,4910&gt;nFilas),NA(),IF(AND(ISNUMBER(INDEX(rMed2,4910)),ISNUMBER(INDEX(rMed,4910))),INDEX(rMed,4910),NA()))</f>
        <v>#N/A</v>
      </c>
    </row>
    <row r="4913">
      <c r="BX4913" t="e">
        <f>IF(OR(cMed=0,cMed2=0,4911&gt;nFilas),NA(),IF(AND(ISNUMBER(INDEX(rMed2,4911)),ISNUMBER(INDEX(rMed,4911))),INDEX(rMed2,4911),NA()))</f>
        <v>#N/A</v>
      </c>
      <c r="BY4913" t="e">
        <f>IF(OR(cMed=0,cMed2=0,4911&gt;nFilas),NA(),IF(AND(ISNUMBER(INDEX(rMed2,4911)),ISNUMBER(INDEX(rMed,4911))),INDEX(rMed,4911),NA()))</f>
        <v>#N/A</v>
      </c>
    </row>
    <row r="4914">
      <c r="BX4914" t="e">
        <f>IF(OR(cMed=0,cMed2=0,4912&gt;nFilas),NA(),IF(AND(ISNUMBER(INDEX(rMed2,4912)),ISNUMBER(INDEX(rMed,4912))),INDEX(rMed2,4912),NA()))</f>
        <v>#N/A</v>
      </c>
      <c r="BY4914" t="e">
        <f>IF(OR(cMed=0,cMed2=0,4912&gt;nFilas),NA(),IF(AND(ISNUMBER(INDEX(rMed2,4912)),ISNUMBER(INDEX(rMed,4912))),INDEX(rMed,4912),NA()))</f>
        <v>#N/A</v>
      </c>
    </row>
    <row r="4915">
      <c r="BX4915" t="e">
        <f>IF(OR(cMed=0,cMed2=0,4913&gt;nFilas),NA(),IF(AND(ISNUMBER(INDEX(rMed2,4913)),ISNUMBER(INDEX(rMed,4913))),INDEX(rMed2,4913),NA()))</f>
        <v>#N/A</v>
      </c>
      <c r="BY4915" t="e">
        <f>IF(OR(cMed=0,cMed2=0,4913&gt;nFilas),NA(),IF(AND(ISNUMBER(INDEX(rMed2,4913)),ISNUMBER(INDEX(rMed,4913))),INDEX(rMed,4913),NA()))</f>
        <v>#N/A</v>
      </c>
    </row>
    <row r="4916">
      <c r="BX4916" t="e">
        <f>IF(OR(cMed=0,cMed2=0,4914&gt;nFilas),NA(),IF(AND(ISNUMBER(INDEX(rMed2,4914)),ISNUMBER(INDEX(rMed,4914))),INDEX(rMed2,4914),NA()))</f>
        <v>#N/A</v>
      </c>
      <c r="BY4916" t="e">
        <f>IF(OR(cMed=0,cMed2=0,4914&gt;nFilas),NA(),IF(AND(ISNUMBER(INDEX(rMed2,4914)),ISNUMBER(INDEX(rMed,4914))),INDEX(rMed,4914),NA()))</f>
        <v>#N/A</v>
      </c>
    </row>
    <row r="4917">
      <c r="BX4917" t="e">
        <f>IF(OR(cMed=0,cMed2=0,4915&gt;nFilas),NA(),IF(AND(ISNUMBER(INDEX(rMed2,4915)),ISNUMBER(INDEX(rMed,4915))),INDEX(rMed2,4915),NA()))</f>
        <v>#N/A</v>
      </c>
      <c r="BY4917" t="e">
        <f>IF(OR(cMed=0,cMed2=0,4915&gt;nFilas),NA(),IF(AND(ISNUMBER(INDEX(rMed2,4915)),ISNUMBER(INDEX(rMed,4915))),INDEX(rMed,4915),NA()))</f>
        <v>#N/A</v>
      </c>
    </row>
    <row r="4918">
      <c r="BX4918" t="e">
        <f>IF(OR(cMed=0,cMed2=0,4916&gt;nFilas),NA(),IF(AND(ISNUMBER(INDEX(rMed2,4916)),ISNUMBER(INDEX(rMed,4916))),INDEX(rMed2,4916),NA()))</f>
        <v>#N/A</v>
      </c>
      <c r="BY4918" t="e">
        <f>IF(OR(cMed=0,cMed2=0,4916&gt;nFilas),NA(),IF(AND(ISNUMBER(INDEX(rMed2,4916)),ISNUMBER(INDEX(rMed,4916))),INDEX(rMed,4916),NA()))</f>
        <v>#N/A</v>
      </c>
    </row>
    <row r="4919">
      <c r="BX4919" t="e">
        <f>IF(OR(cMed=0,cMed2=0,4917&gt;nFilas),NA(),IF(AND(ISNUMBER(INDEX(rMed2,4917)),ISNUMBER(INDEX(rMed,4917))),INDEX(rMed2,4917),NA()))</f>
        <v>#N/A</v>
      </c>
      <c r="BY4919" t="e">
        <f>IF(OR(cMed=0,cMed2=0,4917&gt;nFilas),NA(),IF(AND(ISNUMBER(INDEX(rMed2,4917)),ISNUMBER(INDEX(rMed,4917))),INDEX(rMed,4917),NA()))</f>
        <v>#N/A</v>
      </c>
    </row>
    <row r="4920">
      <c r="BX4920" t="e">
        <f>IF(OR(cMed=0,cMed2=0,4918&gt;nFilas),NA(),IF(AND(ISNUMBER(INDEX(rMed2,4918)),ISNUMBER(INDEX(rMed,4918))),INDEX(rMed2,4918),NA()))</f>
        <v>#N/A</v>
      </c>
      <c r="BY4920" t="e">
        <f>IF(OR(cMed=0,cMed2=0,4918&gt;nFilas),NA(),IF(AND(ISNUMBER(INDEX(rMed2,4918)),ISNUMBER(INDEX(rMed,4918))),INDEX(rMed,4918),NA()))</f>
        <v>#N/A</v>
      </c>
    </row>
    <row r="4921">
      <c r="BX4921" t="e">
        <f>IF(OR(cMed=0,cMed2=0,4919&gt;nFilas),NA(),IF(AND(ISNUMBER(INDEX(rMed2,4919)),ISNUMBER(INDEX(rMed,4919))),INDEX(rMed2,4919),NA()))</f>
        <v>#N/A</v>
      </c>
      <c r="BY4921" t="e">
        <f>IF(OR(cMed=0,cMed2=0,4919&gt;nFilas),NA(),IF(AND(ISNUMBER(INDEX(rMed2,4919)),ISNUMBER(INDEX(rMed,4919))),INDEX(rMed,4919),NA()))</f>
        <v>#N/A</v>
      </c>
    </row>
    <row r="4922">
      <c r="BX4922" t="e">
        <f>IF(OR(cMed=0,cMed2=0,4920&gt;nFilas),NA(),IF(AND(ISNUMBER(INDEX(rMed2,4920)),ISNUMBER(INDEX(rMed,4920))),INDEX(rMed2,4920),NA()))</f>
        <v>#N/A</v>
      </c>
      <c r="BY4922" t="e">
        <f>IF(OR(cMed=0,cMed2=0,4920&gt;nFilas),NA(),IF(AND(ISNUMBER(INDEX(rMed2,4920)),ISNUMBER(INDEX(rMed,4920))),INDEX(rMed,4920),NA()))</f>
        <v>#N/A</v>
      </c>
    </row>
    <row r="4923">
      <c r="BX4923" t="e">
        <f>IF(OR(cMed=0,cMed2=0,4921&gt;nFilas),NA(),IF(AND(ISNUMBER(INDEX(rMed2,4921)),ISNUMBER(INDEX(rMed,4921))),INDEX(rMed2,4921),NA()))</f>
        <v>#N/A</v>
      </c>
      <c r="BY4923" t="e">
        <f>IF(OR(cMed=0,cMed2=0,4921&gt;nFilas),NA(),IF(AND(ISNUMBER(INDEX(rMed2,4921)),ISNUMBER(INDEX(rMed,4921))),INDEX(rMed,4921),NA()))</f>
        <v>#N/A</v>
      </c>
    </row>
    <row r="4924">
      <c r="BX4924" t="e">
        <f>IF(OR(cMed=0,cMed2=0,4922&gt;nFilas),NA(),IF(AND(ISNUMBER(INDEX(rMed2,4922)),ISNUMBER(INDEX(rMed,4922))),INDEX(rMed2,4922),NA()))</f>
        <v>#N/A</v>
      </c>
      <c r="BY4924" t="e">
        <f>IF(OR(cMed=0,cMed2=0,4922&gt;nFilas),NA(),IF(AND(ISNUMBER(INDEX(rMed2,4922)),ISNUMBER(INDEX(rMed,4922))),INDEX(rMed,4922),NA()))</f>
        <v>#N/A</v>
      </c>
    </row>
    <row r="4925">
      <c r="BX4925" t="e">
        <f>IF(OR(cMed=0,cMed2=0,4923&gt;nFilas),NA(),IF(AND(ISNUMBER(INDEX(rMed2,4923)),ISNUMBER(INDEX(rMed,4923))),INDEX(rMed2,4923),NA()))</f>
        <v>#N/A</v>
      </c>
      <c r="BY4925" t="e">
        <f>IF(OR(cMed=0,cMed2=0,4923&gt;nFilas),NA(),IF(AND(ISNUMBER(INDEX(rMed2,4923)),ISNUMBER(INDEX(rMed,4923))),INDEX(rMed,4923),NA()))</f>
        <v>#N/A</v>
      </c>
    </row>
    <row r="4926">
      <c r="BX4926" t="e">
        <f>IF(OR(cMed=0,cMed2=0,4924&gt;nFilas),NA(),IF(AND(ISNUMBER(INDEX(rMed2,4924)),ISNUMBER(INDEX(rMed,4924))),INDEX(rMed2,4924),NA()))</f>
        <v>#N/A</v>
      </c>
      <c r="BY4926" t="e">
        <f>IF(OR(cMed=0,cMed2=0,4924&gt;nFilas),NA(),IF(AND(ISNUMBER(INDEX(rMed2,4924)),ISNUMBER(INDEX(rMed,4924))),INDEX(rMed,4924),NA()))</f>
        <v>#N/A</v>
      </c>
    </row>
    <row r="4927">
      <c r="BX4927" t="e">
        <f>IF(OR(cMed=0,cMed2=0,4925&gt;nFilas),NA(),IF(AND(ISNUMBER(INDEX(rMed2,4925)),ISNUMBER(INDEX(rMed,4925))),INDEX(rMed2,4925),NA()))</f>
        <v>#N/A</v>
      </c>
      <c r="BY4927" t="e">
        <f>IF(OR(cMed=0,cMed2=0,4925&gt;nFilas),NA(),IF(AND(ISNUMBER(INDEX(rMed2,4925)),ISNUMBER(INDEX(rMed,4925))),INDEX(rMed,4925),NA()))</f>
        <v>#N/A</v>
      </c>
    </row>
    <row r="4928">
      <c r="BX4928" t="e">
        <f>IF(OR(cMed=0,cMed2=0,4926&gt;nFilas),NA(),IF(AND(ISNUMBER(INDEX(rMed2,4926)),ISNUMBER(INDEX(rMed,4926))),INDEX(rMed2,4926),NA()))</f>
        <v>#N/A</v>
      </c>
      <c r="BY4928" t="e">
        <f>IF(OR(cMed=0,cMed2=0,4926&gt;nFilas),NA(),IF(AND(ISNUMBER(INDEX(rMed2,4926)),ISNUMBER(INDEX(rMed,4926))),INDEX(rMed,4926),NA()))</f>
        <v>#N/A</v>
      </c>
    </row>
    <row r="4929">
      <c r="BX4929" t="e">
        <f>IF(OR(cMed=0,cMed2=0,4927&gt;nFilas),NA(),IF(AND(ISNUMBER(INDEX(rMed2,4927)),ISNUMBER(INDEX(rMed,4927))),INDEX(rMed2,4927),NA()))</f>
        <v>#N/A</v>
      </c>
      <c r="BY4929" t="e">
        <f>IF(OR(cMed=0,cMed2=0,4927&gt;nFilas),NA(),IF(AND(ISNUMBER(INDEX(rMed2,4927)),ISNUMBER(INDEX(rMed,4927))),INDEX(rMed,4927),NA()))</f>
        <v>#N/A</v>
      </c>
    </row>
    <row r="4930">
      <c r="BX4930" t="e">
        <f>IF(OR(cMed=0,cMed2=0,4928&gt;nFilas),NA(),IF(AND(ISNUMBER(INDEX(rMed2,4928)),ISNUMBER(INDEX(rMed,4928))),INDEX(rMed2,4928),NA()))</f>
        <v>#N/A</v>
      </c>
      <c r="BY4930" t="e">
        <f>IF(OR(cMed=0,cMed2=0,4928&gt;nFilas),NA(),IF(AND(ISNUMBER(INDEX(rMed2,4928)),ISNUMBER(INDEX(rMed,4928))),INDEX(rMed,4928),NA()))</f>
        <v>#N/A</v>
      </c>
    </row>
    <row r="4931">
      <c r="BX4931" t="e">
        <f>IF(OR(cMed=0,cMed2=0,4929&gt;nFilas),NA(),IF(AND(ISNUMBER(INDEX(rMed2,4929)),ISNUMBER(INDEX(rMed,4929))),INDEX(rMed2,4929),NA()))</f>
        <v>#N/A</v>
      </c>
      <c r="BY4931" t="e">
        <f>IF(OR(cMed=0,cMed2=0,4929&gt;nFilas),NA(),IF(AND(ISNUMBER(INDEX(rMed2,4929)),ISNUMBER(INDEX(rMed,4929))),INDEX(rMed,4929),NA()))</f>
        <v>#N/A</v>
      </c>
    </row>
    <row r="4932">
      <c r="BX4932" t="e">
        <f>IF(OR(cMed=0,cMed2=0,4930&gt;nFilas),NA(),IF(AND(ISNUMBER(INDEX(rMed2,4930)),ISNUMBER(INDEX(rMed,4930))),INDEX(rMed2,4930),NA()))</f>
        <v>#N/A</v>
      </c>
      <c r="BY4932" t="e">
        <f>IF(OR(cMed=0,cMed2=0,4930&gt;nFilas),NA(),IF(AND(ISNUMBER(INDEX(rMed2,4930)),ISNUMBER(INDEX(rMed,4930))),INDEX(rMed,4930),NA()))</f>
        <v>#N/A</v>
      </c>
    </row>
    <row r="4933">
      <c r="BX4933" t="e">
        <f>IF(OR(cMed=0,cMed2=0,4931&gt;nFilas),NA(),IF(AND(ISNUMBER(INDEX(rMed2,4931)),ISNUMBER(INDEX(rMed,4931))),INDEX(rMed2,4931),NA()))</f>
        <v>#N/A</v>
      </c>
      <c r="BY4933" t="e">
        <f>IF(OR(cMed=0,cMed2=0,4931&gt;nFilas),NA(),IF(AND(ISNUMBER(INDEX(rMed2,4931)),ISNUMBER(INDEX(rMed,4931))),INDEX(rMed,4931),NA()))</f>
        <v>#N/A</v>
      </c>
    </row>
    <row r="4934">
      <c r="BX4934" t="e">
        <f>IF(OR(cMed=0,cMed2=0,4932&gt;nFilas),NA(),IF(AND(ISNUMBER(INDEX(rMed2,4932)),ISNUMBER(INDEX(rMed,4932))),INDEX(rMed2,4932),NA()))</f>
        <v>#N/A</v>
      </c>
      <c r="BY4934" t="e">
        <f>IF(OR(cMed=0,cMed2=0,4932&gt;nFilas),NA(),IF(AND(ISNUMBER(INDEX(rMed2,4932)),ISNUMBER(INDEX(rMed,4932))),INDEX(rMed,4932),NA()))</f>
        <v>#N/A</v>
      </c>
    </row>
    <row r="4935">
      <c r="BX4935" t="e">
        <f>IF(OR(cMed=0,cMed2=0,4933&gt;nFilas),NA(),IF(AND(ISNUMBER(INDEX(rMed2,4933)),ISNUMBER(INDEX(rMed,4933))),INDEX(rMed2,4933),NA()))</f>
        <v>#N/A</v>
      </c>
      <c r="BY4935" t="e">
        <f>IF(OR(cMed=0,cMed2=0,4933&gt;nFilas),NA(),IF(AND(ISNUMBER(INDEX(rMed2,4933)),ISNUMBER(INDEX(rMed,4933))),INDEX(rMed,4933),NA()))</f>
        <v>#N/A</v>
      </c>
    </row>
    <row r="4936">
      <c r="BX4936" t="e">
        <f>IF(OR(cMed=0,cMed2=0,4934&gt;nFilas),NA(),IF(AND(ISNUMBER(INDEX(rMed2,4934)),ISNUMBER(INDEX(rMed,4934))),INDEX(rMed2,4934),NA()))</f>
        <v>#N/A</v>
      </c>
      <c r="BY4936" t="e">
        <f>IF(OR(cMed=0,cMed2=0,4934&gt;nFilas),NA(),IF(AND(ISNUMBER(INDEX(rMed2,4934)),ISNUMBER(INDEX(rMed,4934))),INDEX(rMed,4934),NA()))</f>
        <v>#N/A</v>
      </c>
    </row>
    <row r="4937">
      <c r="BX4937" t="e">
        <f>IF(OR(cMed=0,cMed2=0,4935&gt;nFilas),NA(),IF(AND(ISNUMBER(INDEX(rMed2,4935)),ISNUMBER(INDEX(rMed,4935))),INDEX(rMed2,4935),NA()))</f>
        <v>#N/A</v>
      </c>
      <c r="BY4937" t="e">
        <f>IF(OR(cMed=0,cMed2=0,4935&gt;nFilas),NA(),IF(AND(ISNUMBER(INDEX(rMed2,4935)),ISNUMBER(INDEX(rMed,4935))),INDEX(rMed,4935),NA()))</f>
        <v>#N/A</v>
      </c>
    </row>
    <row r="4938">
      <c r="BX4938" t="e">
        <f>IF(OR(cMed=0,cMed2=0,4936&gt;nFilas),NA(),IF(AND(ISNUMBER(INDEX(rMed2,4936)),ISNUMBER(INDEX(rMed,4936))),INDEX(rMed2,4936),NA()))</f>
        <v>#N/A</v>
      </c>
      <c r="BY4938" t="e">
        <f>IF(OR(cMed=0,cMed2=0,4936&gt;nFilas),NA(),IF(AND(ISNUMBER(INDEX(rMed2,4936)),ISNUMBER(INDEX(rMed,4936))),INDEX(rMed,4936),NA()))</f>
        <v>#N/A</v>
      </c>
    </row>
    <row r="4939">
      <c r="BX4939" t="e">
        <f>IF(OR(cMed=0,cMed2=0,4937&gt;nFilas),NA(),IF(AND(ISNUMBER(INDEX(rMed2,4937)),ISNUMBER(INDEX(rMed,4937))),INDEX(rMed2,4937),NA()))</f>
        <v>#N/A</v>
      </c>
      <c r="BY4939" t="e">
        <f>IF(OR(cMed=0,cMed2=0,4937&gt;nFilas),NA(),IF(AND(ISNUMBER(INDEX(rMed2,4937)),ISNUMBER(INDEX(rMed,4937))),INDEX(rMed,4937),NA()))</f>
        <v>#N/A</v>
      </c>
    </row>
    <row r="4940">
      <c r="BX4940" t="e">
        <f>IF(OR(cMed=0,cMed2=0,4938&gt;nFilas),NA(),IF(AND(ISNUMBER(INDEX(rMed2,4938)),ISNUMBER(INDEX(rMed,4938))),INDEX(rMed2,4938),NA()))</f>
        <v>#N/A</v>
      </c>
      <c r="BY4940" t="e">
        <f>IF(OR(cMed=0,cMed2=0,4938&gt;nFilas),NA(),IF(AND(ISNUMBER(INDEX(rMed2,4938)),ISNUMBER(INDEX(rMed,4938))),INDEX(rMed,4938),NA()))</f>
        <v>#N/A</v>
      </c>
    </row>
    <row r="4941">
      <c r="BX4941" t="e">
        <f>IF(OR(cMed=0,cMed2=0,4939&gt;nFilas),NA(),IF(AND(ISNUMBER(INDEX(rMed2,4939)),ISNUMBER(INDEX(rMed,4939))),INDEX(rMed2,4939),NA()))</f>
        <v>#N/A</v>
      </c>
      <c r="BY4941" t="e">
        <f>IF(OR(cMed=0,cMed2=0,4939&gt;nFilas),NA(),IF(AND(ISNUMBER(INDEX(rMed2,4939)),ISNUMBER(INDEX(rMed,4939))),INDEX(rMed,4939),NA()))</f>
        <v>#N/A</v>
      </c>
    </row>
    <row r="4942">
      <c r="BX4942" t="e">
        <f>IF(OR(cMed=0,cMed2=0,4940&gt;nFilas),NA(),IF(AND(ISNUMBER(INDEX(rMed2,4940)),ISNUMBER(INDEX(rMed,4940))),INDEX(rMed2,4940),NA()))</f>
        <v>#N/A</v>
      </c>
      <c r="BY4942" t="e">
        <f>IF(OR(cMed=0,cMed2=0,4940&gt;nFilas),NA(),IF(AND(ISNUMBER(INDEX(rMed2,4940)),ISNUMBER(INDEX(rMed,4940))),INDEX(rMed,4940),NA()))</f>
        <v>#N/A</v>
      </c>
    </row>
    <row r="4943">
      <c r="BX4943" t="e">
        <f>IF(OR(cMed=0,cMed2=0,4941&gt;nFilas),NA(),IF(AND(ISNUMBER(INDEX(rMed2,4941)),ISNUMBER(INDEX(rMed,4941))),INDEX(rMed2,4941),NA()))</f>
        <v>#N/A</v>
      </c>
      <c r="BY4943" t="e">
        <f>IF(OR(cMed=0,cMed2=0,4941&gt;nFilas),NA(),IF(AND(ISNUMBER(INDEX(rMed2,4941)),ISNUMBER(INDEX(rMed,4941))),INDEX(rMed,4941),NA()))</f>
        <v>#N/A</v>
      </c>
    </row>
    <row r="4944">
      <c r="BX4944" t="e">
        <f>IF(OR(cMed=0,cMed2=0,4942&gt;nFilas),NA(),IF(AND(ISNUMBER(INDEX(rMed2,4942)),ISNUMBER(INDEX(rMed,4942))),INDEX(rMed2,4942),NA()))</f>
        <v>#N/A</v>
      </c>
      <c r="BY4944" t="e">
        <f>IF(OR(cMed=0,cMed2=0,4942&gt;nFilas),NA(),IF(AND(ISNUMBER(INDEX(rMed2,4942)),ISNUMBER(INDEX(rMed,4942))),INDEX(rMed,4942),NA()))</f>
        <v>#N/A</v>
      </c>
    </row>
    <row r="4945">
      <c r="BX4945" t="e">
        <f>IF(OR(cMed=0,cMed2=0,4943&gt;nFilas),NA(),IF(AND(ISNUMBER(INDEX(rMed2,4943)),ISNUMBER(INDEX(rMed,4943))),INDEX(rMed2,4943),NA()))</f>
        <v>#N/A</v>
      </c>
      <c r="BY4945" t="e">
        <f>IF(OR(cMed=0,cMed2=0,4943&gt;nFilas),NA(),IF(AND(ISNUMBER(INDEX(rMed2,4943)),ISNUMBER(INDEX(rMed,4943))),INDEX(rMed,4943),NA()))</f>
        <v>#N/A</v>
      </c>
    </row>
    <row r="4946">
      <c r="BX4946" t="e">
        <f>IF(OR(cMed=0,cMed2=0,4944&gt;nFilas),NA(),IF(AND(ISNUMBER(INDEX(rMed2,4944)),ISNUMBER(INDEX(rMed,4944))),INDEX(rMed2,4944),NA()))</f>
        <v>#N/A</v>
      </c>
      <c r="BY4946" t="e">
        <f>IF(OR(cMed=0,cMed2=0,4944&gt;nFilas),NA(),IF(AND(ISNUMBER(INDEX(rMed2,4944)),ISNUMBER(INDEX(rMed,4944))),INDEX(rMed,4944),NA()))</f>
        <v>#N/A</v>
      </c>
    </row>
    <row r="4947">
      <c r="BX4947" t="e">
        <f>IF(OR(cMed=0,cMed2=0,4945&gt;nFilas),NA(),IF(AND(ISNUMBER(INDEX(rMed2,4945)),ISNUMBER(INDEX(rMed,4945))),INDEX(rMed2,4945),NA()))</f>
        <v>#N/A</v>
      </c>
      <c r="BY4947" t="e">
        <f>IF(OR(cMed=0,cMed2=0,4945&gt;nFilas),NA(),IF(AND(ISNUMBER(INDEX(rMed2,4945)),ISNUMBER(INDEX(rMed,4945))),INDEX(rMed,4945),NA()))</f>
        <v>#N/A</v>
      </c>
    </row>
    <row r="4948">
      <c r="BX4948" t="e">
        <f>IF(OR(cMed=0,cMed2=0,4946&gt;nFilas),NA(),IF(AND(ISNUMBER(INDEX(rMed2,4946)),ISNUMBER(INDEX(rMed,4946))),INDEX(rMed2,4946),NA()))</f>
        <v>#N/A</v>
      </c>
      <c r="BY4948" t="e">
        <f>IF(OR(cMed=0,cMed2=0,4946&gt;nFilas),NA(),IF(AND(ISNUMBER(INDEX(rMed2,4946)),ISNUMBER(INDEX(rMed,4946))),INDEX(rMed,4946),NA()))</f>
        <v>#N/A</v>
      </c>
    </row>
    <row r="4949">
      <c r="BX4949" t="e">
        <f>IF(OR(cMed=0,cMed2=0,4947&gt;nFilas),NA(),IF(AND(ISNUMBER(INDEX(rMed2,4947)),ISNUMBER(INDEX(rMed,4947))),INDEX(rMed2,4947),NA()))</f>
        <v>#N/A</v>
      </c>
      <c r="BY4949" t="e">
        <f>IF(OR(cMed=0,cMed2=0,4947&gt;nFilas),NA(),IF(AND(ISNUMBER(INDEX(rMed2,4947)),ISNUMBER(INDEX(rMed,4947))),INDEX(rMed,4947),NA()))</f>
        <v>#N/A</v>
      </c>
    </row>
    <row r="4950">
      <c r="BX4950" t="e">
        <f>IF(OR(cMed=0,cMed2=0,4948&gt;nFilas),NA(),IF(AND(ISNUMBER(INDEX(rMed2,4948)),ISNUMBER(INDEX(rMed,4948))),INDEX(rMed2,4948),NA()))</f>
        <v>#N/A</v>
      </c>
      <c r="BY4950" t="e">
        <f>IF(OR(cMed=0,cMed2=0,4948&gt;nFilas),NA(),IF(AND(ISNUMBER(INDEX(rMed2,4948)),ISNUMBER(INDEX(rMed,4948))),INDEX(rMed,4948),NA()))</f>
        <v>#N/A</v>
      </c>
    </row>
    <row r="4951">
      <c r="BX4951" t="e">
        <f>IF(OR(cMed=0,cMed2=0,4949&gt;nFilas),NA(),IF(AND(ISNUMBER(INDEX(rMed2,4949)),ISNUMBER(INDEX(rMed,4949))),INDEX(rMed2,4949),NA()))</f>
        <v>#N/A</v>
      </c>
      <c r="BY4951" t="e">
        <f>IF(OR(cMed=0,cMed2=0,4949&gt;nFilas),NA(),IF(AND(ISNUMBER(INDEX(rMed2,4949)),ISNUMBER(INDEX(rMed,4949))),INDEX(rMed,4949),NA()))</f>
        <v>#N/A</v>
      </c>
    </row>
    <row r="4952">
      <c r="BX4952" t="e">
        <f>IF(OR(cMed=0,cMed2=0,4950&gt;nFilas),NA(),IF(AND(ISNUMBER(INDEX(rMed2,4950)),ISNUMBER(INDEX(rMed,4950))),INDEX(rMed2,4950),NA()))</f>
        <v>#N/A</v>
      </c>
      <c r="BY4952" t="e">
        <f>IF(OR(cMed=0,cMed2=0,4950&gt;nFilas),NA(),IF(AND(ISNUMBER(INDEX(rMed2,4950)),ISNUMBER(INDEX(rMed,4950))),INDEX(rMed,4950),NA()))</f>
        <v>#N/A</v>
      </c>
    </row>
    <row r="4953">
      <c r="BX4953" t="e">
        <f>IF(OR(cMed=0,cMed2=0,4951&gt;nFilas),NA(),IF(AND(ISNUMBER(INDEX(rMed2,4951)),ISNUMBER(INDEX(rMed,4951))),INDEX(rMed2,4951),NA()))</f>
        <v>#N/A</v>
      </c>
      <c r="BY4953" t="e">
        <f>IF(OR(cMed=0,cMed2=0,4951&gt;nFilas),NA(),IF(AND(ISNUMBER(INDEX(rMed2,4951)),ISNUMBER(INDEX(rMed,4951))),INDEX(rMed,4951),NA()))</f>
        <v>#N/A</v>
      </c>
    </row>
    <row r="4954">
      <c r="BX4954" t="e">
        <f>IF(OR(cMed=0,cMed2=0,4952&gt;nFilas),NA(),IF(AND(ISNUMBER(INDEX(rMed2,4952)),ISNUMBER(INDEX(rMed,4952))),INDEX(rMed2,4952),NA()))</f>
        <v>#N/A</v>
      </c>
      <c r="BY4954" t="e">
        <f>IF(OR(cMed=0,cMed2=0,4952&gt;nFilas),NA(),IF(AND(ISNUMBER(INDEX(rMed2,4952)),ISNUMBER(INDEX(rMed,4952))),INDEX(rMed,4952),NA()))</f>
        <v>#N/A</v>
      </c>
    </row>
    <row r="4955">
      <c r="BX4955" t="e">
        <f>IF(OR(cMed=0,cMed2=0,4953&gt;nFilas),NA(),IF(AND(ISNUMBER(INDEX(rMed2,4953)),ISNUMBER(INDEX(rMed,4953))),INDEX(rMed2,4953),NA()))</f>
        <v>#N/A</v>
      </c>
      <c r="BY4955" t="e">
        <f>IF(OR(cMed=0,cMed2=0,4953&gt;nFilas),NA(),IF(AND(ISNUMBER(INDEX(rMed2,4953)),ISNUMBER(INDEX(rMed,4953))),INDEX(rMed,4953),NA()))</f>
        <v>#N/A</v>
      </c>
    </row>
    <row r="4956">
      <c r="BX4956" t="e">
        <f>IF(OR(cMed=0,cMed2=0,4954&gt;nFilas),NA(),IF(AND(ISNUMBER(INDEX(rMed2,4954)),ISNUMBER(INDEX(rMed,4954))),INDEX(rMed2,4954),NA()))</f>
        <v>#N/A</v>
      </c>
      <c r="BY4956" t="e">
        <f>IF(OR(cMed=0,cMed2=0,4954&gt;nFilas),NA(),IF(AND(ISNUMBER(INDEX(rMed2,4954)),ISNUMBER(INDEX(rMed,4954))),INDEX(rMed,4954),NA()))</f>
        <v>#N/A</v>
      </c>
    </row>
    <row r="4957">
      <c r="BX4957" t="e">
        <f>IF(OR(cMed=0,cMed2=0,4955&gt;nFilas),NA(),IF(AND(ISNUMBER(INDEX(rMed2,4955)),ISNUMBER(INDEX(rMed,4955))),INDEX(rMed2,4955),NA()))</f>
        <v>#N/A</v>
      </c>
      <c r="BY4957" t="e">
        <f>IF(OR(cMed=0,cMed2=0,4955&gt;nFilas),NA(),IF(AND(ISNUMBER(INDEX(rMed2,4955)),ISNUMBER(INDEX(rMed,4955))),INDEX(rMed,4955),NA()))</f>
        <v>#N/A</v>
      </c>
    </row>
    <row r="4958">
      <c r="BX4958" t="e">
        <f>IF(OR(cMed=0,cMed2=0,4956&gt;nFilas),NA(),IF(AND(ISNUMBER(INDEX(rMed2,4956)),ISNUMBER(INDEX(rMed,4956))),INDEX(rMed2,4956),NA()))</f>
        <v>#N/A</v>
      </c>
      <c r="BY4958" t="e">
        <f>IF(OR(cMed=0,cMed2=0,4956&gt;nFilas),NA(),IF(AND(ISNUMBER(INDEX(rMed2,4956)),ISNUMBER(INDEX(rMed,4956))),INDEX(rMed,4956),NA()))</f>
        <v>#N/A</v>
      </c>
    </row>
    <row r="4959">
      <c r="BX4959" t="e">
        <f>IF(OR(cMed=0,cMed2=0,4957&gt;nFilas),NA(),IF(AND(ISNUMBER(INDEX(rMed2,4957)),ISNUMBER(INDEX(rMed,4957))),INDEX(rMed2,4957),NA()))</f>
        <v>#N/A</v>
      </c>
      <c r="BY4959" t="e">
        <f>IF(OR(cMed=0,cMed2=0,4957&gt;nFilas),NA(),IF(AND(ISNUMBER(INDEX(rMed2,4957)),ISNUMBER(INDEX(rMed,4957))),INDEX(rMed,4957),NA()))</f>
        <v>#N/A</v>
      </c>
    </row>
    <row r="4960">
      <c r="BX4960" t="e">
        <f>IF(OR(cMed=0,cMed2=0,4958&gt;nFilas),NA(),IF(AND(ISNUMBER(INDEX(rMed2,4958)),ISNUMBER(INDEX(rMed,4958))),INDEX(rMed2,4958),NA()))</f>
        <v>#N/A</v>
      </c>
      <c r="BY4960" t="e">
        <f>IF(OR(cMed=0,cMed2=0,4958&gt;nFilas),NA(),IF(AND(ISNUMBER(INDEX(rMed2,4958)),ISNUMBER(INDEX(rMed,4958))),INDEX(rMed,4958),NA()))</f>
        <v>#N/A</v>
      </c>
    </row>
    <row r="4961">
      <c r="BX4961" t="e">
        <f>IF(OR(cMed=0,cMed2=0,4959&gt;nFilas),NA(),IF(AND(ISNUMBER(INDEX(rMed2,4959)),ISNUMBER(INDEX(rMed,4959))),INDEX(rMed2,4959),NA()))</f>
        <v>#N/A</v>
      </c>
      <c r="BY4961" t="e">
        <f>IF(OR(cMed=0,cMed2=0,4959&gt;nFilas),NA(),IF(AND(ISNUMBER(INDEX(rMed2,4959)),ISNUMBER(INDEX(rMed,4959))),INDEX(rMed,4959),NA()))</f>
        <v>#N/A</v>
      </c>
    </row>
    <row r="4962">
      <c r="BX4962" t="e">
        <f>IF(OR(cMed=0,cMed2=0,4960&gt;nFilas),NA(),IF(AND(ISNUMBER(INDEX(rMed2,4960)),ISNUMBER(INDEX(rMed,4960))),INDEX(rMed2,4960),NA()))</f>
        <v>#N/A</v>
      </c>
      <c r="BY4962" t="e">
        <f>IF(OR(cMed=0,cMed2=0,4960&gt;nFilas),NA(),IF(AND(ISNUMBER(INDEX(rMed2,4960)),ISNUMBER(INDEX(rMed,4960))),INDEX(rMed,4960),NA()))</f>
        <v>#N/A</v>
      </c>
    </row>
    <row r="4963">
      <c r="BX4963" t="e">
        <f>IF(OR(cMed=0,cMed2=0,4961&gt;nFilas),NA(),IF(AND(ISNUMBER(INDEX(rMed2,4961)),ISNUMBER(INDEX(rMed,4961))),INDEX(rMed2,4961),NA()))</f>
        <v>#N/A</v>
      </c>
      <c r="BY4963" t="e">
        <f>IF(OR(cMed=0,cMed2=0,4961&gt;nFilas),NA(),IF(AND(ISNUMBER(INDEX(rMed2,4961)),ISNUMBER(INDEX(rMed,4961))),INDEX(rMed,4961),NA()))</f>
        <v>#N/A</v>
      </c>
    </row>
    <row r="4964">
      <c r="BX4964" t="e">
        <f>IF(OR(cMed=0,cMed2=0,4962&gt;nFilas),NA(),IF(AND(ISNUMBER(INDEX(rMed2,4962)),ISNUMBER(INDEX(rMed,4962))),INDEX(rMed2,4962),NA()))</f>
        <v>#N/A</v>
      </c>
      <c r="BY4964" t="e">
        <f>IF(OR(cMed=0,cMed2=0,4962&gt;nFilas),NA(),IF(AND(ISNUMBER(INDEX(rMed2,4962)),ISNUMBER(INDEX(rMed,4962))),INDEX(rMed,4962),NA()))</f>
        <v>#N/A</v>
      </c>
    </row>
    <row r="4965">
      <c r="BX4965" t="e">
        <f>IF(OR(cMed=0,cMed2=0,4963&gt;nFilas),NA(),IF(AND(ISNUMBER(INDEX(rMed2,4963)),ISNUMBER(INDEX(rMed,4963))),INDEX(rMed2,4963),NA()))</f>
        <v>#N/A</v>
      </c>
      <c r="BY4965" t="e">
        <f>IF(OR(cMed=0,cMed2=0,4963&gt;nFilas),NA(),IF(AND(ISNUMBER(INDEX(rMed2,4963)),ISNUMBER(INDEX(rMed,4963))),INDEX(rMed,4963),NA()))</f>
        <v>#N/A</v>
      </c>
    </row>
    <row r="4966">
      <c r="BX4966" t="e">
        <f>IF(OR(cMed=0,cMed2=0,4964&gt;nFilas),NA(),IF(AND(ISNUMBER(INDEX(rMed2,4964)),ISNUMBER(INDEX(rMed,4964))),INDEX(rMed2,4964),NA()))</f>
        <v>#N/A</v>
      </c>
      <c r="BY4966" t="e">
        <f>IF(OR(cMed=0,cMed2=0,4964&gt;nFilas),NA(),IF(AND(ISNUMBER(INDEX(rMed2,4964)),ISNUMBER(INDEX(rMed,4964))),INDEX(rMed,4964),NA()))</f>
        <v>#N/A</v>
      </c>
    </row>
    <row r="4967">
      <c r="BX4967" t="e">
        <f>IF(OR(cMed=0,cMed2=0,4965&gt;nFilas),NA(),IF(AND(ISNUMBER(INDEX(rMed2,4965)),ISNUMBER(INDEX(rMed,4965))),INDEX(rMed2,4965),NA()))</f>
        <v>#N/A</v>
      </c>
      <c r="BY4967" t="e">
        <f>IF(OR(cMed=0,cMed2=0,4965&gt;nFilas),NA(),IF(AND(ISNUMBER(INDEX(rMed2,4965)),ISNUMBER(INDEX(rMed,4965))),INDEX(rMed,4965),NA()))</f>
        <v>#N/A</v>
      </c>
    </row>
    <row r="4968">
      <c r="BX4968" t="e">
        <f>IF(OR(cMed=0,cMed2=0,4966&gt;nFilas),NA(),IF(AND(ISNUMBER(INDEX(rMed2,4966)),ISNUMBER(INDEX(rMed,4966))),INDEX(rMed2,4966),NA()))</f>
        <v>#N/A</v>
      </c>
      <c r="BY4968" t="e">
        <f>IF(OR(cMed=0,cMed2=0,4966&gt;nFilas),NA(),IF(AND(ISNUMBER(INDEX(rMed2,4966)),ISNUMBER(INDEX(rMed,4966))),INDEX(rMed,4966),NA()))</f>
        <v>#N/A</v>
      </c>
    </row>
    <row r="4969">
      <c r="BX4969" t="e">
        <f>IF(OR(cMed=0,cMed2=0,4967&gt;nFilas),NA(),IF(AND(ISNUMBER(INDEX(rMed2,4967)),ISNUMBER(INDEX(rMed,4967))),INDEX(rMed2,4967),NA()))</f>
        <v>#N/A</v>
      </c>
      <c r="BY4969" t="e">
        <f>IF(OR(cMed=0,cMed2=0,4967&gt;nFilas),NA(),IF(AND(ISNUMBER(INDEX(rMed2,4967)),ISNUMBER(INDEX(rMed,4967))),INDEX(rMed,4967),NA()))</f>
        <v>#N/A</v>
      </c>
    </row>
    <row r="4970">
      <c r="BX4970" t="e">
        <f>IF(OR(cMed=0,cMed2=0,4968&gt;nFilas),NA(),IF(AND(ISNUMBER(INDEX(rMed2,4968)),ISNUMBER(INDEX(rMed,4968))),INDEX(rMed2,4968),NA()))</f>
        <v>#N/A</v>
      </c>
      <c r="BY4970" t="e">
        <f>IF(OR(cMed=0,cMed2=0,4968&gt;nFilas),NA(),IF(AND(ISNUMBER(INDEX(rMed2,4968)),ISNUMBER(INDEX(rMed,4968))),INDEX(rMed,4968),NA()))</f>
        <v>#N/A</v>
      </c>
    </row>
    <row r="4971">
      <c r="BX4971" t="e">
        <f>IF(OR(cMed=0,cMed2=0,4969&gt;nFilas),NA(),IF(AND(ISNUMBER(INDEX(rMed2,4969)),ISNUMBER(INDEX(rMed,4969))),INDEX(rMed2,4969),NA()))</f>
        <v>#N/A</v>
      </c>
      <c r="BY4971" t="e">
        <f>IF(OR(cMed=0,cMed2=0,4969&gt;nFilas),NA(),IF(AND(ISNUMBER(INDEX(rMed2,4969)),ISNUMBER(INDEX(rMed,4969))),INDEX(rMed,4969),NA()))</f>
        <v>#N/A</v>
      </c>
    </row>
    <row r="4972">
      <c r="BX4972" t="e">
        <f>IF(OR(cMed=0,cMed2=0,4970&gt;nFilas),NA(),IF(AND(ISNUMBER(INDEX(rMed2,4970)),ISNUMBER(INDEX(rMed,4970))),INDEX(rMed2,4970),NA()))</f>
        <v>#N/A</v>
      </c>
      <c r="BY4972" t="e">
        <f>IF(OR(cMed=0,cMed2=0,4970&gt;nFilas),NA(),IF(AND(ISNUMBER(INDEX(rMed2,4970)),ISNUMBER(INDEX(rMed,4970))),INDEX(rMed,4970),NA()))</f>
        <v>#N/A</v>
      </c>
    </row>
    <row r="4973">
      <c r="BX4973" t="e">
        <f>IF(OR(cMed=0,cMed2=0,4971&gt;nFilas),NA(),IF(AND(ISNUMBER(INDEX(rMed2,4971)),ISNUMBER(INDEX(rMed,4971))),INDEX(rMed2,4971),NA()))</f>
        <v>#N/A</v>
      </c>
      <c r="BY4973" t="e">
        <f>IF(OR(cMed=0,cMed2=0,4971&gt;nFilas),NA(),IF(AND(ISNUMBER(INDEX(rMed2,4971)),ISNUMBER(INDEX(rMed,4971))),INDEX(rMed,4971),NA()))</f>
        <v>#N/A</v>
      </c>
    </row>
    <row r="4974">
      <c r="BX4974" t="e">
        <f>IF(OR(cMed=0,cMed2=0,4972&gt;nFilas),NA(),IF(AND(ISNUMBER(INDEX(rMed2,4972)),ISNUMBER(INDEX(rMed,4972))),INDEX(rMed2,4972),NA()))</f>
        <v>#N/A</v>
      </c>
      <c r="BY4974" t="e">
        <f>IF(OR(cMed=0,cMed2=0,4972&gt;nFilas),NA(),IF(AND(ISNUMBER(INDEX(rMed2,4972)),ISNUMBER(INDEX(rMed,4972))),INDEX(rMed,4972),NA()))</f>
        <v>#N/A</v>
      </c>
    </row>
    <row r="4975">
      <c r="BX4975" t="e">
        <f>IF(OR(cMed=0,cMed2=0,4973&gt;nFilas),NA(),IF(AND(ISNUMBER(INDEX(rMed2,4973)),ISNUMBER(INDEX(rMed,4973))),INDEX(rMed2,4973),NA()))</f>
        <v>#N/A</v>
      </c>
      <c r="BY4975" t="e">
        <f>IF(OR(cMed=0,cMed2=0,4973&gt;nFilas),NA(),IF(AND(ISNUMBER(INDEX(rMed2,4973)),ISNUMBER(INDEX(rMed,4973))),INDEX(rMed,4973),NA()))</f>
        <v>#N/A</v>
      </c>
    </row>
    <row r="4976">
      <c r="BX4976" t="e">
        <f>IF(OR(cMed=0,cMed2=0,4974&gt;nFilas),NA(),IF(AND(ISNUMBER(INDEX(rMed2,4974)),ISNUMBER(INDEX(rMed,4974))),INDEX(rMed2,4974),NA()))</f>
        <v>#N/A</v>
      </c>
      <c r="BY4976" t="e">
        <f>IF(OR(cMed=0,cMed2=0,4974&gt;nFilas),NA(),IF(AND(ISNUMBER(INDEX(rMed2,4974)),ISNUMBER(INDEX(rMed,4974))),INDEX(rMed,4974),NA()))</f>
        <v>#N/A</v>
      </c>
    </row>
    <row r="4977">
      <c r="BX4977" t="e">
        <f>IF(OR(cMed=0,cMed2=0,4975&gt;nFilas),NA(),IF(AND(ISNUMBER(INDEX(rMed2,4975)),ISNUMBER(INDEX(rMed,4975))),INDEX(rMed2,4975),NA()))</f>
        <v>#N/A</v>
      </c>
      <c r="BY4977" t="e">
        <f>IF(OR(cMed=0,cMed2=0,4975&gt;nFilas),NA(),IF(AND(ISNUMBER(INDEX(rMed2,4975)),ISNUMBER(INDEX(rMed,4975))),INDEX(rMed,4975),NA()))</f>
        <v>#N/A</v>
      </c>
    </row>
    <row r="4978">
      <c r="BX4978" t="e">
        <f>IF(OR(cMed=0,cMed2=0,4976&gt;nFilas),NA(),IF(AND(ISNUMBER(INDEX(rMed2,4976)),ISNUMBER(INDEX(rMed,4976))),INDEX(rMed2,4976),NA()))</f>
        <v>#N/A</v>
      </c>
      <c r="BY4978" t="e">
        <f>IF(OR(cMed=0,cMed2=0,4976&gt;nFilas),NA(),IF(AND(ISNUMBER(INDEX(rMed2,4976)),ISNUMBER(INDEX(rMed,4976))),INDEX(rMed,4976),NA()))</f>
        <v>#N/A</v>
      </c>
    </row>
    <row r="4979">
      <c r="BX4979" t="e">
        <f>IF(OR(cMed=0,cMed2=0,4977&gt;nFilas),NA(),IF(AND(ISNUMBER(INDEX(rMed2,4977)),ISNUMBER(INDEX(rMed,4977))),INDEX(rMed2,4977),NA()))</f>
        <v>#N/A</v>
      </c>
      <c r="BY4979" t="e">
        <f>IF(OR(cMed=0,cMed2=0,4977&gt;nFilas),NA(),IF(AND(ISNUMBER(INDEX(rMed2,4977)),ISNUMBER(INDEX(rMed,4977))),INDEX(rMed,4977),NA()))</f>
        <v>#N/A</v>
      </c>
    </row>
    <row r="4980">
      <c r="BX4980" t="e">
        <f>IF(OR(cMed=0,cMed2=0,4978&gt;nFilas),NA(),IF(AND(ISNUMBER(INDEX(rMed2,4978)),ISNUMBER(INDEX(rMed,4978))),INDEX(rMed2,4978),NA()))</f>
        <v>#N/A</v>
      </c>
      <c r="BY4980" t="e">
        <f>IF(OR(cMed=0,cMed2=0,4978&gt;nFilas),NA(),IF(AND(ISNUMBER(INDEX(rMed2,4978)),ISNUMBER(INDEX(rMed,4978))),INDEX(rMed,4978),NA()))</f>
        <v>#N/A</v>
      </c>
    </row>
    <row r="4981">
      <c r="BX4981" t="e">
        <f>IF(OR(cMed=0,cMed2=0,4979&gt;nFilas),NA(),IF(AND(ISNUMBER(INDEX(rMed2,4979)),ISNUMBER(INDEX(rMed,4979))),INDEX(rMed2,4979),NA()))</f>
        <v>#N/A</v>
      </c>
      <c r="BY4981" t="e">
        <f>IF(OR(cMed=0,cMed2=0,4979&gt;nFilas),NA(),IF(AND(ISNUMBER(INDEX(rMed2,4979)),ISNUMBER(INDEX(rMed,4979))),INDEX(rMed,4979),NA()))</f>
        <v>#N/A</v>
      </c>
    </row>
    <row r="4982">
      <c r="BX4982" t="e">
        <f>IF(OR(cMed=0,cMed2=0,4980&gt;nFilas),NA(),IF(AND(ISNUMBER(INDEX(rMed2,4980)),ISNUMBER(INDEX(rMed,4980))),INDEX(rMed2,4980),NA()))</f>
        <v>#N/A</v>
      </c>
      <c r="BY4982" t="e">
        <f>IF(OR(cMed=0,cMed2=0,4980&gt;nFilas),NA(),IF(AND(ISNUMBER(INDEX(rMed2,4980)),ISNUMBER(INDEX(rMed,4980))),INDEX(rMed,4980),NA()))</f>
        <v>#N/A</v>
      </c>
    </row>
    <row r="4983">
      <c r="BX4983" t="e">
        <f>IF(OR(cMed=0,cMed2=0,4981&gt;nFilas),NA(),IF(AND(ISNUMBER(INDEX(rMed2,4981)),ISNUMBER(INDEX(rMed,4981))),INDEX(rMed2,4981),NA()))</f>
        <v>#N/A</v>
      </c>
      <c r="BY4983" t="e">
        <f>IF(OR(cMed=0,cMed2=0,4981&gt;nFilas),NA(),IF(AND(ISNUMBER(INDEX(rMed2,4981)),ISNUMBER(INDEX(rMed,4981))),INDEX(rMed,4981),NA()))</f>
        <v>#N/A</v>
      </c>
    </row>
    <row r="4984">
      <c r="BX4984" t="e">
        <f>IF(OR(cMed=0,cMed2=0,4982&gt;nFilas),NA(),IF(AND(ISNUMBER(INDEX(rMed2,4982)),ISNUMBER(INDEX(rMed,4982))),INDEX(rMed2,4982),NA()))</f>
        <v>#N/A</v>
      </c>
      <c r="BY4984" t="e">
        <f>IF(OR(cMed=0,cMed2=0,4982&gt;nFilas),NA(),IF(AND(ISNUMBER(INDEX(rMed2,4982)),ISNUMBER(INDEX(rMed,4982))),INDEX(rMed,4982),NA()))</f>
        <v>#N/A</v>
      </c>
    </row>
    <row r="4985">
      <c r="BX4985" t="e">
        <f>IF(OR(cMed=0,cMed2=0,4983&gt;nFilas),NA(),IF(AND(ISNUMBER(INDEX(rMed2,4983)),ISNUMBER(INDEX(rMed,4983))),INDEX(rMed2,4983),NA()))</f>
        <v>#N/A</v>
      </c>
      <c r="BY4985" t="e">
        <f>IF(OR(cMed=0,cMed2=0,4983&gt;nFilas),NA(),IF(AND(ISNUMBER(INDEX(rMed2,4983)),ISNUMBER(INDEX(rMed,4983))),INDEX(rMed,4983),NA()))</f>
        <v>#N/A</v>
      </c>
    </row>
    <row r="4986">
      <c r="BX4986" t="e">
        <f>IF(OR(cMed=0,cMed2=0,4984&gt;nFilas),NA(),IF(AND(ISNUMBER(INDEX(rMed2,4984)),ISNUMBER(INDEX(rMed,4984))),INDEX(rMed2,4984),NA()))</f>
        <v>#N/A</v>
      </c>
      <c r="BY4986" t="e">
        <f>IF(OR(cMed=0,cMed2=0,4984&gt;nFilas),NA(),IF(AND(ISNUMBER(INDEX(rMed2,4984)),ISNUMBER(INDEX(rMed,4984))),INDEX(rMed,4984),NA()))</f>
        <v>#N/A</v>
      </c>
    </row>
    <row r="4987">
      <c r="BX4987" t="e">
        <f>IF(OR(cMed=0,cMed2=0,4985&gt;nFilas),NA(),IF(AND(ISNUMBER(INDEX(rMed2,4985)),ISNUMBER(INDEX(rMed,4985))),INDEX(rMed2,4985),NA()))</f>
        <v>#N/A</v>
      </c>
      <c r="BY4987" t="e">
        <f>IF(OR(cMed=0,cMed2=0,4985&gt;nFilas),NA(),IF(AND(ISNUMBER(INDEX(rMed2,4985)),ISNUMBER(INDEX(rMed,4985))),INDEX(rMed,4985),NA()))</f>
        <v>#N/A</v>
      </c>
    </row>
    <row r="4988">
      <c r="BX4988" t="e">
        <f>IF(OR(cMed=0,cMed2=0,4986&gt;nFilas),NA(),IF(AND(ISNUMBER(INDEX(rMed2,4986)),ISNUMBER(INDEX(rMed,4986))),INDEX(rMed2,4986),NA()))</f>
        <v>#N/A</v>
      </c>
      <c r="BY4988" t="e">
        <f>IF(OR(cMed=0,cMed2=0,4986&gt;nFilas),NA(),IF(AND(ISNUMBER(INDEX(rMed2,4986)),ISNUMBER(INDEX(rMed,4986))),INDEX(rMed,4986),NA()))</f>
        <v>#N/A</v>
      </c>
    </row>
    <row r="4989">
      <c r="BX4989" t="e">
        <f>IF(OR(cMed=0,cMed2=0,4987&gt;nFilas),NA(),IF(AND(ISNUMBER(INDEX(rMed2,4987)),ISNUMBER(INDEX(rMed,4987))),INDEX(rMed2,4987),NA()))</f>
        <v>#N/A</v>
      </c>
      <c r="BY4989" t="e">
        <f>IF(OR(cMed=0,cMed2=0,4987&gt;nFilas),NA(),IF(AND(ISNUMBER(INDEX(rMed2,4987)),ISNUMBER(INDEX(rMed,4987))),INDEX(rMed,4987),NA()))</f>
        <v>#N/A</v>
      </c>
    </row>
    <row r="4990">
      <c r="BX4990" t="e">
        <f>IF(OR(cMed=0,cMed2=0,4988&gt;nFilas),NA(),IF(AND(ISNUMBER(INDEX(rMed2,4988)),ISNUMBER(INDEX(rMed,4988))),INDEX(rMed2,4988),NA()))</f>
        <v>#N/A</v>
      </c>
      <c r="BY4990" t="e">
        <f>IF(OR(cMed=0,cMed2=0,4988&gt;nFilas),NA(),IF(AND(ISNUMBER(INDEX(rMed2,4988)),ISNUMBER(INDEX(rMed,4988))),INDEX(rMed,4988),NA()))</f>
        <v>#N/A</v>
      </c>
    </row>
    <row r="4991">
      <c r="BX4991" t="e">
        <f>IF(OR(cMed=0,cMed2=0,4989&gt;nFilas),NA(),IF(AND(ISNUMBER(INDEX(rMed2,4989)),ISNUMBER(INDEX(rMed,4989))),INDEX(rMed2,4989),NA()))</f>
        <v>#N/A</v>
      </c>
      <c r="BY4991" t="e">
        <f>IF(OR(cMed=0,cMed2=0,4989&gt;nFilas),NA(),IF(AND(ISNUMBER(INDEX(rMed2,4989)),ISNUMBER(INDEX(rMed,4989))),INDEX(rMed,4989),NA()))</f>
        <v>#N/A</v>
      </c>
    </row>
    <row r="4992">
      <c r="BX4992" t="e">
        <f>IF(OR(cMed=0,cMed2=0,4990&gt;nFilas),NA(),IF(AND(ISNUMBER(INDEX(rMed2,4990)),ISNUMBER(INDEX(rMed,4990))),INDEX(rMed2,4990),NA()))</f>
        <v>#N/A</v>
      </c>
      <c r="BY4992" t="e">
        <f>IF(OR(cMed=0,cMed2=0,4990&gt;nFilas),NA(),IF(AND(ISNUMBER(INDEX(rMed2,4990)),ISNUMBER(INDEX(rMed,4990))),INDEX(rMed,4990),NA()))</f>
        <v>#N/A</v>
      </c>
    </row>
    <row r="4993">
      <c r="BX4993" t="e">
        <f>IF(OR(cMed=0,cMed2=0,4991&gt;nFilas),NA(),IF(AND(ISNUMBER(INDEX(rMed2,4991)),ISNUMBER(INDEX(rMed,4991))),INDEX(rMed2,4991),NA()))</f>
        <v>#N/A</v>
      </c>
      <c r="BY4993" t="e">
        <f>IF(OR(cMed=0,cMed2=0,4991&gt;nFilas),NA(),IF(AND(ISNUMBER(INDEX(rMed2,4991)),ISNUMBER(INDEX(rMed,4991))),INDEX(rMed,4991),NA()))</f>
        <v>#N/A</v>
      </c>
    </row>
    <row r="4994">
      <c r="BX4994" t="e">
        <f>IF(OR(cMed=0,cMed2=0,4992&gt;nFilas),NA(),IF(AND(ISNUMBER(INDEX(rMed2,4992)),ISNUMBER(INDEX(rMed,4992))),INDEX(rMed2,4992),NA()))</f>
        <v>#N/A</v>
      </c>
      <c r="BY4994" t="e">
        <f>IF(OR(cMed=0,cMed2=0,4992&gt;nFilas),NA(),IF(AND(ISNUMBER(INDEX(rMed2,4992)),ISNUMBER(INDEX(rMed,4992))),INDEX(rMed,4992),NA()))</f>
        <v>#N/A</v>
      </c>
    </row>
    <row r="4995">
      <c r="BX4995" t="e">
        <f>IF(OR(cMed=0,cMed2=0,4993&gt;nFilas),NA(),IF(AND(ISNUMBER(INDEX(rMed2,4993)),ISNUMBER(INDEX(rMed,4993))),INDEX(rMed2,4993),NA()))</f>
        <v>#N/A</v>
      </c>
      <c r="BY4995" t="e">
        <f>IF(OR(cMed=0,cMed2=0,4993&gt;nFilas),NA(),IF(AND(ISNUMBER(INDEX(rMed2,4993)),ISNUMBER(INDEX(rMed,4993))),INDEX(rMed,4993),NA()))</f>
        <v>#N/A</v>
      </c>
    </row>
    <row r="4996">
      <c r="BX4996" t="e">
        <f>IF(OR(cMed=0,cMed2=0,4994&gt;nFilas),NA(),IF(AND(ISNUMBER(INDEX(rMed2,4994)),ISNUMBER(INDEX(rMed,4994))),INDEX(rMed2,4994),NA()))</f>
        <v>#N/A</v>
      </c>
      <c r="BY4996" t="e">
        <f>IF(OR(cMed=0,cMed2=0,4994&gt;nFilas),NA(),IF(AND(ISNUMBER(INDEX(rMed2,4994)),ISNUMBER(INDEX(rMed,4994))),INDEX(rMed,4994),NA()))</f>
        <v>#N/A</v>
      </c>
    </row>
    <row r="4997">
      <c r="BX4997" t="e">
        <f>IF(OR(cMed=0,cMed2=0,4995&gt;nFilas),NA(),IF(AND(ISNUMBER(INDEX(rMed2,4995)),ISNUMBER(INDEX(rMed,4995))),INDEX(rMed2,4995),NA()))</f>
        <v>#N/A</v>
      </c>
      <c r="BY4997" t="e">
        <f>IF(OR(cMed=0,cMed2=0,4995&gt;nFilas),NA(),IF(AND(ISNUMBER(INDEX(rMed2,4995)),ISNUMBER(INDEX(rMed,4995))),INDEX(rMed,4995),NA()))</f>
        <v>#N/A</v>
      </c>
    </row>
    <row r="4998">
      <c r="BX4998" t="e">
        <f>IF(OR(cMed=0,cMed2=0,4996&gt;nFilas),NA(),IF(AND(ISNUMBER(INDEX(rMed2,4996)),ISNUMBER(INDEX(rMed,4996))),INDEX(rMed2,4996),NA()))</f>
        <v>#N/A</v>
      </c>
      <c r="BY4998" t="e">
        <f>IF(OR(cMed=0,cMed2=0,4996&gt;nFilas),NA(),IF(AND(ISNUMBER(INDEX(rMed2,4996)),ISNUMBER(INDEX(rMed,4996))),INDEX(rMed,4996),NA()))</f>
        <v>#N/A</v>
      </c>
    </row>
    <row r="4999">
      <c r="BX4999" t="e">
        <f>IF(OR(cMed=0,cMed2=0,4997&gt;nFilas),NA(),IF(AND(ISNUMBER(INDEX(rMed2,4997)),ISNUMBER(INDEX(rMed,4997))),INDEX(rMed2,4997),NA()))</f>
        <v>#N/A</v>
      </c>
      <c r="BY4999" t="e">
        <f>IF(OR(cMed=0,cMed2=0,4997&gt;nFilas),NA(),IF(AND(ISNUMBER(INDEX(rMed2,4997)),ISNUMBER(INDEX(rMed,4997))),INDEX(rMed,4997),NA()))</f>
        <v>#N/A</v>
      </c>
    </row>
    <row r="5000">
      <c r="BX5000" t="e">
        <f>IF(OR(cMed=0,cMed2=0,4998&gt;nFilas),NA(),IF(AND(ISNUMBER(INDEX(rMed2,4998)),ISNUMBER(INDEX(rMed,4998))),INDEX(rMed2,4998),NA()))</f>
        <v>#N/A</v>
      </c>
      <c r="BY5000" t="e">
        <f>IF(OR(cMed=0,cMed2=0,4998&gt;nFilas),NA(),IF(AND(ISNUMBER(INDEX(rMed2,4998)),ISNUMBER(INDEX(rMed,4998))),INDEX(rMed,4998),NA()))</f>
        <v>#N/A</v>
      </c>
    </row>
    <row r="5001">
      <c r="BX5001" t="e">
        <f>IF(OR(cMed=0,cMed2=0,4999&gt;nFilas),NA(),IF(AND(ISNUMBER(INDEX(rMed2,4999)),ISNUMBER(INDEX(rMed,4999))),INDEX(rMed2,4999),NA()))</f>
        <v>#N/A</v>
      </c>
      <c r="BY5001" t="e">
        <f>IF(OR(cMed=0,cMed2=0,4999&gt;nFilas),NA(),IF(AND(ISNUMBER(INDEX(rMed2,4999)),ISNUMBER(INDEX(rMed,4999))),INDEX(rMed,4999),NA()))</f>
        <v>#N/A</v>
      </c>
    </row>
    <row r="5002">
      <c r="BX5002" t="e">
        <f>IF(OR(cMed=0,cMed2=0,5000&gt;nFilas),NA(),IF(AND(ISNUMBER(INDEX(rMed2,5000)),ISNUMBER(INDEX(rMed,5000))),INDEX(rMed2,5000),NA()))</f>
        <v>#N/A</v>
      </c>
      <c r="BY5002" t="e">
        <f>IF(OR(cMed=0,cMed2=0,5000&gt;nFilas),NA(),IF(AND(ISNUMBER(INDEX(rMed2,5000)),ISNUMBER(INDEX(rMed,5000))),INDEX(rMed,5000),NA()))</f>
        <v>#N/A</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2026-10-09T21:41:18Z</dcterms:created>
  <dcterms:modified xmlns:dcterms="http://purl.org/dc/terms/" xmlns:xsi="http://www.w3.org/2001/XMLSchema-instance" xsi:type="dcterms:W3CDTF">2026-10-09T21:41:19Z</dcterms:modified>
</cp:coreProperties>
</file>